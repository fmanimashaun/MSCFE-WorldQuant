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4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nkingCEO\Desktop\PDF\MSCFE WorldQuant\Financial Market 1\Animashaun_Fisayo_Michael-Final_Project-April_8_2018\"/>
    </mc:Choice>
  </mc:AlternateContent>
  <xr:revisionPtr revIDLastSave="0" documentId="12_ncr:500000_{0D354851-0159-46A0-835D-69544E15279F}" xr6:coauthVersionLast="31" xr6:coauthVersionMax="31" xr10:uidLastSave="{00000000-0000-0000-0000-000000000000}"/>
  <bookViews>
    <workbookView xWindow="0" yWindow="0" windowWidth="20490" windowHeight="7695" firstSheet="5" activeTab="7" xr2:uid="{00000000-000D-0000-FFFF-FFFF00000000}"/>
  </bookViews>
  <sheets>
    <sheet name="Black_Scholes" sheetId="4" r:id="rId1"/>
    <sheet name="Binomial_model" sheetId="5" r:id="rId2"/>
    <sheet name="MSFT Black_Scholes &amp; Binomial" sheetId="3" r:id="rId3"/>
    <sheet name="MSFT Binomial Tree(single)" sheetId="7" r:id="rId4"/>
    <sheet name="MSFT Binomial Tree(multiple)" sheetId="6" r:id="rId5"/>
    <sheet name="WTI CRUDE OIL SPOT PRICE  " sheetId="1" r:id="rId6"/>
    <sheet name="Forecast WTI CRUDE OIL SPOT" sheetId="8" r:id="rId7"/>
    <sheet name="20 &amp;50 -days MA" sheetId="10" r:id="rId8"/>
  </sheets>
  <functionGroups builtInGroupCount="19"/>
  <externalReferences>
    <externalReference r:id="rId9"/>
  </externalReferences>
  <calcPr calcId="162913"/>
</workbook>
</file>

<file path=xl/calcChain.xml><?xml version="1.0" encoding="utf-8"?>
<calcChain xmlns="http://schemas.openxmlformats.org/spreadsheetml/2006/main">
  <c r="J1082" i="10" l="1"/>
  <c r="I1082" i="10"/>
  <c r="F1082" i="10"/>
  <c r="H1082" i="10" s="1"/>
  <c r="E1082" i="10"/>
  <c r="G1082" i="10" s="1"/>
  <c r="D1082" i="10"/>
  <c r="L1081" i="10"/>
  <c r="I1081" i="10"/>
  <c r="J1081" i="10" s="1"/>
  <c r="D1081" i="10"/>
  <c r="E1081" i="10" s="1"/>
  <c r="J1080" i="10"/>
  <c r="I1080" i="10"/>
  <c r="F1080" i="10"/>
  <c r="H1080" i="10" s="1"/>
  <c r="E1080" i="10"/>
  <c r="G1080" i="10" s="1"/>
  <c r="D1080" i="10"/>
  <c r="I1079" i="10"/>
  <c r="J1079" i="10" s="1"/>
  <c r="D1079" i="10"/>
  <c r="E1079" i="10" s="1"/>
  <c r="J1078" i="10"/>
  <c r="I1078" i="10"/>
  <c r="F1078" i="10"/>
  <c r="H1078" i="10" s="1"/>
  <c r="E1078" i="10"/>
  <c r="G1078" i="10" s="1"/>
  <c r="D1078" i="10"/>
  <c r="I1077" i="10"/>
  <c r="J1077" i="10" s="1"/>
  <c r="D1077" i="10"/>
  <c r="E1077" i="10" s="1"/>
  <c r="J1076" i="10"/>
  <c r="I1076" i="10"/>
  <c r="F1076" i="10"/>
  <c r="H1076" i="10" s="1"/>
  <c r="E1076" i="10"/>
  <c r="G1076" i="10" s="1"/>
  <c r="D1076" i="10"/>
  <c r="L1075" i="10"/>
  <c r="I1075" i="10"/>
  <c r="J1075" i="10" s="1"/>
  <c r="D1075" i="10"/>
  <c r="E1075" i="10" s="1"/>
  <c r="J1074" i="10"/>
  <c r="I1074" i="10"/>
  <c r="F1074" i="10"/>
  <c r="H1074" i="10" s="1"/>
  <c r="E1074" i="10"/>
  <c r="G1074" i="10" s="1"/>
  <c r="D1074" i="10"/>
  <c r="L1073" i="10"/>
  <c r="I1073" i="10"/>
  <c r="J1073" i="10" s="1"/>
  <c r="D1073" i="10"/>
  <c r="E1073" i="10" s="1"/>
  <c r="J1072" i="10"/>
  <c r="I1072" i="10"/>
  <c r="F1072" i="10"/>
  <c r="H1072" i="10" s="1"/>
  <c r="E1072" i="10"/>
  <c r="G1072" i="10" s="1"/>
  <c r="D1072" i="10"/>
  <c r="I1071" i="10"/>
  <c r="J1071" i="10" s="1"/>
  <c r="D1071" i="10"/>
  <c r="E1071" i="10" s="1"/>
  <c r="J1070" i="10"/>
  <c r="I1070" i="10"/>
  <c r="F1070" i="10"/>
  <c r="H1070" i="10" s="1"/>
  <c r="E1070" i="10"/>
  <c r="G1070" i="10" s="1"/>
  <c r="D1070" i="10"/>
  <c r="I1069" i="10"/>
  <c r="J1069" i="10" s="1"/>
  <c r="D1069" i="10"/>
  <c r="E1069" i="10" s="1"/>
  <c r="J1068" i="10"/>
  <c r="I1068" i="10"/>
  <c r="F1068" i="10"/>
  <c r="H1068" i="10" s="1"/>
  <c r="E1068" i="10"/>
  <c r="G1068" i="10" s="1"/>
  <c r="D1068" i="10"/>
  <c r="L1067" i="10"/>
  <c r="I1067" i="10"/>
  <c r="J1067" i="10" s="1"/>
  <c r="D1067" i="10"/>
  <c r="E1067" i="10" s="1"/>
  <c r="J1066" i="10"/>
  <c r="I1066" i="10"/>
  <c r="F1066" i="10"/>
  <c r="H1066" i="10" s="1"/>
  <c r="E1066" i="10"/>
  <c r="G1066" i="10" s="1"/>
  <c r="D1066" i="10"/>
  <c r="L1065" i="10"/>
  <c r="I1065" i="10"/>
  <c r="J1065" i="10" s="1"/>
  <c r="D1065" i="10"/>
  <c r="E1065" i="10" s="1"/>
  <c r="J1064" i="10"/>
  <c r="I1064" i="10"/>
  <c r="F1064" i="10"/>
  <c r="H1064" i="10" s="1"/>
  <c r="E1064" i="10"/>
  <c r="G1064" i="10" s="1"/>
  <c r="D1064" i="10"/>
  <c r="I1063" i="10"/>
  <c r="J1063" i="10" s="1"/>
  <c r="D1063" i="10"/>
  <c r="E1063" i="10" s="1"/>
  <c r="J1062" i="10"/>
  <c r="I1062" i="10"/>
  <c r="F1062" i="10"/>
  <c r="H1062" i="10" s="1"/>
  <c r="E1062" i="10"/>
  <c r="G1062" i="10" s="1"/>
  <c r="D1062" i="10"/>
  <c r="I1061" i="10"/>
  <c r="J1061" i="10" s="1"/>
  <c r="D1061" i="10"/>
  <c r="E1061" i="10" s="1"/>
  <c r="J1060" i="10"/>
  <c r="I1060" i="10"/>
  <c r="F1060" i="10"/>
  <c r="H1060" i="10" s="1"/>
  <c r="E1060" i="10"/>
  <c r="G1060" i="10" s="1"/>
  <c r="D1060" i="10"/>
  <c r="L1059" i="10"/>
  <c r="K1059" i="10"/>
  <c r="I1059" i="10"/>
  <c r="J1059" i="10" s="1"/>
  <c r="M1059" i="10" s="1"/>
  <c r="G1059" i="10"/>
  <c r="D1059" i="10"/>
  <c r="E1059" i="10" s="1"/>
  <c r="F1059" i="10" s="1"/>
  <c r="H1059" i="10" s="1"/>
  <c r="I1058" i="10"/>
  <c r="J1058" i="10" s="1"/>
  <c r="F1058" i="10"/>
  <c r="H1058" i="10" s="1"/>
  <c r="E1058" i="10"/>
  <c r="G1058" i="10" s="1"/>
  <c r="D1058" i="10"/>
  <c r="L1057" i="10"/>
  <c r="K1057" i="10"/>
  <c r="I1057" i="10"/>
  <c r="J1057" i="10" s="1"/>
  <c r="M1057" i="10" s="1"/>
  <c r="G1057" i="10"/>
  <c r="E1057" i="10"/>
  <c r="F1057" i="10" s="1"/>
  <c r="H1057" i="10" s="1"/>
  <c r="D1057" i="10"/>
  <c r="I1056" i="10"/>
  <c r="J1056" i="10" s="1"/>
  <c r="F1056" i="10"/>
  <c r="H1056" i="10" s="1"/>
  <c r="E1056" i="10"/>
  <c r="G1056" i="10" s="1"/>
  <c r="D1056" i="10"/>
  <c r="L1055" i="10"/>
  <c r="I1055" i="10"/>
  <c r="J1055" i="10" s="1"/>
  <c r="M1055" i="10" s="1"/>
  <c r="D1055" i="10"/>
  <c r="E1055" i="10" s="1"/>
  <c r="I1054" i="10"/>
  <c r="J1054" i="10" s="1"/>
  <c r="F1054" i="10"/>
  <c r="H1054" i="10" s="1"/>
  <c r="E1054" i="10"/>
  <c r="G1054" i="10" s="1"/>
  <c r="D1054" i="10"/>
  <c r="I1053" i="10"/>
  <c r="J1053" i="10" s="1"/>
  <c r="M1053" i="10" s="1"/>
  <c r="D1053" i="10"/>
  <c r="E1053" i="10" s="1"/>
  <c r="I1052" i="10"/>
  <c r="J1052" i="10" s="1"/>
  <c r="F1052" i="10"/>
  <c r="H1052" i="10" s="1"/>
  <c r="E1052" i="10"/>
  <c r="G1052" i="10" s="1"/>
  <c r="D1052" i="10"/>
  <c r="I1051" i="10"/>
  <c r="J1051" i="10" s="1"/>
  <c r="M1051" i="10" s="1"/>
  <c r="D1051" i="10"/>
  <c r="E1051" i="10" s="1"/>
  <c r="I1050" i="10"/>
  <c r="J1050" i="10" s="1"/>
  <c r="F1050" i="10"/>
  <c r="H1050" i="10" s="1"/>
  <c r="E1050" i="10"/>
  <c r="G1050" i="10" s="1"/>
  <c r="D1050" i="10"/>
  <c r="I1049" i="10"/>
  <c r="J1049" i="10" s="1"/>
  <c r="M1049" i="10" s="1"/>
  <c r="D1049" i="10"/>
  <c r="E1049" i="10" s="1"/>
  <c r="I1048" i="10"/>
  <c r="J1048" i="10" s="1"/>
  <c r="F1048" i="10"/>
  <c r="H1048" i="10" s="1"/>
  <c r="E1048" i="10"/>
  <c r="G1048" i="10" s="1"/>
  <c r="D1048" i="10"/>
  <c r="I1047" i="10"/>
  <c r="J1047" i="10" s="1"/>
  <c r="M1047" i="10" s="1"/>
  <c r="D1047" i="10"/>
  <c r="E1047" i="10" s="1"/>
  <c r="I1046" i="10"/>
  <c r="J1046" i="10" s="1"/>
  <c r="F1046" i="10"/>
  <c r="H1046" i="10" s="1"/>
  <c r="E1046" i="10"/>
  <c r="G1046" i="10" s="1"/>
  <c r="D1046" i="10"/>
  <c r="I1045" i="10"/>
  <c r="J1045" i="10" s="1"/>
  <c r="M1045" i="10" s="1"/>
  <c r="D1045" i="10"/>
  <c r="E1045" i="10" s="1"/>
  <c r="I1044" i="10"/>
  <c r="J1044" i="10" s="1"/>
  <c r="F1044" i="10"/>
  <c r="H1044" i="10" s="1"/>
  <c r="E1044" i="10"/>
  <c r="G1044" i="10" s="1"/>
  <c r="D1044" i="10"/>
  <c r="I1043" i="10"/>
  <c r="J1043" i="10" s="1"/>
  <c r="D1043" i="10"/>
  <c r="E1043" i="10" s="1"/>
  <c r="I1042" i="10"/>
  <c r="J1042" i="10" s="1"/>
  <c r="F1042" i="10"/>
  <c r="H1042" i="10" s="1"/>
  <c r="E1042" i="10"/>
  <c r="G1042" i="10" s="1"/>
  <c r="D1042" i="10"/>
  <c r="I1041" i="10"/>
  <c r="J1041" i="10" s="1"/>
  <c r="E1041" i="10"/>
  <c r="D1041" i="10"/>
  <c r="I1040" i="10"/>
  <c r="J1040" i="10" s="1"/>
  <c r="G1040" i="10"/>
  <c r="E1040" i="10"/>
  <c r="F1040" i="10" s="1"/>
  <c r="H1040" i="10" s="1"/>
  <c r="D1040" i="10"/>
  <c r="M1039" i="10"/>
  <c r="I1039" i="10"/>
  <c r="J1039" i="10" s="1"/>
  <c r="E1039" i="10"/>
  <c r="D1039" i="10"/>
  <c r="K1038" i="10"/>
  <c r="I1038" i="10"/>
  <c r="J1038" i="10" s="1"/>
  <c r="G1038" i="10"/>
  <c r="E1038" i="10"/>
  <c r="F1038" i="10" s="1"/>
  <c r="H1038" i="10" s="1"/>
  <c r="D1038" i="10"/>
  <c r="I1037" i="10"/>
  <c r="J1037" i="10" s="1"/>
  <c r="E1037" i="10"/>
  <c r="D1037" i="10"/>
  <c r="I1036" i="10"/>
  <c r="J1036" i="10" s="1"/>
  <c r="G1036" i="10"/>
  <c r="E1036" i="10"/>
  <c r="F1036" i="10" s="1"/>
  <c r="H1036" i="10" s="1"/>
  <c r="D1036" i="10"/>
  <c r="M1035" i="10"/>
  <c r="I1035" i="10"/>
  <c r="J1035" i="10" s="1"/>
  <c r="E1035" i="10"/>
  <c r="D1035" i="10"/>
  <c r="K1034" i="10"/>
  <c r="I1034" i="10"/>
  <c r="J1034" i="10" s="1"/>
  <c r="G1034" i="10"/>
  <c r="E1034" i="10"/>
  <c r="F1034" i="10" s="1"/>
  <c r="H1034" i="10" s="1"/>
  <c r="D1034" i="10"/>
  <c r="I1033" i="10"/>
  <c r="J1033" i="10" s="1"/>
  <c r="E1033" i="10"/>
  <c r="D1033" i="10"/>
  <c r="I1032" i="10"/>
  <c r="J1032" i="10" s="1"/>
  <c r="G1032" i="10"/>
  <c r="E1032" i="10"/>
  <c r="F1032" i="10" s="1"/>
  <c r="H1032" i="10" s="1"/>
  <c r="D1032" i="10"/>
  <c r="M1031" i="10"/>
  <c r="I1031" i="10"/>
  <c r="J1031" i="10" s="1"/>
  <c r="E1031" i="10"/>
  <c r="D1031" i="10"/>
  <c r="K1030" i="10"/>
  <c r="I1030" i="10"/>
  <c r="J1030" i="10" s="1"/>
  <c r="G1030" i="10"/>
  <c r="E1030" i="10"/>
  <c r="F1030" i="10" s="1"/>
  <c r="H1030" i="10" s="1"/>
  <c r="D1030" i="10"/>
  <c r="M1029" i="10"/>
  <c r="I1029" i="10"/>
  <c r="J1029" i="10" s="1"/>
  <c r="E1029" i="10"/>
  <c r="D1029" i="10"/>
  <c r="K1028" i="10"/>
  <c r="I1028" i="10"/>
  <c r="J1028" i="10" s="1"/>
  <c r="E1028" i="10"/>
  <c r="F1028" i="10" s="1"/>
  <c r="H1028" i="10" s="1"/>
  <c r="D1028" i="10"/>
  <c r="I1027" i="10"/>
  <c r="J1027" i="10" s="1"/>
  <c r="L1027" i="10" s="1"/>
  <c r="E1027" i="10"/>
  <c r="F1027" i="10" s="1"/>
  <c r="H1027" i="10" s="1"/>
  <c r="D1027" i="10"/>
  <c r="M1026" i="10"/>
  <c r="I1026" i="10"/>
  <c r="J1026" i="10" s="1"/>
  <c r="L1026" i="10" s="1"/>
  <c r="E1026" i="10"/>
  <c r="F1026" i="10" s="1"/>
  <c r="H1026" i="10" s="1"/>
  <c r="D1026" i="10"/>
  <c r="I1025" i="10"/>
  <c r="J1025" i="10" s="1"/>
  <c r="L1025" i="10" s="1"/>
  <c r="E1025" i="10"/>
  <c r="F1025" i="10" s="1"/>
  <c r="H1025" i="10" s="1"/>
  <c r="D1025" i="10"/>
  <c r="M1024" i="10"/>
  <c r="I1024" i="10"/>
  <c r="J1024" i="10" s="1"/>
  <c r="L1024" i="10" s="1"/>
  <c r="E1024" i="10"/>
  <c r="F1024" i="10" s="1"/>
  <c r="H1024" i="10" s="1"/>
  <c r="D1024" i="10"/>
  <c r="I1023" i="10"/>
  <c r="J1023" i="10" s="1"/>
  <c r="L1023" i="10" s="1"/>
  <c r="E1023" i="10"/>
  <c r="F1023" i="10" s="1"/>
  <c r="H1023" i="10" s="1"/>
  <c r="D1023" i="10"/>
  <c r="M1022" i="10"/>
  <c r="I1022" i="10"/>
  <c r="J1022" i="10" s="1"/>
  <c r="L1022" i="10" s="1"/>
  <c r="E1022" i="10"/>
  <c r="F1022" i="10" s="1"/>
  <c r="H1022" i="10" s="1"/>
  <c r="D1022" i="10"/>
  <c r="I1021" i="10"/>
  <c r="J1021" i="10" s="1"/>
  <c r="L1021" i="10" s="1"/>
  <c r="E1021" i="10"/>
  <c r="F1021" i="10" s="1"/>
  <c r="H1021" i="10" s="1"/>
  <c r="D1021" i="10"/>
  <c r="M1020" i="10"/>
  <c r="I1020" i="10"/>
  <c r="J1020" i="10" s="1"/>
  <c r="L1020" i="10" s="1"/>
  <c r="E1020" i="10"/>
  <c r="F1020" i="10" s="1"/>
  <c r="H1020" i="10" s="1"/>
  <c r="D1020" i="10"/>
  <c r="I1019" i="10"/>
  <c r="J1019" i="10" s="1"/>
  <c r="L1019" i="10" s="1"/>
  <c r="E1019" i="10"/>
  <c r="F1019" i="10" s="1"/>
  <c r="H1019" i="10" s="1"/>
  <c r="D1019" i="10"/>
  <c r="M1018" i="10"/>
  <c r="I1018" i="10"/>
  <c r="J1018" i="10" s="1"/>
  <c r="L1018" i="10" s="1"/>
  <c r="E1018" i="10"/>
  <c r="F1018" i="10" s="1"/>
  <c r="H1018" i="10" s="1"/>
  <c r="D1018" i="10"/>
  <c r="I1017" i="10"/>
  <c r="J1017" i="10" s="1"/>
  <c r="L1017" i="10" s="1"/>
  <c r="E1017" i="10"/>
  <c r="F1017" i="10" s="1"/>
  <c r="H1017" i="10" s="1"/>
  <c r="D1017" i="10"/>
  <c r="M1016" i="10"/>
  <c r="I1016" i="10"/>
  <c r="J1016" i="10" s="1"/>
  <c r="L1016" i="10" s="1"/>
  <c r="E1016" i="10"/>
  <c r="F1016" i="10" s="1"/>
  <c r="H1016" i="10" s="1"/>
  <c r="D1016" i="10"/>
  <c r="I1015" i="10"/>
  <c r="J1015" i="10" s="1"/>
  <c r="L1015" i="10" s="1"/>
  <c r="E1015" i="10"/>
  <c r="F1015" i="10" s="1"/>
  <c r="H1015" i="10" s="1"/>
  <c r="D1015" i="10"/>
  <c r="M1014" i="10"/>
  <c r="I1014" i="10"/>
  <c r="J1014" i="10" s="1"/>
  <c r="L1014" i="10" s="1"/>
  <c r="E1014" i="10"/>
  <c r="F1014" i="10" s="1"/>
  <c r="H1014" i="10" s="1"/>
  <c r="D1014" i="10"/>
  <c r="I1013" i="10"/>
  <c r="J1013" i="10" s="1"/>
  <c r="L1013" i="10" s="1"/>
  <c r="G1013" i="10"/>
  <c r="F1013" i="10"/>
  <c r="H1013" i="10" s="1"/>
  <c r="E1013" i="10"/>
  <c r="D1013" i="10"/>
  <c r="I1012" i="10"/>
  <c r="J1012" i="10" s="1"/>
  <c r="K1012" i="10" s="1"/>
  <c r="D1012" i="10"/>
  <c r="E1012" i="10" s="1"/>
  <c r="I1011" i="10"/>
  <c r="J1011" i="10" s="1"/>
  <c r="G1011" i="10"/>
  <c r="F1011" i="10"/>
  <c r="H1011" i="10" s="1"/>
  <c r="E1011" i="10"/>
  <c r="D1011" i="10"/>
  <c r="I1010" i="10"/>
  <c r="J1010" i="10" s="1"/>
  <c r="K1010" i="10" s="1"/>
  <c r="D1010" i="10"/>
  <c r="E1010" i="10" s="1"/>
  <c r="I1009" i="10"/>
  <c r="J1009" i="10" s="1"/>
  <c r="G1009" i="10"/>
  <c r="F1009" i="10"/>
  <c r="H1009" i="10" s="1"/>
  <c r="E1009" i="10"/>
  <c r="D1009" i="10"/>
  <c r="I1008" i="10"/>
  <c r="J1008" i="10" s="1"/>
  <c r="D1008" i="10"/>
  <c r="E1008" i="10" s="1"/>
  <c r="I1007" i="10"/>
  <c r="J1007" i="10" s="1"/>
  <c r="G1007" i="10"/>
  <c r="F1007" i="10"/>
  <c r="H1007" i="10" s="1"/>
  <c r="E1007" i="10"/>
  <c r="D1007" i="10"/>
  <c r="I1006" i="10"/>
  <c r="J1006" i="10" s="1"/>
  <c r="D1006" i="10"/>
  <c r="E1006" i="10" s="1"/>
  <c r="J1005" i="10"/>
  <c r="I1005" i="10"/>
  <c r="F1005" i="10"/>
  <c r="H1005" i="10" s="1"/>
  <c r="D1005" i="10"/>
  <c r="E1005" i="10" s="1"/>
  <c r="G1005" i="10" s="1"/>
  <c r="L1004" i="10"/>
  <c r="J1004" i="10"/>
  <c r="M1004" i="10" s="1"/>
  <c r="I1004" i="10"/>
  <c r="D1004" i="10"/>
  <c r="E1004" i="10" s="1"/>
  <c r="J1003" i="10"/>
  <c r="I1003" i="10"/>
  <c r="D1003" i="10"/>
  <c r="E1003" i="10" s="1"/>
  <c r="G1003" i="10" s="1"/>
  <c r="L1002" i="10"/>
  <c r="J1002" i="10"/>
  <c r="M1002" i="10" s="1"/>
  <c r="I1002" i="10"/>
  <c r="D1002" i="10"/>
  <c r="E1002" i="10" s="1"/>
  <c r="J1001" i="10"/>
  <c r="I1001" i="10"/>
  <c r="D1001" i="10"/>
  <c r="E1001" i="10" s="1"/>
  <c r="G1001" i="10" s="1"/>
  <c r="L1000" i="10"/>
  <c r="J1000" i="10"/>
  <c r="M1000" i="10" s="1"/>
  <c r="I1000" i="10"/>
  <c r="D1000" i="10"/>
  <c r="E1000" i="10" s="1"/>
  <c r="J999" i="10"/>
  <c r="I999" i="10"/>
  <c r="D999" i="10"/>
  <c r="E999" i="10" s="1"/>
  <c r="G999" i="10" s="1"/>
  <c r="L998" i="10"/>
  <c r="J998" i="10"/>
  <c r="M998" i="10" s="1"/>
  <c r="I998" i="10"/>
  <c r="D998" i="10"/>
  <c r="E998" i="10" s="1"/>
  <c r="J997" i="10"/>
  <c r="I997" i="10"/>
  <c r="F997" i="10"/>
  <c r="H997" i="10" s="1"/>
  <c r="D997" i="10"/>
  <c r="E997" i="10" s="1"/>
  <c r="G997" i="10" s="1"/>
  <c r="L996" i="10"/>
  <c r="J996" i="10"/>
  <c r="M996" i="10" s="1"/>
  <c r="I996" i="10"/>
  <c r="D996" i="10"/>
  <c r="E996" i="10" s="1"/>
  <c r="J995" i="10"/>
  <c r="L995" i="10" s="1"/>
  <c r="I995" i="10"/>
  <c r="D995" i="10"/>
  <c r="E995" i="10" s="1"/>
  <c r="G995" i="10" s="1"/>
  <c r="J994" i="10"/>
  <c r="I994" i="10"/>
  <c r="D994" i="10"/>
  <c r="E994" i="10" s="1"/>
  <c r="G994" i="10" s="1"/>
  <c r="J993" i="10"/>
  <c r="L993" i="10" s="1"/>
  <c r="I993" i="10"/>
  <c r="D993" i="10"/>
  <c r="E993" i="10" s="1"/>
  <c r="G993" i="10" s="1"/>
  <c r="J992" i="10"/>
  <c r="I992" i="10"/>
  <c r="D992" i="10"/>
  <c r="E992" i="10" s="1"/>
  <c r="G992" i="10" s="1"/>
  <c r="J991" i="10"/>
  <c r="L991" i="10" s="1"/>
  <c r="I991" i="10"/>
  <c r="D991" i="10"/>
  <c r="E991" i="10" s="1"/>
  <c r="G991" i="10" s="1"/>
  <c r="J990" i="10"/>
  <c r="I990" i="10"/>
  <c r="D990" i="10"/>
  <c r="E990" i="10" s="1"/>
  <c r="G990" i="10" s="1"/>
  <c r="J989" i="10"/>
  <c r="L989" i="10" s="1"/>
  <c r="I989" i="10"/>
  <c r="D989" i="10"/>
  <c r="E989" i="10" s="1"/>
  <c r="G989" i="10" s="1"/>
  <c r="J988" i="10"/>
  <c r="I988" i="10"/>
  <c r="D988" i="10"/>
  <c r="E988" i="10" s="1"/>
  <c r="G988" i="10" s="1"/>
  <c r="J987" i="10"/>
  <c r="L987" i="10" s="1"/>
  <c r="I987" i="10"/>
  <c r="D987" i="10"/>
  <c r="E987" i="10" s="1"/>
  <c r="G987" i="10" s="1"/>
  <c r="J986" i="10"/>
  <c r="I986" i="10"/>
  <c r="D986" i="10"/>
  <c r="E986" i="10" s="1"/>
  <c r="G986" i="10" s="1"/>
  <c r="J985" i="10"/>
  <c r="L985" i="10" s="1"/>
  <c r="I985" i="10"/>
  <c r="D985" i="10"/>
  <c r="E985" i="10" s="1"/>
  <c r="G985" i="10" s="1"/>
  <c r="J984" i="10"/>
  <c r="I984" i="10"/>
  <c r="D984" i="10"/>
  <c r="E984" i="10" s="1"/>
  <c r="G984" i="10" s="1"/>
  <c r="J983" i="10"/>
  <c r="L983" i="10" s="1"/>
  <c r="I983" i="10"/>
  <c r="E983" i="10"/>
  <c r="G983" i="10" s="1"/>
  <c r="D983" i="10"/>
  <c r="J982" i="10"/>
  <c r="M982" i="10" s="1"/>
  <c r="I982" i="10"/>
  <c r="F982" i="10"/>
  <c r="H982" i="10" s="1"/>
  <c r="D982" i="10"/>
  <c r="E982" i="10" s="1"/>
  <c r="G982" i="10" s="1"/>
  <c r="J981" i="10"/>
  <c r="K981" i="10" s="1"/>
  <c r="I981" i="10"/>
  <c r="E981" i="10"/>
  <c r="G981" i="10" s="1"/>
  <c r="D981" i="10"/>
  <c r="J980" i="10"/>
  <c r="M980" i="10" s="1"/>
  <c r="I980" i="10"/>
  <c r="F980" i="10"/>
  <c r="H980" i="10" s="1"/>
  <c r="D980" i="10"/>
  <c r="E980" i="10" s="1"/>
  <c r="G980" i="10" s="1"/>
  <c r="I979" i="10"/>
  <c r="J979" i="10" s="1"/>
  <c r="G979" i="10"/>
  <c r="E979" i="10"/>
  <c r="F979" i="10" s="1"/>
  <c r="H979" i="10" s="1"/>
  <c r="D979" i="10"/>
  <c r="I978" i="10"/>
  <c r="J978" i="10" s="1"/>
  <c r="E978" i="10"/>
  <c r="G978" i="10" s="1"/>
  <c r="D978" i="10"/>
  <c r="I977" i="10"/>
  <c r="J977" i="10" s="1"/>
  <c r="G977" i="10"/>
  <c r="E977" i="10"/>
  <c r="F977" i="10" s="1"/>
  <c r="H977" i="10" s="1"/>
  <c r="D977" i="10"/>
  <c r="I976" i="10"/>
  <c r="J976" i="10" s="1"/>
  <c r="E976" i="10"/>
  <c r="G976" i="10" s="1"/>
  <c r="D976" i="10"/>
  <c r="I975" i="10"/>
  <c r="J975" i="10" s="1"/>
  <c r="G975" i="10"/>
  <c r="E975" i="10"/>
  <c r="F975" i="10" s="1"/>
  <c r="H975" i="10" s="1"/>
  <c r="D975" i="10"/>
  <c r="I974" i="10"/>
  <c r="J974" i="10" s="1"/>
  <c r="E974" i="10"/>
  <c r="G974" i="10" s="1"/>
  <c r="D974" i="10"/>
  <c r="I973" i="10"/>
  <c r="J973" i="10" s="1"/>
  <c r="G973" i="10"/>
  <c r="E973" i="10"/>
  <c r="F973" i="10" s="1"/>
  <c r="H973" i="10" s="1"/>
  <c r="D973" i="10"/>
  <c r="I972" i="10"/>
  <c r="J972" i="10" s="1"/>
  <c r="E972" i="10"/>
  <c r="G972" i="10" s="1"/>
  <c r="D972" i="10"/>
  <c r="I971" i="10"/>
  <c r="J971" i="10" s="1"/>
  <c r="G971" i="10"/>
  <c r="E971" i="10"/>
  <c r="F971" i="10" s="1"/>
  <c r="H971" i="10" s="1"/>
  <c r="D971" i="10"/>
  <c r="I970" i="10"/>
  <c r="J970" i="10" s="1"/>
  <c r="E970" i="10"/>
  <c r="G970" i="10" s="1"/>
  <c r="D970" i="10"/>
  <c r="I969" i="10"/>
  <c r="J969" i="10" s="1"/>
  <c r="G969" i="10"/>
  <c r="E969" i="10"/>
  <c r="F969" i="10" s="1"/>
  <c r="H969" i="10" s="1"/>
  <c r="D969" i="10"/>
  <c r="I968" i="10"/>
  <c r="J968" i="10" s="1"/>
  <c r="E968" i="10"/>
  <c r="G968" i="10" s="1"/>
  <c r="D968" i="10"/>
  <c r="I967" i="10"/>
  <c r="J967" i="10" s="1"/>
  <c r="G967" i="10"/>
  <c r="E967" i="10"/>
  <c r="F967" i="10" s="1"/>
  <c r="H967" i="10" s="1"/>
  <c r="D967" i="10"/>
  <c r="I966" i="10"/>
  <c r="J966" i="10" s="1"/>
  <c r="E966" i="10"/>
  <c r="G966" i="10" s="1"/>
  <c r="D966" i="10"/>
  <c r="I965" i="10"/>
  <c r="J965" i="10" s="1"/>
  <c r="G965" i="10"/>
  <c r="E965" i="10"/>
  <c r="F965" i="10" s="1"/>
  <c r="H965" i="10" s="1"/>
  <c r="D965" i="10"/>
  <c r="I964" i="10"/>
  <c r="J964" i="10" s="1"/>
  <c r="E964" i="10"/>
  <c r="G964" i="10" s="1"/>
  <c r="D964" i="10"/>
  <c r="I963" i="10"/>
  <c r="J963" i="10" s="1"/>
  <c r="G963" i="10"/>
  <c r="E963" i="10"/>
  <c r="F963" i="10" s="1"/>
  <c r="H963" i="10" s="1"/>
  <c r="D963" i="10"/>
  <c r="I962" i="10"/>
  <c r="J962" i="10" s="1"/>
  <c r="E962" i="10"/>
  <c r="G962" i="10" s="1"/>
  <c r="D962" i="10"/>
  <c r="I961" i="10"/>
  <c r="J961" i="10" s="1"/>
  <c r="G961" i="10"/>
  <c r="E961" i="10"/>
  <c r="F961" i="10" s="1"/>
  <c r="H961" i="10" s="1"/>
  <c r="D961" i="10"/>
  <c r="I960" i="10"/>
  <c r="J960" i="10" s="1"/>
  <c r="E960" i="10"/>
  <c r="G960" i="10" s="1"/>
  <c r="D960" i="10"/>
  <c r="I959" i="10"/>
  <c r="J959" i="10" s="1"/>
  <c r="G959" i="10"/>
  <c r="E959" i="10"/>
  <c r="F959" i="10" s="1"/>
  <c r="H959" i="10" s="1"/>
  <c r="D959" i="10"/>
  <c r="I958" i="10"/>
  <c r="J958" i="10" s="1"/>
  <c r="E958" i="10"/>
  <c r="G958" i="10" s="1"/>
  <c r="D958" i="10"/>
  <c r="I957" i="10"/>
  <c r="J957" i="10" s="1"/>
  <c r="G957" i="10"/>
  <c r="E957" i="10"/>
  <c r="F957" i="10" s="1"/>
  <c r="H957" i="10" s="1"/>
  <c r="D957" i="10"/>
  <c r="I956" i="10"/>
  <c r="J956" i="10" s="1"/>
  <c r="E956" i="10"/>
  <c r="G956" i="10" s="1"/>
  <c r="D956" i="10"/>
  <c r="I955" i="10"/>
  <c r="J955" i="10" s="1"/>
  <c r="G955" i="10"/>
  <c r="E955" i="10"/>
  <c r="F955" i="10" s="1"/>
  <c r="H955" i="10" s="1"/>
  <c r="D955" i="10"/>
  <c r="I954" i="10"/>
  <c r="J954" i="10" s="1"/>
  <c r="E954" i="10"/>
  <c r="G954" i="10" s="1"/>
  <c r="D954" i="10"/>
  <c r="I953" i="10"/>
  <c r="J953" i="10" s="1"/>
  <c r="G953" i="10"/>
  <c r="E953" i="10"/>
  <c r="F953" i="10" s="1"/>
  <c r="H953" i="10" s="1"/>
  <c r="D953" i="10"/>
  <c r="I952" i="10"/>
  <c r="J952" i="10" s="1"/>
  <c r="E952" i="10"/>
  <c r="G952" i="10" s="1"/>
  <c r="D952" i="10"/>
  <c r="I951" i="10"/>
  <c r="J951" i="10" s="1"/>
  <c r="G951" i="10"/>
  <c r="E951" i="10"/>
  <c r="F951" i="10" s="1"/>
  <c r="H951" i="10" s="1"/>
  <c r="D951" i="10"/>
  <c r="I950" i="10"/>
  <c r="J950" i="10" s="1"/>
  <c r="E950" i="10"/>
  <c r="G950" i="10" s="1"/>
  <c r="D950" i="10"/>
  <c r="I949" i="10"/>
  <c r="J949" i="10" s="1"/>
  <c r="G949" i="10"/>
  <c r="E949" i="10"/>
  <c r="F949" i="10" s="1"/>
  <c r="H949" i="10" s="1"/>
  <c r="D949" i="10"/>
  <c r="I948" i="10"/>
  <c r="J948" i="10" s="1"/>
  <c r="E948" i="10"/>
  <c r="G948" i="10" s="1"/>
  <c r="D948" i="10"/>
  <c r="I947" i="10"/>
  <c r="J947" i="10" s="1"/>
  <c r="G947" i="10"/>
  <c r="E947" i="10"/>
  <c r="F947" i="10" s="1"/>
  <c r="H947" i="10" s="1"/>
  <c r="D947" i="10"/>
  <c r="I946" i="10"/>
  <c r="J946" i="10" s="1"/>
  <c r="E946" i="10"/>
  <c r="G946" i="10" s="1"/>
  <c r="D946" i="10"/>
  <c r="I945" i="10"/>
  <c r="J945" i="10" s="1"/>
  <c r="G945" i="10"/>
  <c r="E945" i="10"/>
  <c r="F945" i="10" s="1"/>
  <c r="H945" i="10" s="1"/>
  <c r="D945" i="10"/>
  <c r="I944" i="10"/>
  <c r="J944" i="10" s="1"/>
  <c r="E944" i="10"/>
  <c r="D944" i="10"/>
  <c r="I943" i="10"/>
  <c r="J943" i="10" s="1"/>
  <c r="G943" i="10"/>
  <c r="E943" i="10"/>
  <c r="F943" i="10" s="1"/>
  <c r="H943" i="10" s="1"/>
  <c r="D943" i="10"/>
  <c r="I942" i="10"/>
  <c r="J942" i="10" s="1"/>
  <c r="L942" i="10" s="1"/>
  <c r="E942" i="10"/>
  <c r="F942" i="10" s="1"/>
  <c r="H942" i="10" s="1"/>
  <c r="D942" i="10"/>
  <c r="I941" i="10"/>
  <c r="J941" i="10" s="1"/>
  <c r="L941" i="10" s="1"/>
  <c r="E941" i="10"/>
  <c r="F941" i="10" s="1"/>
  <c r="H941" i="10" s="1"/>
  <c r="D941" i="10"/>
  <c r="I940" i="10"/>
  <c r="J940" i="10" s="1"/>
  <c r="L940" i="10" s="1"/>
  <c r="E940" i="10"/>
  <c r="F940" i="10" s="1"/>
  <c r="H940" i="10" s="1"/>
  <c r="D940" i="10"/>
  <c r="I939" i="10"/>
  <c r="J939" i="10" s="1"/>
  <c r="L939" i="10" s="1"/>
  <c r="E939" i="10"/>
  <c r="F939" i="10" s="1"/>
  <c r="H939" i="10" s="1"/>
  <c r="D939" i="10"/>
  <c r="I938" i="10"/>
  <c r="J938" i="10" s="1"/>
  <c r="L938" i="10" s="1"/>
  <c r="E938" i="10"/>
  <c r="F938" i="10" s="1"/>
  <c r="H938" i="10" s="1"/>
  <c r="D938" i="10"/>
  <c r="I937" i="10"/>
  <c r="J937" i="10" s="1"/>
  <c r="L937" i="10" s="1"/>
  <c r="E937" i="10"/>
  <c r="F937" i="10" s="1"/>
  <c r="H937" i="10" s="1"/>
  <c r="D937" i="10"/>
  <c r="I936" i="10"/>
  <c r="J936" i="10" s="1"/>
  <c r="L936" i="10" s="1"/>
  <c r="E936" i="10"/>
  <c r="F936" i="10" s="1"/>
  <c r="H936" i="10" s="1"/>
  <c r="D936" i="10"/>
  <c r="I935" i="10"/>
  <c r="J935" i="10" s="1"/>
  <c r="L935" i="10" s="1"/>
  <c r="E935" i="10"/>
  <c r="F935" i="10" s="1"/>
  <c r="H935" i="10" s="1"/>
  <c r="D935" i="10"/>
  <c r="I934" i="10"/>
  <c r="J934" i="10" s="1"/>
  <c r="L934" i="10" s="1"/>
  <c r="E934" i="10"/>
  <c r="F934" i="10" s="1"/>
  <c r="H934" i="10" s="1"/>
  <c r="D934" i="10"/>
  <c r="I933" i="10"/>
  <c r="J933" i="10" s="1"/>
  <c r="L933" i="10" s="1"/>
  <c r="E933" i="10"/>
  <c r="F933" i="10" s="1"/>
  <c r="H933" i="10" s="1"/>
  <c r="D933" i="10"/>
  <c r="I932" i="10"/>
  <c r="J932" i="10" s="1"/>
  <c r="L932" i="10" s="1"/>
  <c r="E932" i="10"/>
  <c r="F932" i="10" s="1"/>
  <c r="H932" i="10" s="1"/>
  <c r="D932" i="10"/>
  <c r="I931" i="10"/>
  <c r="J931" i="10" s="1"/>
  <c r="L931" i="10" s="1"/>
  <c r="E931" i="10"/>
  <c r="F931" i="10" s="1"/>
  <c r="H931" i="10" s="1"/>
  <c r="D931" i="10"/>
  <c r="I930" i="10"/>
  <c r="J930" i="10" s="1"/>
  <c r="L930" i="10" s="1"/>
  <c r="E930" i="10"/>
  <c r="F930" i="10" s="1"/>
  <c r="H930" i="10" s="1"/>
  <c r="D930" i="10"/>
  <c r="I929" i="10"/>
  <c r="J929" i="10" s="1"/>
  <c r="L929" i="10" s="1"/>
  <c r="E929" i="10"/>
  <c r="F929" i="10" s="1"/>
  <c r="H929" i="10" s="1"/>
  <c r="D929" i="10"/>
  <c r="I928" i="10"/>
  <c r="J928" i="10" s="1"/>
  <c r="L928" i="10" s="1"/>
  <c r="E928" i="10"/>
  <c r="F928" i="10" s="1"/>
  <c r="H928" i="10" s="1"/>
  <c r="D928" i="10"/>
  <c r="I927" i="10"/>
  <c r="J927" i="10" s="1"/>
  <c r="L927" i="10" s="1"/>
  <c r="E927" i="10"/>
  <c r="F927" i="10" s="1"/>
  <c r="H927" i="10" s="1"/>
  <c r="D927" i="10"/>
  <c r="I926" i="10"/>
  <c r="J926" i="10" s="1"/>
  <c r="L926" i="10" s="1"/>
  <c r="E926" i="10"/>
  <c r="F926" i="10" s="1"/>
  <c r="H926" i="10" s="1"/>
  <c r="D926" i="10"/>
  <c r="I925" i="10"/>
  <c r="J925" i="10" s="1"/>
  <c r="L925" i="10" s="1"/>
  <c r="E925" i="10"/>
  <c r="F925" i="10" s="1"/>
  <c r="H925" i="10" s="1"/>
  <c r="D925" i="10"/>
  <c r="I924" i="10"/>
  <c r="J924" i="10" s="1"/>
  <c r="L924" i="10" s="1"/>
  <c r="E924" i="10"/>
  <c r="F924" i="10" s="1"/>
  <c r="H924" i="10" s="1"/>
  <c r="D924" i="10"/>
  <c r="I923" i="10"/>
  <c r="J923" i="10" s="1"/>
  <c r="L923" i="10" s="1"/>
  <c r="E923" i="10"/>
  <c r="F923" i="10" s="1"/>
  <c r="H923" i="10" s="1"/>
  <c r="D923" i="10"/>
  <c r="I922" i="10"/>
  <c r="J922" i="10" s="1"/>
  <c r="L922" i="10" s="1"/>
  <c r="E922" i="10"/>
  <c r="F922" i="10" s="1"/>
  <c r="H922" i="10" s="1"/>
  <c r="D922" i="10"/>
  <c r="I921" i="10"/>
  <c r="J921" i="10" s="1"/>
  <c r="L921" i="10" s="1"/>
  <c r="E921" i="10"/>
  <c r="F921" i="10" s="1"/>
  <c r="H921" i="10" s="1"/>
  <c r="D921" i="10"/>
  <c r="I920" i="10"/>
  <c r="J920" i="10" s="1"/>
  <c r="L920" i="10" s="1"/>
  <c r="E920" i="10"/>
  <c r="F920" i="10" s="1"/>
  <c r="H920" i="10" s="1"/>
  <c r="D920" i="10"/>
  <c r="I919" i="10"/>
  <c r="J919" i="10" s="1"/>
  <c r="L919" i="10" s="1"/>
  <c r="E919" i="10"/>
  <c r="F919" i="10" s="1"/>
  <c r="H919" i="10" s="1"/>
  <c r="D919" i="10"/>
  <c r="I918" i="10"/>
  <c r="J918" i="10" s="1"/>
  <c r="L918" i="10" s="1"/>
  <c r="E918" i="10"/>
  <c r="F918" i="10" s="1"/>
  <c r="H918" i="10" s="1"/>
  <c r="D918" i="10"/>
  <c r="I917" i="10"/>
  <c r="J917" i="10" s="1"/>
  <c r="L917" i="10" s="1"/>
  <c r="E917" i="10"/>
  <c r="F917" i="10" s="1"/>
  <c r="H917" i="10" s="1"/>
  <c r="D917" i="10"/>
  <c r="I916" i="10"/>
  <c r="J916" i="10" s="1"/>
  <c r="L916" i="10" s="1"/>
  <c r="E916" i="10"/>
  <c r="F916" i="10" s="1"/>
  <c r="H916" i="10" s="1"/>
  <c r="D916" i="10"/>
  <c r="I915" i="10"/>
  <c r="J915" i="10" s="1"/>
  <c r="L915" i="10" s="1"/>
  <c r="E915" i="10"/>
  <c r="F915" i="10" s="1"/>
  <c r="H915" i="10" s="1"/>
  <c r="D915" i="10"/>
  <c r="I914" i="10"/>
  <c r="J914" i="10" s="1"/>
  <c r="L914" i="10" s="1"/>
  <c r="E914" i="10"/>
  <c r="F914" i="10" s="1"/>
  <c r="H914" i="10" s="1"/>
  <c r="D914" i="10"/>
  <c r="I913" i="10"/>
  <c r="J913" i="10" s="1"/>
  <c r="L913" i="10" s="1"/>
  <c r="E913" i="10"/>
  <c r="F913" i="10" s="1"/>
  <c r="H913" i="10" s="1"/>
  <c r="D913" i="10"/>
  <c r="I912" i="10"/>
  <c r="J912" i="10" s="1"/>
  <c r="L912" i="10" s="1"/>
  <c r="E912" i="10"/>
  <c r="F912" i="10" s="1"/>
  <c r="H912" i="10" s="1"/>
  <c r="D912" i="10"/>
  <c r="I911" i="10"/>
  <c r="J911" i="10" s="1"/>
  <c r="L911" i="10" s="1"/>
  <c r="E911" i="10"/>
  <c r="F911" i="10" s="1"/>
  <c r="H911" i="10" s="1"/>
  <c r="D911" i="10"/>
  <c r="I910" i="10"/>
  <c r="J910" i="10" s="1"/>
  <c r="L910" i="10" s="1"/>
  <c r="E910" i="10"/>
  <c r="F910" i="10" s="1"/>
  <c r="H910" i="10" s="1"/>
  <c r="D910" i="10"/>
  <c r="J909" i="10"/>
  <c r="L909" i="10" s="1"/>
  <c r="I909" i="10"/>
  <c r="E909" i="10"/>
  <c r="G909" i="10" s="1"/>
  <c r="D909" i="10"/>
  <c r="M908" i="10"/>
  <c r="K908" i="10"/>
  <c r="I908" i="10"/>
  <c r="J908" i="10" s="1"/>
  <c r="L908" i="10" s="1"/>
  <c r="E908" i="10"/>
  <c r="F908" i="10" s="1"/>
  <c r="H908" i="10" s="1"/>
  <c r="D908" i="10"/>
  <c r="J907" i="10"/>
  <c r="L907" i="10" s="1"/>
  <c r="I907" i="10"/>
  <c r="E907" i="10"/>
  <c r="G907" i="10" s="1"/>
  <c r="D907" i="10"/>
  <c r="M906" i="10"/>
  <c r="K906" i="10"/>
  <c r="I906" i="10"/>
  <c r="J906" i="10" s="1"/>
  <c r="L906" i="10" s="1"/>
  <c r="D906" i="10"/>
  <c r="E906" i="10" s="1"/>
  <c r="L905" i="10"/>
  <c r="J905" i="10"/>
  <c r="M905" i="10" s="1"/>
  <c r="I905" i="10"/>
  <c r="D905" i="10"/>
  <c r="E905" i="10" s="1"/>
  <c r="J904" i="10"/>
  <c r="L904" i="10" s="1"/>
  <c r="I904" i="10"/>
  <c r="D904" i="10"/>
  <c r="E904" i="10" s="1"/>
  <c r="L903" i="10"/>
  <c r="J903" i="10"/>
  <c r="M903" i="10" s="1"/>
  <c r="I903" i="10"/>
  <c r="D903" i="10"/>
  <c r="E903" i="10" s="1"/>
  <c r="J902" i="10"/>
  <c r="L902" i="10" s="1"/>
  <c r="I902" i="10"/>
  <c r="D902" i="10"/>
  <c r="E902" i="10" s="1"/>
  <c r="L901" i="10"/>
  <c r="J901" i="10"/>
  <c r="M901" i="10" s="1"/>
  <c r="I901" i="10"/>
  <c r="D901" i="10"/>
  <c r="E901" i="10" s="1"/>
  <c r="J900" i="10"/>
  <c r="L900" i="10" s="1"/>
  <c r="I900" i="10"/>
  <c r="D900" i="10"/>
  <c r="E900" i="10" s="1"/>
  <c r="L899" i="10"/>
  <c r="J899" i="10"/>
  <c r="M899" i="10" s="1"/>
  <c r="I899" i="10"/>
  <c r="D899" i="10"/>
  <c r="E899" i="10" s="1"/>
  <c r="J898" i="10"/>
  <c r="L898" i="10" s="1"/>
  <c r="I898" i="10"/>
  <c r="D898" i="10"/>
  <c r="E898" i="10" s="1"/>
  <c r="L897" i="10"/>
  <c r="J897" i="10"/>
  <c r="M897" i="10" s="1"/>
  <c r="I897" i="10"/>
  <c r="D897" i="10"/>
  <c r="E897" i="10" s="1"/>
  <c r="J896" i="10"/>
  <c r="L896" i="10" s="1"/>
  <c r="I896" i="10"/>
  <c r="D896" i="10"/>
  <c r="E896" i="10" s="1"/>
  <c r="L895" i="10"/>
  <c r="J895" i="10"/>
  <c r="M895" i="10" s="1"/>
  <c r="I895" i="10"/>
  <c r="D895" i="10"/>
  <c r="E895" i="10" s="1"/>
  <c r="J894" i="10"/>
  <c r="L894" i="10" s="1"/>
  <c r="I894" i="10"/>
  <c r="D894" i="10"/>
  <c r="E894" i="10" s="1"/>
  <c r="L893" i="10"/>
  <c r="J893" i="10"/>
  <c r="M893" i="10" s="1"/>
  <c r="I893" i="10"/>
  <c r="D893" i="10"/>
  <c r="E893" i="10" s="1"/>
  <c r="J892" i="10"/>
  <c r="I892" i="10"/>
  <c r="D892" i="10"/>
  <c r="E892" i="10" s="1"/>
  <c r="G892" i="10" s="1"/>
  <c r="L891" i="10"/>
  <c r="J891" i="10"/>
  <c r="M891" i="10" s="1"/>
  <c r="I891" i="10"/>
  <c r="D891" i="10"/>
  <c r="E891" i="10" s="1"/>
  <c r="J890" i="10"/>
  <c r="I890" i="10"/>
  <c r="D890" i="10"/>
  <c r="E890" i="10" s="1"/>
  <c r="G890" i="10" s="1"/>
  <c r="L889" i="10"/>
  <c r="J889" i="10"/>
  <c r="I889" i="10"/>
  <c r="D889" i="10"/>
  <c r="E889" i="10" s="1"/>
  <c r="G889" i="10" s="1"/>
  <c r="J888" i="10"/>
  <c r="I888" i="10"/>
  <c r="D888" i="10"/>
  <c r="E888" i="10" s="1"/>
  <c r="G888" i="10" s="1"/>
  <c r="J887" i="10"/>
  <c r="I887" i="10"/>
  <c r="D887" i="10"/>
  <c r="E887" i="10" s="1"/>
  <c r="G887" i="10" s="1"/>
  <c r="J886" i="10"/>
  <c r="I886" i="10"/>
  <c r="D886" i="10"/>
  <c r="E886" i="10" s="1"/>
  <c r="G886" i="10" s="1"/>
  <c r="J885" i="10"/>
  <c r="I885" i="10"/>
  <c r="D885" i="10"/>
  <c r="E885" i="10" s="1"/>
  <c r="G885" i="10" s="1"/>
  <c r="J884" i="10"/>
  <c r="I884" i="10"/>
  <c r="D884" i="10"/>
  <c r="E884" i="10" s="1"/>
  <c r="G884" i="10" s="1"/>
  <c r="J883" i="10"/>
  <c r="I883" i="10"/>
  <c r="D883" i="10"/>
  <c r="E883" i="10" s="1"/>
  <c r="G883" i="10" s="1"/>
  <c r="J882" i="10"/>
  <c r="I882" i="10"/>
  <c r="D882" i="10"/>
  <c r="E882" i="10" s="1"/>
  <c r="G882" i="10" s="1"/>
  <c r="J881" i="10"/>
  <c r="I881" i="10"/>
  <c r="D881" i="10"/>
  <c r="E881" i="10" s="1"/>
  <c r="G881" i="10" s="1"/>
  <c r="J880" i="10"/>
  <c r="I880" i="10"/>
  <c r="D880" i="10"/>
  <c r="E880" i="10" s="1"/>
  <c r="G880" i="10" s="1"/>
  <c r="J879" i="10"/>
  <c r="I879" i="10"/>
  <c r="D879" i="10"/>
  <c r="E879" i="10" s="1"/>
  <c r="G879" i="10" s="1"/>
  <c r="J878" i="10"/>
  <c r="I878" i="10"/>
  <c r="D878" i="10"/>
  <c r="E878" i="10" s="1"/>
  <c r="G878" i="10" s="1"/>
  <c r="J877" i="10"/>
  <c r="I877" i="10"/>
  <c r="D877" i="10"/>
  <c r="E877" i="10" s="1"/>
  <c r="G877" i="10" s="1"/>
  <c r="J876" i="10"/>
  <c r="I876" i="10"/>
  <c r="D876" i="10"/>
  <c r="E876" i="10" s="1"/>
  <c r="G876" i="10" s="1"/>
  <c r="J875" i="10"/>
  <c r="I875" i="10"/>
  <c r="D875" i="10"/>
  <c r="E875" i="10" s="1"/>
  <c r="G875" i="10" s="1"/>
  <c r="J874" i="10"/>
  <c r="I874" i="10"/>
  <c r="D874" i="10"/>
  <c r="E874" i="10" s="1"/>
  <c r="G874" i="10" s="1"/>
  <c r="J873" i="10"/>
  <c r="I873" i="10"/>
  <c r="D873" i="10"/>
  <c r="E873" i="10" s="1"/>
  <c r="G873" i="10" s="1"/>
  <c r="J872" i="10"/>
  <c r="I872" i="10"/>
  <c r="D872" i="10"/>
  <c r="E872" i="10" s="1"/>
  <c r="G872" i="10" s="1"/>
  <c r="J871" i="10"/>
  <c r="I871" i="10"/>
  <c r="D871" i="10"/>
  <c r="E871" i="10" s="1"/>
  <c r="G871" i="10" s="1"/>
  <c r="J870" i="10"/>
  <c r="I870" i="10"/>
  <c r="D870" i="10"/>
  <c r="E870" i="10" s="1"/>
  <c r="G870" i="10" s="1"/>
  <c r="J869" i="10"/>
  <c r="I869" i="10"/>
  <c r="D869" i="10"/>
  <c r="E869" i="10" s="1"/>
  <c r="G869" i="10" s="1"/>
  <c r="J868" i="10"/>
  <c r="I868" i="10"/>
  <c r="D868" i="10"/>
  <c r="E868" i="10" s="1"/>
  <c r="G868" i="10" s="1"/>
  <c r="J867" i="10"/>
  <c r="I867" i="10"/>
  <c r="D867" i="10"/>
  <c r="E867" i="10" s="1"/>
  <c r="G867" i="10" s="1"/>
  <c r="J866" i="10"/>
  <c r="I866" i="10"/>
  <c r="D866" i="10"/>
  <c r="E866" i="10" s="1"/>
  <c r="J865" i="10"/>
  <c r="I865" i="10"/>
  <c r="D865" i="10"/>
  <c r="E865" i="10" s="1"/>
  <c r="J864" i="10"/>
  <c r="I864" i="10"/>
  <c r="D864" i="10"/>
  <c r="E864" i="10" s="1"/>
  <c r="J863" i="10"/>
  <c r="I863" i="10"/>
  <c r="D863" i="10"/>
  <c r="E863" i="10" s="1"/>
  <c r="J862" i="10"/>
  <c r="I862" i="10"/>
  <c r="D862" i="10"/>
  <c r="E862" i="10" s="1"/>
  <c r="J861" i="10"/>
  <c r="I861" i="10"/>
  <c r="D861" i="10"/>
  <c r="E861" i="10" s="1"/>
  <c r="J860" i="10"/>
  <c r="I860" i="10"/>
  <c r="D860" i="10"/>
  <c r="E860" i="10" s="1"/>
  <c r="J859" i="10"/>
  <c r="I859" i="10"/>
  <c r="D859" i="10"/>
  <c r="E859" i="10" s="1"/>
  <c r="J858" i="10"/>
  <c r="I858" i="10"/>
  <c r="D858" i="10"/>
  <c r="E858" i="10" s="1"/>
  <c r="J857" i="10"/>
  <c r="I857" i="10"/>
  <c r="D857" i="10"/>
  <c r="E857" i="10" s="1"/>
  <c r="J856" i="10"/>
  <c r="I856" i="10"/>
  <c r="D856" i="10"/>
  <c r="E856" i="10" s="1"/>
  <c r="J855" i="10"/>
  <c r="I855" i="10"/>
  <c r="D855" i="10"/>
  <c r="E855" i="10" s="1"/>
  <c r="J854" i="10"/>
  <c r="I854" i="10"/>
  <c r="D854" i="10"/>
  <c r="E854" i="10" s="1"/>
  <c r="J853" i="10"/>
  <c r="I853" i="10"/>
  <c r="D853" i="10"/>
  <c r="E853" i="10" s="1"/>
  <c r="J852" i="10"/>
  <c r="I852" i="10"/>
  <c r="D852" i="10"/>
  <c r="E852" i="10" s="1"/>
  <c r="J851" i="10"/>
  <c r="I851" i="10"/>
  <c r="D851" i="10"/>
  <c r="E851" i="10" s="1"/>
  <c r="J850" i="10"/>
  <c r="I850" i="10"/>
  <c r="E850" i="10"/>
  <c r="D850" i="10"/>
  <c r="J849" i="10"/>
  <c r="L849" i="10" s="1"/>
  <c r="I849" i="10"/>
  <c r="H849" i="10"/>
  <c r="F849" i="10"/>
  <c r="D849" i="10"/>
  <c r="E849" i="10" s="1"/>
  <c r="G849" i="10" s="1"/>
  <c r="M848" i="10"/>
  <c r="J848" i="10"/>
  <c r="I848" i="10"/>
  <c r="E848" i="10"/>
  <c r="D848" i="10"/>
  <c r="J847" i="10"/>
  <c r="L847" i="10" s="1"/>
  <c r="I847" i="10"/>
  <c r="H847" i="10"/>
  <c r="F847" i="10"/>
  <c r="D847" i="10"/>
  <c r="E847" i="10" s="1"/>
  <c r="G847" i="10" s="1"/>
  <c r="M846" i="10"/>
  <c r="J846" i="10"/>
  <c r="I846" i="10"/>
  <c r="E846" i="10"/>
  <c r="D846" i="10"/>
  <c r="J845" i="10"/>
  <c r="L845" i="10" s="1"/>
  <c r="I845" i="10"/>
  <c r="H845" i="10"/>
  <c r="F845" i="10"/>
  <c r="D845" i="10"/>
  <c r="E845" i="10" s="1"/>
  <c r="G845" i="10" s="1"/>
  <c r="M844" i="10"/>
  <c r="J844" i="10"/>
  <c r="I844" i="10"/>
  <c r="E844" i="10"/>
  <c r="D844" i="10"/>
  <c r="J843" i="10"/>
  <c r="L843" i="10" s="1"/>
  <c r="I843" i="10"/>
  <c r="D843" i="10"/>
  <c r="E843" i="10" s="1"/>
  <c r="G843" i="10" s="1"/>
  <c r="I842" i="10"/>
  <c r="J842" i="10" s="1"/>
  <c r="G842" i="10"/>
  <c r="F842" i="10"/>
  <c r="H842" i="10" s="1"/>
  <c r="E842" i="10"/>
  <c r="D842" i="10"/>
  <c r="M841" i="10"/>
  <c r="L841" i="10"/>
  <c r="I841" i="10"/>
  <c r="J841" i="10" s="1"/>
  <c r="K841" i="10" s="1"/>
  <c r="D841" i="10"/>
  <c r="E841" i="10" s="1"/>
  <c r="I840" i="10"/>
  <c r="J840" i="10" s="1"/>
  <c r="G840" i="10"/>
  <c r="F840" i="10"/>
  <c r="H840" i="10" s="1"/>
  <c r="E840" i="10"/>
  <c r="D840" i="10"/>
  <c r="M839" i="10"/>
  <c r="I839" i="10"/>
  <c r="J839" i="10" s="1"/>
  <c r="L839" i="10" s="1"/>
  <c r="D839" i="10"/>
  <c r="E839" i="10" s="1"/>
  <c r="I838" i="10"/>
  <c r="J838" i="10" s="1"/>
  <c r="G838" i="10"/>
  <c r="F838" i="10"/>
  <c r="H838" i="10" s="1"/>
  <c r="E838" i="10"/>
  <c r="D838" i="10"/>
  <c r="M837" i="10"/>
  <c r="I837" i="10"/>
  <c r="J837" i="10" s="1"/>
  <c r="L837" i="10" s="1"/>
  <c r="D837" i="10"/>
  <c r="E837" i="10" s="1"/>
  <c r="I836" i="10"/>
  <c r="J836" i="10" s="1"/>
  <c r="G836" i="10"/>
  <c r="F836" i="10"/>
  <c r="H836" i="10" s="1"/>
  <c r="E836" i="10"/>
  <c r="D836" i="10"/>
  <c r="M835" i="10"/>
  <c r="I835" i="10"/>
  <c r="J835" i="10" s="1"/>
  <c r="L835" i="10" s="1"/>
  <c r="D835" i="10"/>
  <c r="E835" i="10" s="1"/>
  <c r="I834" i="10"/>
  <c r="J834" i="10" s="1"/>
  <c r="G834" i="10"/>
  <c r="F834" i="10"/>
  <c r="H834" i="10" s="1"/>
  <c r="E834" i="10"/>
  <c r="D834" i="10"/>
  <c r="I833" i="10"/>
  <c r="J833" i="10" s="1"/>
  <c r="M833" i="10" s="1"/>
  <c r="D833" i="10"/>
  <c r="E833" i="10" s="1"/>
  <c r="I832" i="10"/>
  <c r="J832" i="10" s="1"/>
  <c r="G832" i="10"/>
  <c r="F832" i="10"/>
  <c r="H832" i="10" s="1"/>
  <c r="E832" i="10"/>
  <c r="D832" i="10"/>
  <c r="I831" i="10"/>
  <c r="J831" i="10" s="1"/>
  <c r="M831" i="10" s="1"/>
  <c r="D831" i="10"/>
  <c r="E831" i="10" s="1"/>
  <c r="I830" i="10"/>
  <c r="J830" i="10" s="1"/>
  <c r="G830" i="10"/>
  <c r="F830" i="10"/>
  <c r="H830" i="10" s="1"/>
  <c r="E830" i="10"/>
  <c r="D830" i="10"/>
  <c r="I829" i="10"/>
  <c r="J829" i="10" s="1"/>
  <c r="M829" i="10" s="1"/>
  <c r="D829" i="10"/>
  <c r="E829" i="10" s="1"/>
  <c r="J828" i="10"/>
  <c r="M828" i="10" s="1"/>
  <c r="I828" i="10"/>
  <c r="F828" i="10"/>
  <c r="H828" i="10" s="1"/>
  <c r="E828" i="10"/>
  <c r="G828" i="10" s="1"/>
  <c r="D828" i="10"/>
  <c r="L827" i="10"/>
  <c r="K827" i="10"/>
  <c r="J827" i="10"/>
  <c r="M827" i="10" s="1"/>
  <c r="I827" i="10"/>
  <c r="D827" i="10"/>
  <c r="E827" i="10" s="1"/>
  <c r="J826" i="10"/>
  <c r="M826" i="10" s="1"/>
  <c r="I826" i="10"/>
  <c r="F826" i="10"/>
  <c r="H826" i="10" s="1"/>
  <c r="E826" i="10"/>
  <c r="G826" i="10" s="1"/>
  <c r="D826" i="10"/>
  <c r="L825" i="10"/>
  <c r="K825" i="10"/>
  <c r="J825" i="10"/>
  <c r="M825" i="10" s="1"/>
  <c r="I825" i="10"/>
  <c r="D825" i="10"/>
  <c r="E825" i="10" s="1"/>
  <c r="J824" i="10"/>
  <c r="M824" i="10" s="1"/>
  <c r="I824" i="10"/>
  <c r="F824" i="10"/>
  <c r="H824" i="10" s="1"/>
  <c r="E824" i="10"/>
  <c r="G824" i="10" s="1"/>
  <c r="D824" i="10"/>
  <c r="L823" i="10"/>
  <c r="K823" i="10"/>
  <c r="J823" i="10"/>
  <c r="M823" i="10" s="1"/>
  <c r="I823" i="10"/>
  <c r="D823" i="10"/>
  <c r="E823" i="10" s="1"/>
  <c r="J822" i="10"/>
  <c r="M822" i="10" s="1"/>
  <c r="I822" i="10"/>
  <c r="F822" i="10"/>
  <c r="H822" i="10" s="1"/>
  <c r="E822" i="10"/>
  <c r="G822" i="10" s="1"/>
  <c r="D822" i="10"/>
  <c r="L821" i="10"/>
  <c r="K821" i="10"/>
  <c r="J821" i="10"/>
  <c r="M821" i="10" s="1"/>
  <c r="I821" i="10"/>
  <c r="D821" i="10"/>
  <c r="E821" i="10" s="1"/>
  <c r="J820" i="10"/>
  <c r="M820" i="10" s="1"/>
  <c r="I820" i="10"/>
  <c r="F820" i="10"/>
  <c r="H820" i="10" s="1"/>
  <c r="E820" i="10"/>
  <c r="G820" i="10" s="1"/>
  <c r="D820" i="10"/>
  <c r="L819" i="10"/>
  <c r="K819" i="10"/>
  <c r="J819" i="10"/>
  <c r="M819" i="10" s="1"/>
  <c r="I819" i="10"/>
  <c r="D819" i="10"/>
  <c r="E819" i="10" s="1"/>
  <c r="J818" i="10"/>
  <c r="M818" i="10" s="1"/>
  <c r="I818" i="10"/>
  <c r="F818" i="10"/>
  <c r="H818" i="10" s="1"/>
  <c r="E818" i="10"/>
  <c r="G818" i="10" s="1"/>
  <c r="D818" i="10"/>
  <c r="L817" i="10"/>
  <c r="K817" i="10"/>
  <c r="J817" i="10"/>
  <c r="M817" i="10" s="1"/>
  <c r="I817" i="10"/>
  <c r="D817" i="10"/>
  <c r="E817" i="10" s="1"/>
  <c r="J816" i="10"/>
  <c r="M816" i="10" s="1"/>
  <c r="I816" i="10"/>
  <c r="F816" i="10"/>
  <c r="H816" i="10" s="1"/>
  <c r="E816" i="10"/>
  <c r="G816" i="10" s="1"/>
  <c r="D816" i="10"/>
  <c r="L815" i="10"/>
  <c r="K815" i="10"/>
  <c r="J815" i="10"/>
  <c r="M815" i="10" s="1"/>
  <c r="I815" i="10"/>
  <c r="D815" i="10"/>
  <c r="E815" i="10" s="1"/>
  <c r="J814" i="10"/>
  <c r="M814" i="10" s="1"/>
  <c r="I814" i="10"/>
  <c r="F814" i="10"/>
  <c r="H814" i="10" s="1"/>
  <c r="E814" i="10"/>
  <c r="G814" i="10" s="1"/>
  <c r="D814" i="10"/>
  <c r="L813" i="10"/>
  <c r="K813" i="10"/>
  <c r="J813" i="10"/>
  <c r="M813" i="10" s="1"/>
  <c r="I813" i="10"/>
  <c r="D813" i="10"/>
  <c r="E813" i="10" s="1"/>
  <c r="J812" i="10"/>
  <c r="M812" i="10" s="1"/>
  <c r="I812" i="10"/>
  <c r="F812" i="10"/>
  <c r="H812" i="10" s="1"/>
  <c r="E812" i="10"/>
  <c r="G812" i="10" s="1"/>
  <c r="D812" i="10"/>
  <c r="L811" i="10"/>
  <c r="K811" i="10"/>
  <c r="J811" i="10"/>
  <c r="M811" i="10" s="1"/>
  <c r="I811" i="10"/>
  <c r="D811" i="10"/>
  <c r="E811" i="10" s="1"/>
  <c r="J810" i="10"/>
  <c r="M810" i="10" s="1"/>
  <c r="I810" i="10"/>
  <c r="F810" i="10"/>
  <c r="H810" i="10" s="1"/>
  <c r="E810" i="10"/>
  <c r="G810" i="10" s="1"/>
  <c r="D810" i="10"/>
  <c r="L809" i="10"/>
  <c r="K809" i="10"/>
  <c r="J809" i="10"/>
  <c r="M809" i="10" s="1"/>
  <c r="I809" i="10"/>
  <c r="D809" i="10"/>
  <c r="E809" i="10" s="1"/>
  <c r="J808" i="10"/>
  <c r="M808" i="10" s="1"/>
  <c r="I808" i="10"/>
  <c r="F808" i="10"/>
  <c r="H808" i="10" s="1"/>
  <c r="E808" i="10"/>
  <c r="G808" i="10" s="1"/>
  <c r="D808" i="10"/>
  <c r="L807" i="10"/>
  <c r="K807" i="10"/>
  <c r="J807" i="10"/>
  <c r="M807" i="10" s="1"/>
  <c r="I807" i="10"/>
  <c r="D807" i="10"/>
  <c r="E807" i="10" s="1"/>
  <c r="J806" i="10"/>
  <c r="M806" i="10" s="1"/>
  <c r="I806" i="10"/>
  <c r="F806" i="10"/>
  <c r="H806" i="10" s="1"/>
  <c r="E806" i="10"/>
  <c r="G806" i="10" s="1"/>
  <c r="D806" i="10"/>
  <c r="L805" i="10"/>
  <c r="K805" i="10"/>
  <c r="J805" i="10"/>
  <c r="M805" i="10" s="1"/>
  <c r="I805" i="10"/>
  <c r="D805" i="10"/>
  <c r="E805" i="10" s="1"/>
  <c r="J804" i="10"/>
  <c r="M804" i="10" s="1"/>
  <c r="I804" i="10"/>
  <c r="F804" i="10"/>
  <c r="H804" i="10" s="1"/>
  <c r="E804" i="10"/>
  <c r="G804" i="10" s="1"/>
  <c r="D804" i="10"/>
  <c r="L803" i="10"/>
  <c r="K803" i="10"/>
  <c r="J803" i="10"/>
  <c r="M803" i="10" s="1"/>
  <c r="I803" i="10"/>
  <c r="D803" i="10"/>
  <c r="E803" i="10" s="1"/>
  <c r="J802" i="10"/>
  <c r="M802" i="10" s="1"/>
  <c r="I802" i="10"/>
  <c r="F802" i="10"/>
  <c r="H802" i="10" s="1"/>
  <c r="E802" i="10"/>
  <c r="G802" i="10" s="1"/>
  <c r="D802" i="10"/>
  <c r="L801" i="10"/>
  <c r="K801" i="10"/>
  <c r="J801" i="10"/>
  <c r="M801" i="10" s="1"/>
  <c r="I801" i="10"/>
  <c r="D801" i="10"/>
  <c r="E801" i="10" s="1"/>
  <c r="J800" i="10"/>
  <c r="M800" i="10" s="1"/>
  <c r="I800" i="10"/>
  <c r="F800" i="10"/>
  <c r="H800" i="10" s="1"/>
  <c r="E800" i="10"/>
  <c r="G800" i="10" s="1"/>
  <c r="D800" i="10"/>
  <c r="L799" i="10"/>
  <c r="K799" i="10"/>
  <c r="J799" i="10"/>
  <c r="M799" i="10" s="1"/>
  <c r="I799" i="10"/>
  <c r="D799" i="10"/>
  <c r="E799" i="10" s="1"/>
  <c r="J798" i="10"/>
  <c r="M798" i="10" s="1"/>
  <c r="I798" i="10"/>
  <c r="F798" i="10"/>
  <c r="H798" i="10" s="1"/>
  <c r="E798" i="10"/>
  <c r="G798" i="10" s="1"/>
  <c r="D798" i="10"/>
  <c r="I797" i="10"/>
  <c r="J797" i="10" s="1"/>
  <c r="D797" i="10"/>
  <c r="E797" i="10" s="1"/>
  <c r="J796" i="10"/>
  <c r="M796" i="10" s="1"/>
  <c r="I796" i="10"/>
  <c r="F796" i="10"/>
  <c r="H796" i="10" s="1"/>
  <c r="E796" i="10"/>
  <c r="G796" i="10" s="1"/>
  <c r="D796" i="10"/>
  <c r="I795" i="10"/>
  <c r="J795" i="10" s="1"/>
  <c r="D795" i="10"/>
  <c r="E795" i="10" s="1"/>
  <c r="J794" i="10"/>
  <c r="M794" i="10" s="1"/>
  <c r="I794" i="10"/>
  <c r="F794" i="10"/>
  <c r="H794" i="10" s="1"/>
  <c r="E794" i="10"/>
  <c r="G794" i="10" s="1"/>
  <c r="D794" i="10"/>
  <c r="I793" i="10"/>
  <c r="J793" i="10" s="1"/>
  <c r="D793" i="10"/>
  <c r="E793" i="10" s="1"/>
  <c r="J792" i="10"/>
  <c r="M792" i="10" s="1"/>
  <c r="I792" i="10"/>
  <c r="F792" i="10"/>
  <c r="H792" i="10" s="1"/>
  <c r="E792" i="10"/>
  <c r="G792" i="10" s="1"/>
  <c r="D792" i="10"/>
  <c r="I791" i="10"/>
  <c r="J791" i="10" s="1"/>
  <c r="D791" i="10"/>
  <c r="E791" i="10" s="1"/>
  <c r="J790" i="10"/>
  <c r="M790" i="10" s="1"/>
  <c r="I790" i="10"/>
  <c r="F790" i="10"/>
  <c r="H790" i="10" s="1"/>
  <c r="E790" i="10"/>
  <c r="G790" i="10" s="1"/>
  <c r="D790" i="10"/>
  <c r="I789" i="10"/>
  <c r="J789" i="10" s="1"/>
  <c r="D789" i="10"/>
  <c r="E789" i="10" s="1"/>
  <c r="J788" i="10"/>
  <c r="M788" i="10" s="1"/>
  <c r="I788" i="10"/>
  <c r="F788" i="10"/>
  <c r="H788" i="10" s="1"/>
  <c r="E788" i="10"/>
  <c r="G788" i="10" s="1"/>
  <c r="D788" i="10"/>
  <c r="I787" i="10"/>
  <c r="J787" i="10" s="1"/>
  <c r="D787" i="10"/>
  <c r="E787" i="10" s="1"/>
  <c r="I786" i="10"/>
  <c r="J786" i="10" s="1"/>
  <c r="E786" i="10"/>
  <c r="F786" i="10" s="1"/>
  <c r="H786" i="10" s="1"/>
  <c r="D786" i="10"/>
  <c r="I785" i="10"/>
  <c r="J785" i="10" s="1"/>
  <c r="D785" i="10"/>
  <c r="E785" i="10" s="1"/>
  <c r="I784" i="10"/>
  <c r="J784" i="10" s="1"/>
  <c r="E784" i="10"/>
  <c r="F784" i="10" s="1"/>
  <c r="H784" i="10" s="1"/>
  <c r="D784" i="10"/>
  <c r="I783" i="10"/>
  <c r="J783" i="10" s="1"/>
  <c r="D783" i="10"/>
  <c r="E783" i="10" s="1"/>
  <c r="F783" i="10" s="1"/>
  <c r="H783" i="10" s="1"/>
  <c r="J782" i="10"/>
  <c r="I782" i="10"/>
  <c r="F782" i="10"/>
  <c r="H782" i="10" s="1"/>
  <c r="E782" i="10"/>
  <c r="G782" i="10" s="1"/>
  <c r="D782" i="10"/>
  <c r="K781" i="10"/>
  <c r="I781" i="10"/>
  <c r="J781" i="10" s="1"/>
  <c r="M781" i="10" s="1"/>
  <c r="D781" i="10"/>
  <c r="E781" i="10" s="1"/>
  <c r="F781" i="10" s="1"/>
  <c r="H781" i="10" s="1"/>
  <c r="J780" i="10"/>
  <c r="I780" i="10"/>
  <c r="F780" i="10"/>
  <c r="H780" i="10" s="1"/>
  <c r="E780" i="10"/>
  <c r="G780" i="10" s="1"/>
  <c r="D780" i="10"/>
  <c r="K779" i="10"/>
  <c r="I779" i="10"/>
  <c r="J779" i="10" s="1"/>
  <c r="M779" i="10" s="1"/>
  <c r="D779" i="10"/>
  <c r="E779" i="10" s="1"/>
  <c r="F779" i="10" s="1"/>
  <c r="H779" i="10" s="1"/>
  <c r="I778" i="10"/>
  <c r="J778" i="10" s="1"/>
  <c r="F778" i="10"/>
  <c r="H778" i="10" s="1"/>
  <c r="E778" i="10"/>
  <c r="G778" i="10" s="1"/>
  <c r="D778" i="10"/>
  <c r="K777" i="10"/>
  <c r="I777" i="10"/>
  <c r="J777" i="10" s="1"/>
  <c r="M777" i="10" s="1"/>
  <c r="D777" i="10"/>
  <c r="E777" i="10" s="1"/>
  <c r="F777" i="10" s="1"/>
  <c r="H777" i="10" s="1"/>
  <c r="I776" i="10"/>
  <c r="J776" i="10" s="1"/>
  <c r="F776" i="10"/>
  <c r="H776" i="10" s="1"/>
  <c r="E776" i="10"/>
  <c r="G776" i="10" s="1"/>
  <c r="D776" i="10"/>
  <c r="L775" i="10"/>
  <c r="K775" i="10"/>
  <c r="I775" i="10"/>
  <c r="J775" i="10" s="1"/>
  <c r="M775" i="10" s="1"/>
  <c r="D775" i="10"/>
  <c r="E775" i="10" s="1"/>
  <c r="F775" i="10" s="1"/>
  <c r="H775" i="10" s="1"/>
  <c r="I774" i="10"/>
  <c r="J774" i="10" s="1"/>
  <c r="F774" i="10"/>
  <c r="H774" i="10" s="1"/>
  <c r="E774" i="10"/>
  <c r="G774" i="10" s="1"/>
  <c r="D774" i="10"/>
  <c r="L773" i="10"/>
  <c r="K773" i="10"/>
  <c r="I773" i="10"/>
  <c r="J773" i="10" s="1"/>
  <c r="M773" i="10" s="1"/>
  <c r="D773" i="10"/>
  <c r="E773" i="10" s="1"/>
  <c r="F773" i="10" s="1"/>
  <c r="H773" i="10" s="1"/>
  <c r="I772" i="10"/>
  <c r="J772" i="10" s="1"/>
  <c r="F772" i="10"/>
  <c r="H772" i="10" s="1"/>
  <c r="E772" i="10"/>
  <c r="G772" i="10" s="1"/>
  <c r="D772" i="10"/>
  <c r="L771" i="10"/>
  <c r="K771" i="10"/>
  <c r="I771" i="10"/>
  <c r="J771" i="10" s="1"/>
  <c r="M771" i="10" s="1"/>
  <c r="D771" i="10"/>
  <c r="E771" i="10" s="1"/>
  <c r="F771" i="10" s="1"/>
  <c r="H771" i="10" s="1"/>
  <c r="I770" i="10"/>
  <c r="J770" i="10" s="1"/>
  <c r="F770" i="10"/>
  <c r="H770" i="10" s="1"/>
  <c r="E770" i="10"/>
  <c r="G770" i="10" s="1"/>
  <c r="D770" i="10"/>
  <c r="L769" i="10"/>
  <c r="K769" i="10"/>
  <c r="I769" i="10"/>
  <c r="J769" i="10" s="1"/>
  <c r="M769" i="10" s="1"/>
  <c r="D769" i="10"/>
  <c r="E769" i="10" s="1"/>
  <c r="F769" i="10" s="1"/>
  <c r="H769" i="10" s="1"/>
  <c r="I768" i="10"/>
  <c r="J768" i="10" s="1"/>
  <c r="F768" i="10"/>
  <c r="H768" i="10" s="1"/>
  <c r="E768" i="10"/>
  <c r="G768" i="10" s="1"/>
  <c r="D768" i="10"/>
  <c r="L767" i="10"/>
  <c r="K767" i="10"/>
  <c r="I767" i="10"/>
  <c r="J767" i="10" s="1"/>
  <c r="M767" i="10" s="1"/>
  <c r="D767" i="10"/>
  <c r="E767" i="10" s="1"/>
  <c r="F767" i="10" s="1"/>
  <c r="H767" i="10" s="1"/>
  <c r="I766" i="10"/>
  <c r="J766" i="10" s="1"/>
  <c r="F766" i="10"/>
  <c r="H766" i="10" s="1"/>
  <c r="E766" i="10"/>
  <c r="G766" i="10" s="1"/>
  <c r="D766" i="10"/>
  <c r="L765" i="10"/>
  <c r="K765" i="10"/>
  <c r="I765" i="10"/>
  <c r="J765" i="10" s="1"/>
  <c r="M765" i="10" s="1"/>
  <c r="D765" i="10"/>
  <c r="E765" i="10" s="1"/>
  <c r="F765" i="10" s="1"/>
  <c r="H765" i="10" s="1"/>
  <c r="I764" i="10"/>
  <c r="J764" i="10" s="1"/>
  <c r="F764" i="10"/>
  <c r="H764" i="10" s="1"/>
  <c r="E764" i="10"/>
  <c r="G764" i="10" s="1"/>
  <c r="D764" i="10"/>
  <c r="L763" i="10"/>
  <c r="K763" i="10"/>
  <c r="I763" i="10"/>
  <c r="J763" i="10" s="1"/>
  <c r="M763" i="10" s="1"/>
  <c r="D763" i="10"/>
  <c r="E763" i="10" s="1"/>
  <c r="F763" i="10" s="1"/>
  <c r="H763" i="10" s="1"/>
  <c r="I762" i="10"/>
  <c r="J762" i="10" s="1"/>
  <c r="F762" i="10"/>
  <c r="H762" i="10" s="1"/>
  <c r="E762" i="10"/>
  <c r="G762" i="10" s="1"/>
  <c r="D762" i="10"/>
  <c r="L761" i="10"/>
  <c r="K761" i="10"/>
  <c r="I761" i="10"/>
  <c r="J761" i="10" s="1"/>
  <c r="M761" i="10" s="1"/>
  <c r="E761" i="10"/>
  <c r="F761" i="10" s="1"/>
  <c r="H761" i="10" s="1"/>
  <c r="D761" i="10"/>
  <c r="J760" i="10"/>
  <c r="L760" i="10" s="1"/>
  <c r="I760" i="10"/>
  <c r="E760" i="10"/>
  <c r="F760" i="10" s="1"/>
  <c r="H760" i="10" s="1"/>
  <c r="D760" i="10"/>
  <c r="K759" i="10"/>
  <c r="I759" i="10"/>
  <c r="J759" i="10" s="1"/>
  <c r="L759" i="10" s="1"/>
  <c r="E759" i="10"/>
  <c r="F759" i="10" s="1"/>
  <c r="H759" i="10" s="1"/>
  <c r="D759" i="10"/>
  <c r="J758" i="10"/>
  <c r="L758" i="10" s="1"/>
  <c r="I758" i="10"/>
  <c r="E758" i="10"/>
  <c r="F758" i="10" s="1"/>
  <c r="H758" i="10" s="1"/>
  <c r="D758" i="10"/>
  <c r="K757" i="10"/>
  <c r="I757" i="10"/>
  <c r="J757" i="10" s="1"/>
  <c r="L757" i="10" s="1"/>
  <c r="E757" i="10"/>
  <c r="F757" i="10" s="1"/>
  <c r="H757" i="10" s="1"/>
  <c r="D757" i="10"/>
  <c r="J756" i="10"/>
  <c r="L756" i="10" s="1"/>
  <c r="I756" i="10"/>
  <c r="E756" i="10"/>
  <c r="F756" i="10" s="1"/>
  <c r="H756" i="10" s="1"/>
  <c r="D756" i="10"/>
  <c r="K755" i="10"/>
  <c r="I755" i="10"/>
  <c r="J755" i="10" s="1"/>
  <c r="L755" i="10" s="1"/>
  <c r="D755" i="10"/>
  <c r="E755" i="10" s="1"/>
  <c r="I754" i="10"/>
  <c r="J754" i="10" s="1"/>
  <c r="E754" i="10"/>
  <c r="F754" i="10" s="1"/>
  <c r="H754" i="10" s="1"/>
  <c r="D754" i="10"/>
  <c r="I753" i="10"/>
  <c r="J753" i="10" s="1"/>
  <c r="L753" i="10" s="1"/>
  <c r="D753" i="10"/>
  <c r="E753" i="10" s="1"/>
  <c r="I752" i="10"/>
  <c r="J752" i="10" s="1"/>
  <c r="E752" i="10"/>
  <c r="F752" i="10" s="1"/>
  <c r="H752" i="10" s="1"/>
  <c r="D752" i="10"/>
  <c r="I751" i="10"/>
  <c r="J751" i="10" s="1"/>
  <c r="L751" i="10" s="1"/>
  <c r="D751" i="10"/>
  <c r="E751" i="10" s="1"/>
  <c r="I750" i="10"/>
  <c r="J750" i="10" s="1"/>
  <c r="D750" i="10"/>
  <c r="E750" i="10" s="1"/>
  <c r="J749" i="10"/>
  <c r="L749" i="10" s="1"/>
  <c r="I749" i="10"/>
  <c r="D749" i="10"/>
  <c r="E749" i="10" s="1"/>
  <c r="I748" i="10"/>
  <c r="J748" i="10" s="1"/>
  <c r="D748" i="10"/>
  <c r="E748" i="10" s="1"/>
  <c r="J747" i="10"/>
  <c r="L747" i="10" s="1"/>
  <c r="I747" i="10"/>
  <c r="D747" i="10"/>
  <c r="E747" i="10" s="1"/>
  <c r="I746" i="10"/>
  <c r="J746" i="10" s="1"/>
  <c r="D746" i="10"/>
  <c r="E746" i="10" s="1"/>
  <c r="J745" i="10"/>
  <c r="L745" i="10" s="1"/>
  <c r="I745" i="10"/>
  <c r="D745" i="10"/>
  <c r="E745" i="10" s="1"/>
  <c r="I744" i="10"/>
  <c r="J744" i="10" s="1"/>
  <c r="D744" i="10"/>
  <c r="E744" i="10" s="1"/>
  <c r="J743" i="10"/>
  <c r="L743" i="10" s="1"/>
  <c r="I743" i="10"/>
  <c r="D743" i="10"/>
  <c r="E743" i="10" s="1"/>
  <c r="I742" i="10"/>
  <c r="J742" i="10" s="1"/>
  <c r="D742" i="10"/>
  <c r="E742" i="10" s="1"/>
  <c r="J741" i="10"/>
  <c r="L741" i="10" s="1"/>
  <c r="I741" i="10"/>
  <c r="D741" i="10"/>
  <c r="E741" i="10" s="1"/>
  <c r="I740" i="10"/>
  <c r="J740" i="10" s="1"/>
  <c r="D740" i="10"/>
  <c r="E740" i="10" s="1"/>
  <c r="J739" i="10"/>
  <c r="L739" i="10" s="1"/>
  <c r="I739" i="10"/>
  <c r="D739" i="10"/>
  <c r="E739" i="10" s="1"/>
  <c r="I738" i="10"/>
  <c r="J738" i="10" s="1"/>
  <c r="D738" i="10"/>
  <c r="E738" i="10" s="1"/>
  <c r="J737" i="10"/>
  <c r="L737" i="10" s="1"/>
  <c r="I737" i="10"/>
  <c r="D737" i="10"/>
  <c r="E737" i="10" s="1"/>
  <c r="I736" i="10"/>
  <c r="J736" i="10" s="1"/>
  <c r="D736" i="10"/>
  <c r="E736" i="10" s="1"/>
  <c r="J735" i="10"/>
  <c r="L735" i="10" s="1"/>
  <c r="I735" i="10"/>
  <c r="D735" i="10"/>
  <c r="E735" i="10" s="1"/>
  <c r="I734" i="10"/>
  <c r="J734" i="10" s="1"/>
  <c r="D734" i="10"/>
  <c r="E734" i="10" s="1"/>
  <c r="J733" i="10"/>
  <c r="L733" i="10" s="1"/>
  <c r="I733" i="10"/>
  <c r="D733" i="10"/>
  <c r="E733" i="10" s="1"/>
  <c r="I732" i="10"/>
  <c r="J732" i="10" s="1"/>
  <c r="D732" i="10"/>
  <c r="E732" i="10" s="1"/>
  <c r="J731" i="10"/>
  <c r="L731" i="10" s="1"/>
  <c r="I731" i="10"/>
  <c r="D731" i="10"/>
  <c r="E731" i="10" s="1"/>
  <c r="I730" i="10"/>
  <c r="J730" i="10" s="1"/>
  <c r="D730" i="10"/>
  <c r="E730" i="10" s="1"/>
  <c r="J729" i="10"/>
  <c r="L729" i="10" s="1"/>
  <c r="I729" i="10"/>
  <c r="D729" i="10"/>
  <c r="E729" i="10" s="1"/>
  <c r="I728" i="10"/>
  <c r="J728" i="10" s="1"/>
  <c r="D728" i="10"/>
  <c r="E728" i="10" s="1"/>
  <c r="J727" i="10"/>
  <c r="L727" i="10" s="1"/>
  <c r="I727" i="10"/>
  <c r="D727" i="10"/>
  <c r="E727" i="10" s="1"/>
  <c r="I726" i="10"/>
  <c r="J726" i="10" s="1"/>
  <c r="D726" i="10"/>
  <c r="E726" i="10" s="1"/>
  <c r="J725" i="10"/>
  <c r="L725" i="10" s="1"/>
  <c r="I725" i="10"/>
  <c r="D725" i="10"/>
  <c r="E725" i="10" s="1"/>
  <c r="I724" i="10"/>
  <c r="J724" i="10" s="1"/>
  <c r="D724" i="10"/>
  <c r="E724" i="10" s="1"/>
  <c r="J723" i="10"/>
  <c r="L723" i="10" s="1"/>
  <c r="I723" i="10"/>
  <c r="D723" i="10"/>
  <c r="E723" i="10" s="1"/>
  <c r="I722" i="10"/>
  <c r="J722" i="10" s="1"/>
  <c r="D722" i="10"/>
  <c r="E722" i="10" s="1"/>
  <c r="J721" i="10"/>
  <c r="L721" i="10" s="1"/>
  <c r="I721" i="10"/>
  <c r="D721" i="10"/>
  <c r="E721" i="10" s="1"/>
  <c r="I720" i="10"/>
  <c r="J720" i="10" s="1"/>
  <c r="D720" i="10"/>
  <c r="E720" i="10" s="1"/>
  <c r="J719" i="10"/>
  <c r="L719" i="10" s="1"/>
  <c r="I719" i="10"/>
  <c r="D719" i="10"/>
  <c r="E719" i="10" s="1"/>
  <c r="I718" i="10"/>
  <c r="J718" i="10" s="1"/>
  <c r="D718" i="10"/>
  <c r="E718" i="10" s="1"/>
  <c r="J717" i="10"/>
  <c r="L717" i="10" s="1"/>
  <c r="I717" i="10"/>
  <c r="D717" i="10"/>
  <c r="E717" i="10" s="1"/>
  <c r="I716" i="10"/>
  <c r="J716" i="10" s="1"/>
  <c r="D716" i="10"/>
  <c r="E716" i="10" s="1"/>
  <c r="J715" i="10"/>
  <c r="L715" i="10" s="1"/>
  <c r="I715" i="10"/>
  <c r="D715" i="10"/>
  <c r="E715" i="10" s="1"/>
  <c r="I714" i="10"/>
  <c r="J714" i="10" s="1"/>
  <c r="D714" i="10"/>
  <c r="E714" i="10" s="1"/>
  <c r="J713" i="10"/>
  <c r="I713" i="10"/>
  <c r="F713" i="10"/>
  <c r="H713" i="10" s="1"/>
  <c r="D713" i="10"/>
  <c r="E713" i="10" s="1"/>
  <c r="G713" i="10" s="1"/>
  <c r="I712" i="10"/>
  <c r="J712" i="10" s="1"/>
  <c r="D712" i="10"/>
  <c r="E712" i="10" s="1"/>
  <c r="K711" i="10"/>
  <c r="J711" i="10"/>
  <c r="I711" i="10"/>
  <c r="F711" i="10"/>
  <c r="H711" i="10" s="1"/>
  <c r="D711" i="10"/>
  <c r="E711" i="10" s="1"/>
  <c r="G711" i="10" s="1"/>
  <c r="I710" i="10"/>
  <c r="J710" i="10" s="1"/>
  <c r="K710" i="10" s="1"/>
  <c r="D710" i="10"/>
  <c r="E710" i="10" s="1"/>
  <c r="K709" i="10"/>
  <c r="J709" i="10"/>
  <c r="I709" i="10"/>
  <c r="G709" i="10"/>
  <c r="F709" i="10"/>
  <c r="H709" i="10" s="1"/>
  <c r="D709" i="10"/>
  <c r="E709" i="10" s="1"/>
  <c r="I708" i="10"/>
  <c r="J708" i="10" s="1"/>
  <c r="K708" i="10" s="1"/>
  <c r="D708" i="10"/>
  <c r="E708" i="10" s="1"/>
  <c r="K707" i="10"/>
  <c r="J707" i="10"/>
  <c r="I707" i="10"/>
  <c r="G707" i="10"/>
  <c r="F707" i="10"/>
  <c r="H707" i="10" s="1"/>
  <c r="D707" i="10"/>
  <c r="E707" i="10" s="1"/>
  <c r="I706" i="10"/>
  <c r="J706" i="10" s="1"/>
  <c r="K706" i="10" s="1"/>
  <c r="D706" i="10"/>
  <c r="E706" i="10" s="1"/>
  <c r="K705" i="10"/>
  <c r="J705" i="10"/>
  <c r="I705" i="10"/>
  <c r="G705" i="10"/>
  <c r="F705" i="10"/>
  <c r="H705" i="10" s="1"/>
  <c r="D705" i="10"/>
  <c r="E705" i="10" s="1"/>
  <c r="I704" i="10"/>
  <c r="J704" i="10" s="1"/>
  <c r="K704" i="10" s="1"/>
  <c r="D704" i="10"/>
  <c r="E704" i="10" s="1"/>
  <c r="K703" i="10"/>
  <c r="J703" i="10"/>
  <c r="I703" i="10"/>
  <c r="G703" i="10"/>
  <c r="F703" i="10"/>
  <c r="H703" i="10" s="1"/>
  <c r="E703" i="10"/>
  <c r="D703" i="10"/>
  <c r="L702" i="10"/>
  <c r="I702" i="10"/>
  <c r="J702" i="10" s="1"/>
  <c r="K702" i="10" s="1"/>
  <c r="D702" i="10"/>
  <c r="E702" i="10" s="1"/>
  <c r="K701" i="10"/>
  <c r="J701" i="10"/>
  <c r="I701" i="10"/>
  <c r="G701" i="10"/>
  <c r="F701" i="10"/>
  <c r="H701" i="10" s="1"/>
  <c r="E701" i="10"/>
  <c r="D701" i="10"/>
  <c r="M700" i="10"/>
  <c r="L700" i="10"/>
  <c r="I700" i="10"/>
  <c r="J700" i="10" s="1"/>
  <c r="K700" i="10" s="1"/>
  <c r="E700" i="10"/>
  <c r="D700" i="10"/>
  <c r="J699" i="10"/>
  <c r="I699" i="10"/>
  <c r="G699" i="10"/>
  <c r="F699" i="10"/>
  <c r="H699" i="10" s="1"/>
  <c r="E699" i="10"/>
  <c r="D699" i="10"/>
  <c r="M698" i="10"/>
  <c r="I698" i="10"/>
  <c r="J698" i="10" s="1"/>
  <c r="K698" i="10" s="1"/>
  <c r="E698" i="10"/>
  <c r="D698" i="10"/>
  <c r="J697" i="10"/>
  <c r="I697" i="10"/>
  <c r="G697" i="10"/>
  <c r="F697" i="10"/>
  <c r="H697" i="10" s="1"/>
  <c r="E697" i="10"/>
  <c r="D697" i="10"/>
  <c r="I696" i="10"/>
  <c r="J696" i="10" s="1"/>
  <c r="K696" i="10" s="1"/>
  <c r="D696" i="10"/>
  <c r="E696" i="10" s="1"/>
  <c r="K695" i="10"/>
  <c r="J695" i="10"/>
  <c r="I695" i="10"/>
  <c r="G695" i="10"/>
  <c r="F695" i="10"/>
  <c r="H695" i="10" s="1"/>
  <c r="E695" i="10"/>
  <c r="D695" i="10"/>
  <c r="L694" i="10"/>
  <c r="I694" i="10"/>
  <c r="J694" i="10" s="1"/>
  <c r="K694" i="10" s="1"/>
  <c r="D694" i="10"/>
  <c r="E694" i="10" s="1"/>
  <c r="K693" i="10"/>
  <c r="J693" i="10"/>
  <c r="I693" i="10"/>
  <c r="G693" i="10"/>
  <c r="F693" i="10"/>
  <c r="H693" i="10" s="1"/>
  <c r="E693" i="10"/>
  <c r="D693" i="10"/>
  <c r="M692" i="10"/>
  <c r="L692" i="10"/>
  <c r="I692" i="10"/>
  <c r="J692" i="10" s="1"/>
  <c r="K692" i="10" s="1"/>
  <c r="E692" i="10"/>
  <c r="D692" i="10"/>
  <c r="J691" i="10"/>
  <c r="I691" i="10"/>
  <c r="G691" i="10"/>
  <c r="E691" i="10"/>
  <c r="F691" i="10" s="1"/>
  <c r="H691" i="10" s="1"/>
  <c r="D691" i="10"/>
  <c r="I690" i="10"/>
  <c r="J690" i="10" s="1"/>
  <c r="L690" i="10" s="1"/>
  <c r="D690" i="10"/>
  <c r="E690" i="10" s="1"/>
  <c r="I689" i="10"/>
  <c r="J689" i="10" s="1"/>
  <c r="G689" i="10"/>
  <c r="E689" i="10"/>
  <c r="F689" i="10" s="1"/>
  <c r="H689" i="10" s="1"/>
  <c r="D689" i="10"/>
  <c r="I688" i="10"/>
  <c r="J688" i="10" s="1"/>
  <c r="L688" i="10" s="1"/>
  <c r="D688" i="10"/>
  <c r="E688" i="10" s="1"/>
  <c r="I687" i="10"/>
  <c r="J687" i="10" s="1"/>
  <c r="G687" i="10"/>
  <c r="E687" i="10"/>
  <c r="F687" i="10" s="1"/>
  <c r="H687" i="10" s="1"/>
  <c r="D687" i="10"/>
  <c r="I686" i="10"/>
  <c r="J686" i="10" s="1"/>
  <c r="L686" i="10" s="1"/>
  <c r="D686" i="10"/>
  <c r="E686" i="10" s="1"/>
  <c r="I685" i="10"/>
  <c r="J685" i="10" s="1"/>
  <c r="D685" i="10"/>
  <c r="E685" i="10" s="1"/>
  <c r="J684" i="10"/>
  <c r="L684" i="10" s="1"/>
  <c r="I684" i="10"/>
  <c r="F684" i="10"/>
  <c r="H684" i="10" s="1"/>
  <c r="E684" i="10"/>
  <c r="G684" i="10" s="1"/>
  <c r="D684" i="10"/>
  <c r="I683" i="10"/>
  <c r="J683" i="10" s="1"/>
  <c r="D683" i="10"/>
  <c r="E683" i="10" s="1"/>
  <c r="J682" i="10"/>
  <c r="L682" i="10" s="1"/>
  <c r="I682" i="10"/>
  <c r="F682" i="10"/>
  <c r="H682" i="10" s="1"/>
  <c r="E682" i="10"/>
  <c r="G682" i="10" s="1"/>
  <c r="D682" i="10"/>
  <c r="I681" i="10"/>
  <c r="J681" i="10" s="1"/>
  <c r="D681" i="10"/>
  <c r="E681" i="10" s="1"/>
  <c r="J680" i="10"/>
  <c r="L680" i="10" s="1"/>
  <c r="I680" i="10"/>
  <c r="F680" i="10"/>
  <c r="H680" i="10" s="1"/>
  <c r="E680" i="10"/>
  <c r="G680" i="10" s="1"/>
  <c r="D680" i="10"/>
  <c r="I679" i="10"/>
  <c r="J679" i="10" s="1"/>
  <c r="D679" i="10"/>
  <c r="E679" i="10" s="1"/>
  <c r="J678" i="10"/>
  <c r="L678" i="10" s="1"/>
  <c r="I678" i="10"/>
  <c r="F678" i="10"/>
  <c r="H678" i="10" s="1"/>
  <c r="E678" i="10"/>
  <c r="G678" i="10" s="1"/>
  <c r="D678" i="10"/>
  <c r="I677" i="10"/>
  <c r="J677" i="10" s="1"/>
  <c r="D677" i="10"/>
  <c r="E677" i="10" s="1"/>
  <c r="J676" i="10"/>
  <c r="L676" i="10" s="1"/>
  <c r="I676" i="10"/>
  <c r="F676" i="10"/>
  <c r="H676" i="10" s="1"/>
  <c r="E676" i="10"/>
  <c r="G676" i="10" s="1"/>
  <c r="D676" i="10"/>
  <c r="I675" i="10"/>
  <c r="J675" i="10" s="1"/>
  <c r="D675" i="10"/>
  <c r="E675" i="10" s="1"/>
  <c r="J674" i="10"/>
  <c r="L674" i="10" s="1"/>
  <c r="I674" i="10"/>
  <c r="F674" i="10"/>
  <c r="H674" i="10" s="1"/>
  <c r="E674" i="10"/>
  <c r="G674" i="10" s="1"/>
  <c r="D674" i="10"/>
  <c r="I673" i="10"/>
  <c r="J673" i="10" s="1"/>
  <c r="D673" i="10"/>
  <c r="E673" i="10" s="1"/>
  <c r="J672" i="10"/>
  <c r="L672" i="10" s="1"/>
  <c r="I672" i="10"/>
  <c r="F672" i="10"/>
  <c r="H672" i="10" s="1"/>
  <c r="E672" i="10"/>
  <c r="G672" i="10" s="1"/>
  <c r="D672" i="10"/>
  <c r="I671" i="10"/>
  <c r="J671" i="10" s="1"/>
  <c r="D671" i="10"/>
  <c r="E671" i="10" s="1"/>
  <c r="J670" i="10"/>
  <c r="L670" i="10" s="1"/>
  <c r="I670" i="10"/>
  <c r="F670" i="10"/>
  <c r="H670" i="10" s="1"/>
  <c r="E670" i="10"/>
  <c r="G670" i="10" s="1"/>
  <c r="D670" i="10"/>
  <c r="I669" i="10"/>
  <c r="J669" i="10" s="1"/>
  <c r="D669" i="10"/>
  <c r="E669" i="10" s="1"/>
  <c r="J668" i="10"/>
  <c r="L668" i="10" s="1"/>
  <c r="I668" i="10"/>
  <c r="F668" i="10"/>
  <c r="H668" i="10" s="1"/>
  <c r="E668" i="10"/>
  <c r="G668" i="10" s="1"/>
  <c r="D668" i="10"/>
  <c r="I667" i="10"/>
  <c r="J667" i="10" s="1"/>
  <c r="D667" i="10"/>
  <c r="E667" i="10" s="1"/>
  <c r="J666" i="10"/>
  <c r="L666" i="10" s="1"/>
  <c r="I666" i="10"/>
  <c r="F666" i="10"/>
  <c r="H666" i="10" s="1"/>
  <c r="E666" i="10"/>
  <c r="G666" i="10" s="1"/>
  <c r="D666" i="10"/>
  <c r="I665" i="10"/>
  <c r="J665" i="10" s="1"/>
  <c r="D665" i="10"/>
  <c r="E665" i="10" s="1"/>
  <c r="J664" i="10"/>
  <c r="L664" i="10" s="1"/>
  <c r="I664" i="10"/>
  <c r="F664" i="10"/>
  <c r="H664" i="10" s="1"/>
  <c r="E664" i="10"/>
  <c r="G664" i="10" s="1"/>
  <c r="D664" i="10"/>
  <c r="I663" i="10"/>
  <c r="J663" i="10" s="1"/>
  <c r="D663" i="10"/>
  <c r="E663" i="10" s="1"/>
  <c r="J662" i="10"/>
  <c r="L662" i="10" s="1"/>
  <c r="I662" i="10"/>
  <c r="F662" i="10"/>
  <c r="H662" i="10" s="1"/>
  <c r="E662" i="10"/>
  <c r="G662" i="10" s="1"/>
  <c r="D662" i="10"/>
  <c r="I661" i="10"/>
  <c r="J661" i="10" s="1"/>
  <c r="D661" i="10"/>
  <c r="E661" i="10" s="1"/>
  <c r="J660" i="10"/>
  <c r="L660" i="10" s="1"/>
  <c r="I660" i="10"/>
  <c r="F660" i="10"/>
  <c r="H660" i="10" s="1"/>
  <c r="E660" i="10"/>
  <c r="G660" i="10" s="1"/>
  <c r="D660" i="10"/>
  <c r="I659" i="10"/>
  <c r="J659" i="10" s="1"/>
  <c r="D659" i="10"/>
  <c r="E659" i="10" s="1"/>
  <c r="J658" i="10"/>
  <c r="L658" i="10" s="1"/>
  <c r="I658" i="10"/>
  <c r="F658" i="10"/>
  <c r="H658" i="10" s="1"/>
  <c r="E658" i="10"/>
  <c r="G658" i="10" s="1"/>
  <c r="D658" i="10"/>
  <c r="I657" i="10"/>
  <c r="J657" i="10" s="1"/>
  <c r="D657" i="10"/>
  <c r="E657" i="10" s="1"/>
  <c r="J656" i="10"/>
  <c r="L656" i="10" s="1"/>
  <c r="I656" i="10"/>
  <c r="F656" i="10"/>
  <c r="H656" i="10" s="1"/>
  <c r="E656" i="10"/>
  <c r="G656" i="10" s="1"/>
  <c r="D656" i="10"/>
  <c r="I655" i="10"/>
  <c r="J655" i="10" s="1"/>
  <c r="D655" i="10"/>
  <c r="E655" i="10" s="1"/>
  <c r="J654" i="10"/>
  <c r="L654" i="10" s="1"/>
  <c r="I654" i="10"/>
  <c r="F654" i="10"/>
  <c r="H654" i="10" s="1"/>
  <c r="E654" i="10"/>
  <c r="G654" i="10" s="1"/>
  <c r="D654" i="10"/>
  <c r="I653" i="10"/>
  <c r="J653" i="10" s="1"/>
  <c r="D653" i="10"/>
  <c r="E653" i="10" s="1"/>
  <c r="J652" i="10"/>
  <c r="L652" i="10" s="1"/>
  <c r="I652" i="10"/>
  <c r="F652" i="10"/>
  <c r="H652" i="10" s="1"/>
  <c r="E652" i="10"/>
  <c r="G652" i="10" s="1"/>
  <c r="D652" i="10"/>
  <c r="I651" i="10"/>
  <c r="J651" i="10" s="1"/>
  <c r="D651" i="10"/>
  <c r="E651" i="10" s="1"/>
  <c r="J650" i="10"/>
  <c r="L650" i="10" s="1"/>
  <c r="I650" i="10"/>
  <c r="F650" i="10"/>
  <c r="H650" i="10" s="1"/>
  <c r="E650" i="10"/>
  <c r="G650" i="10" s="1"/>
  <c r="D650" i="10"/>
  <c r="I649" i="10"/>
  <c r="J649" i="10" s="1"/>
  <c r="D649" i="10"/>
  <c r="E649" i="10" s="1"/>
  <c r="J648" i="10"/>
  <c r="L648" i="10" s="1"/>
  <c r="I648" i="10"/>
  <c r="F648" i="10"/>
  <c r="H648" i="10" s="1"/>
  <c r="E648" i="10"/>
  <c r="G648" i="10" s="1"/>
  <c r="D648" i="10"/>
  <c r="I647" i="10"/>
  <c r="J647" i="10" s="1"/>
  <c r="D647" i="10"/>
  <c r="E647" i="10" s="1"/>
  <c r="J646" i="10"/>
  <c r="L646" i="10" s="1"/>
  <c r="I646" i="10"/>
  <c r="F646" i="10"/>
  <c r="H646" i="10" s="1"/>
  <c r="E646" i="10"/>
  <c r="G646" i="10" s="1"/>
  <c r="D646" i="10"/>
  <c r="I645" i="10"/>
  <c r="J645" i="10" s="1"/>
  <c r="D645" i="10"/>
  <c r="E645" i="10" s="1"/>
  <c r="J644" i="10"/>
  <c r="L644" i="10" s="1"/>
  <c r="I644" i="10"/>
  <c r="F644" i="10"/>
  <c r="H644" i="10" s="1"/>
  <c r="E644" i="10"/>
  <c r="G644" i="10" s="1"/>
  <c r="D644" i="10"/>
  <c r="I643" i="10"/>
  <c r="J643" i="10" s="1"/>
  <c r="D643" i="10"/>
  <c r="E643" i="10" s="1"/>
  <c r="J642" i="10"/>
  <c r="L642" i="10" s="1"/>
  <c r="I642" i="10"/>
  <c r="F642" i="10"/>
  <c r="H642" i="10" s="1"/>
  <c r="E642" i="10"/>
  <c r="G642" i="10" s="1"/>
  <c r="D642" i="10"/>
  <c r="I641" i="10"/>
  <c r="J641" i="10" s="1"/>
  <c r="D641" i="10"/>
  <c r="E641" i="10" s="1"/>
  <c r="J640" i="10"/>
  <c r="L640" i="10" s="1"/>
  <c r="I640" i="10"/>
  <c r="F640" i="10"/>
  <c r="H640" i="10" s="1"/>
  <c r="E640" i="10"/>
  <c r="G640" i="10" s="1"/>
  <c r="D640" i="10"/>
  <c r="I639" i="10"/>
  <c r="J639" i="10" s="1"/>
  <c r="D639" i="10"/>
  <c r="E639" i="10" s="1"/>
  <c r="J638" i="10"/>
  <c r="L638" i="10" s="1"/>
  <c r="I638" i="10"/>
  <c r="F638" i="10"/>
  <c r="H638" i="10" s="1"/>
  <c r="E638" i="10"/>
  <c r="G638" i="10" s="1"/>
  <c r="D638" i="10"/>
  <c r="I637" i="10"/>
  <c r="J637" i="10" s="1"/>
  <c r="D637" i="10"/>
  <c r="E637" i="10" s="1"/>
  <c r="J636" i="10"/>
  <c r="L636" i="10" s="1"/>
  <c r="I636" i="10"/>
  <c r="F636" i="10"/>
  <c r="H636" i="10" s="1"/>
  <c r="E636" i="10"/>
  <c r="G636" i="10" s="1"/>
  <c r="D636" i="10"/>
  <c r="I635" i="10"/>
  <c r="J635" i="10" s="1"/>
  <c r="D635" i="10"/>
  <c r="E635" i="10" s="1"/>
  <c r="J634" i="10"/>
  <c r="L634" i="10" s="1"/>
  <c r="I634" i="10"/>
  <c r="F634" i="10"/>
  <c r="H634" i="10" s="1"/>
  <c r="E634" i="10"/>
  <c r="G634" i="10" s="1"/>
  <c r="D634" i="10"/>
  <c r="I633" i="10"/>
  <c r="J633" i="10" s="1"/>
  <c r="D633" i="10"/>
  <c r="E633" i="10" s="1"/>
  <c r="J632" i="10"/>
  <c r="L632" i="10" s="1"/>
  <c r="I632" i="10"/>
  <c r="F632" i="10"/>
  <c r="H632" i="10" s="1"/>
  <c r="E632" i="10"/>
  <c r="G632" i="10" s="1"/>
  <c r="D632" i="10"/>
  <c r="I631" i="10"/>
  <c r="J631" i="10" s="1"/>
  <c r="D631" i="10"/>
  <c r="E631" i="10" s="1"/>
  <c r="J630" i="10"/>
  <c r="L630" i="10" s="1"/>
  <c r="I630" i="10"/>
  <c r="F630" i="10"/>
  <c r="H630" i="10" s="1"/>
  <c r="E630" i="10"/>
  <c r="G630" i="10" s="1"/>
  <c r="D630" i="10"/>
  <c r="I629" i="10"/>
  <c r="J629" i="10" s="1"/>
  <c r="D629" i="10"/>
  <c r="E629" i="10" s="1"/>
  <c r="J628" i="10"/>
  <c r="L628" i="10" s="1"/>
  <c r="I628" i="10"/>
  <c r="F628" i="10"/>
  <c r="H628" i="10" s="1"/>
  <c r="E628" i="10"/>
  <c r="G628" i="10" s="1"/>
  <c r="D628" i="10"/>
  <c r="I627" i="10"/>
  <c r="J627" i="10" s="1"/>
  <c r="D627" i="10"/>
  <c r="E627" i="10" s="1"/>
  <c r="J626" i="10"/>
  <c r="L626" i="10" s="1"/>
  <c r="I626" i="10"/>
  <c r="F626" i="10"/>
  <c r="H626" i="10" s="1"/>
  <c r="E626" i="10"/>
  <c r="G626" i="10" s="1"/>
  <c r="D626" i="10"/>
  <c r="I625" i="10"/>
  <c r="J625" i="10" s="1"/>
  <c r="D625" i="10"/>
  <c r="E625" i="10" s="1"/>
  <c r="J624" i="10"/>
  <c r="L624" i="10" s="1"/>
  <c r="I624" i="10"/>
  <c r="F624" i="10"/>
  <c r="H624" i="10" s="1"/>
  <c r="E624" i="10"/>
  <c r="G624" i="10" s="1"/>
  <c r="D624" i="10"/>
  <c r="I623" i="10"/>
  <c r="J623" i="10" s="1"/>
  <c r="D623" i="10"/>
  <c r="E623" i="10" s="1"/>
  <c r="J622" i="10"/>
  <c r="L622" i="10" s="1"/>
  <c r="I622" i="10"/>
  <c r="F622" i="10"/>
  <c r="H622" i="10" s="1"/>
  <c r="E622" i="10"/>
  <c r="G622" i="10" s="1"/>
  <c r="D622" i="10"/>
  <c r="I621" i="10"/>
  <c r="J621" i="10" s="1"/>
  <c r="D621" i="10"/>
  <c r="E621" i="10" s="1"/>
  <c r="J620" i="10"/>
  <c r="L620" i="10" s="1"/>
  <c r="I620" i="10"/>
  <c r="F620" i="10"/>
  <c r="H620" i="10" s="1"/>
  <c r="E620" i="10"/>
  <c r="G620" i="10" s="1"/>
  <c r="D620" i="10"/>
  <c r="I619" i="10"/>
  <c r="J619" i="10" s="1"/>
  <c r="D619" i="10"/>
  <c r="E619" i="10" s="1"/>
  <c r="J618" i="10"/>
  <c r="L618" i="10" s="1"/>
  <c r="I618" i="10"/>
  <c r="F618" i="10"/>
  <c r="H618" i="10" s="1"/>
  <c r="E618" i="10"/>
  <c r="G618" i="10" s="1"/>
  <c r="D618" i="10"/>
  <c r="I617" i="10"/>
  <c r="J617" i="10" s="1"/>
  <c r="D617" i="10"/>
  <c r="E617" i="10" s="1"/>
  <c r="J616" i="10"/>
  <c r="L616" i="10" s="1"/>
  <c r="I616" i="10"/>
  <c r="F616" i="10"/>
  <c r="H616" i="10" s="1"/>
  <c r="E616" i="10"/>
  <c r="G616" i="10" s="1"/>
  <c r="D616" i="10"/>
  <c r="I615" i="10"/>
  <c r="J615" i="10" s="1"/>
  <c r="D615" i="10"/>
  <c r="E615" i="10" s="1"/>
  <c r="J614" i="10"/>
  <c r="L614" i="10" s="1"/>
  <c r="I614" i="10"/>
  <c r="F614" i="10"/>
  <c r="H614" i="10" s="1"/>
  <c r="E614" i="10"/>
  <c r="G614" i="10" s="1"/>
  <c r="D614" i="10"/>
  <c r="I613" i="10"/>
  <c r="J613" i="10" s="1"/>
  <c r="D613" i="10"/>
  <c r="E613" i="10" s="1"/>
  <c r="J612" i="10"/>
  <c r="L612" i="10" s="1"/>
  <c r="I612" i="10"/>
  <c r="F612" i="10"/>
  <c r="H612" i="10" s="1"/>
  <c r="E612" i="10"/>
  <c r="G612" i="10" s="1"/>
  <c r="D612" i="10"/>
  <c r="I611" i="10"/>
  <c r="J611" i="10" s="1"/>
  <c r="D611" i="10"/>
  <c r="E611" i="10" s="1"/>
  <c r="J610" i="10"/>
  <c r="L610" i="10" s="1"/>
  <c r="I610" i="10"/>
  <c r="F610" i="10"/>
  <c r="H610" i="10" s="1"/>
  <c r="E610" i="10"/>
  <c r="G610" i="10" s="1"/>
  <c r="D610" i="10"/>
  <c r="I609" i="10"/>
  <c r="J609" i="10" s="1"/>
  <c r="D609" i="10"/>
  <c r="E609" i="10" s="1"/>
  <c r="J608" i="10"/>
  <c r="L608" i="10" s="1"/>
  <c r="I608" i="10"/>
  <c r="F608" i="10"/>
  <c r="H608" i="10" s="1"/>
  <c r="E608" i="10"/>
  <c r="G608" i="10" s="1"/>
  <c r="D608" i="10"/>
  <c r="I607" i="10"/>
  <c r="J607" i="10" s="1"/>
  <c r="D607" i="10"/>
  <c r="E607" i="10" s="1"/>
  <c r="J606" i="10"/>
  <c r="L606" i="10" s="1"/>
  <c r="I606" i="10"/>
  <c r="F606" i="10"/>
  <c r="H606" i="10" s="1"/>
  <c r="E606" i="10"/>
  <c r="G606" i="10" s="1"/>
  <c r="D606" i="10"/>
  <c r="I605" i="10"/>
  <c r="J605" i="10" s="1"/>
  <c r="D605" i="10"/>
  <c r="E605" i="10" s="1"/>
  <c r="J604" i="10"/>
  <c r="L604" i="10" s="1"/>
  <c r="I604" i="10"/>
  <c r="F604" i="10"/>
  <c r="H604" i="10" s="1"/>
  <c r="E604" i="10"/>
  <c r="G604" i="10" s="1"/>
  <c r="D604" i="10"/>
  <c r="I603" i="10"/>
  <c r="J603" i="10" s="1"/>
  <c r="D603" i="10"/>
  <c r="E603" i="10" s="1"/>
  <c r="J602" i="10"/>
  <c r="L602" i="10" s="1"/>
  <c r="I602" i="10"/>
  <c r="F602" i="10"/>
  <c r="H602" i="10" s="1"/>
  <c r="E602" i="10"/>
  <c r="G602" i="10" s="1"/>
  <c r="D602" i="10"/>
  <c r="I601" i="10"/>
  <c r="J601" i="10" s="1"/>
  <c r="D601" i="10"/>
  <c r="E601" i="10" s="1"/>
  <c r="J600" i="10"/>
  <c r="L600" i="10" s="1"/>
  <c r="I600" i="10"/>
  <c r="F600" i="10"/>
  <c r="H600" i="10" s="1"/>
  <c r="E600" i="10"/>
  <c r="G600" i="10" s="1"/>
  <c r="D600" i="10"/>
  <c r="I599" i="10"/>
  <c r="J599" i="10" s="1"/>
  <c r="D599" i="10"/>
  <c r="E599" i="10" s="1"/>
  <c r="J598" i="10"/>
  <c r="L598" i="10" s="1"/>
  <c r="I598" i="10"/>
  <c r="F598" i="10"/>
  <c r="H598" i="10" s="1"/>
  <c r="E598" i="10"/>
  <c r="G598" i="10" s="1"/>
  <c r="D598" i="10"/>
  <c r="I597" i="10"/>
  <c r="J597" i="10" s="1"/>
  <c r="D597" i="10"/>
  <c r="E597" i="10" s="1"/>
  <c r="J596" i="10"/>
  <c r="L596" i="10" s="1"/>
  <c r="I596" i="10"/>
  <c r="F596" i="10"/>
  <c r="H596" i="10" s="1"/>
  <c r="E596" i="10"/>
  <c r="G596" i="10" s="1"/>
  <c r="D596" i="10"/>
  <c r="I595" i="10"/>
  <c r="J595" i="10" s="1"/>
  <c r="D595" i="10"/>
  <c r="E595" i="10" s="1"/>
  <c r="J594" i="10"/>
  <c r="I594" i="10"/>
  <c r="F594" i="10"/>
  <c r="H594" i="10" s="1"/>
  <c r="E594" i="10"/>
  <c r="G594" i="10" s="1"/>
  <c r="D594" i="10"/>
  <c r="L593" i="10"/>
  <c r="I593" i="10"/>
  <c r="J593" i="10" s="1"/>
  <c r="D593" i="10"/>
  <c r="E593" i="10" s="1"/>
  <c r="J592" i="10"/>
  <c r="I592" i="10"/>
  <c r="F592" i="10"/>
  <c r="H592" i="10" s="1"/>
  <c r="E592" i="10"/>
  <c r="G592" i="10" s="1"/>
  <c r="D592" i="10"/>
  <c r="K591" i="10"/>
  <c r="I591" i="10"/>
  <c r="J591" i="10" s="1"/>
  <c r="M591" i="10" s="1"/>
  <c r="D591" i="10"/>
  <c r="E591" i="10" s="1"/>
  <c r="F591" i="10" s="1"/>
  <c r="H591" i="10" s="1"/>
  <c r="M590" i="10"/>
  <c r="J590" i="10"/>
  <c r="I590" i="10"/>
  <c r="F590" i="10"/>
  <c r="H590" i="10" s="1"/>
  <c r="E590" i="10"/>
  <c r="G590" i="10" s="1"/>
  <c r="D590" i="10"/>
  <c r="K589" i="10"/>
  <c r="I589" i="10"/>
  <c r="J589" i="10" s="1"/>
  <c r="M589" i="10" s="1"/>
  <c r="D589" i="10"/>
  <c r="E589" i="10" s="1"/>
  <c r="F589" i="10" s="1"/>
  <c r="H589" i="10" s="1"/>
  <c r="I588" i="10"/>
  <c r="J588" i="10" s="1"/>
  <c r="F588" i="10"/>
  <c r="H588" i="10" s="1"/>
  <c r="E588" i="10"/>
  <c r="G588" i="10" s="1"/>
  <c r="D588" i="10"/>
  <c r="K587" i="10"/>
  <c r="I587" i="10"/>
  <c r="J587" i="10" s="1"/>
  <c r="M587" i="10" s="1"/>
  <c r="E587" i="10"/>
  <c r="F587" i="10" s="1"/>
  <c r="H587" i="10" s="1"/>
  <c r="D587" i="10"/>
  <c r="J586" i="10"/>
  <c r="L586" i="10" s="1"/>
  <c r="I586" i="10"/>
  <c r="E586" i="10"/>
  <c r="G586" i="10" s="1"/>
  <c r="D586" i="10"/>
  <c r="K585" i="10"/>
  <c r="I585" i="10"/>
  <c r="J585" i="10" s="1"/>
  <c r="M585" i="10" s="1"/>
  <c r="E585" i="10"/>
  <c r="F585" i="10" s="1"/>
  <c r="H585" i="10" s="1"/>
  <c r="D585" i="10"/>
  <c r="I584" i="10"/>
  <c r="J584" i="10" s="1"/>
  <c r="E584" i="10"/>
  <c r="G584" i="10" s="1"/>
  <c r="D584" i="10"/>
  <c r="I583" i="10"/>
  <c r="J583" i="10" s="1"/>
  <c r="M583" i="10" s="1"/>
  <c r="D583" i="10"/>
  <c r="E583" i="10" s="1"/>
  <c r="I582" i="10"/>
  <c r="J582" i="10" s="1"/>
  <c r="E582" i="10"/>
  <c r="G582" i="10" s="1"/>
  <c r="D582" i="10"/>
  <c r="I581" i="10"/>
  <c r="J581" i="10" s="1"/>
  <c r="M581" i="10" s="1"/>
  <c r="D581" i="10"/>
  <c r="E581" i="10" s="1"/>
  <c r="I580" i="10"/>
  <c r="J580" i="10" s="1"/>
  <c r="E580" i="10"/>
  <c r="G580" i="10" s="1"/>
  <c r="D580" i="10"/>
  <c r="I579" i="10"/>
  <c r="J579" i="10" s="1"/>
  <c r="M579" i="10" s="1"/>
  <c r="D579" i="10"/>
  <c r="E579" i="10" s="1"/>
  <c r="I578" i="10"/>
  <c r="J578" i="10" s="1"/>
  <c r="E578" i="10"/>
  <c r="G578" i="10" s="1"/>
  <c r="D578" i="10"/>
  <c r="I577" i="10"/>
  <c r="J577" i="10" s="1"/>
  <c r="M577" i="10" s="1"/>
  <c r="D577" i="10"/>
  <c r="E577" i="10" s="1"/>
  <c r="I576" i="10"/>
  <c r="J576" i="10" s="1"/>
  <c r="E576" i="10"/>
  <c r="G576" i="10" s="1"/>
  <c r="D576" i="10"/>
  <c r="I575" i="10"/>
  <c r="J575" i="10" s="1"/>
  <c r="M575" i="10" s="1"/>
  <c r="D575" i="10"/>
  <c r="E575" i="10" s="1"/>
  <c r="I574" i="10"/>
  <c r="J574" i="10" s="1"/>
  <c r="E574" i="10"/>
  <c r="G574" i="10" s="1"/>
  <c r="D574" i="10"/>
  <c r="I573" i="10"/>
  <c r="J573" i="10" s="1"/>
  <c r="M573" i="10" s="1"/>
  <c r="D573" i="10"/>
  <c r="E573" i="10" s="1"/>
  <c r="I572" i="10"/>
  <c r="J572" i="10" s="1"/>
  <c r="E572" i="10"/>
  <c r="G572" i="10" s="1"/>
  <c r="D572" i="10"/>
  <c r="I571" i="10"/>
  <c r="J571" i="10" s="1"/>
  <c r="M571" i="10" s="1"/>
  <c r="D571" i="10"/>
  <c r="E571" i="10" s="1"/>
  <c r="I570" i="10"/>
  <c r="J570" i="10" s="1"/>
  <c r="E570" i="10"/>
  <c r="G570" i="10" s="1"/>
  <c r="D570" i="10"/>
  <c r="I569" i="10"/>
  <c r="J569" i="10" s="1"/>
  <c r="M569" i="10" s="1"/>
  <c r="D569" i="10"/>
  <c r="E569" i="10" s="1"/>
  <c r="I568" i="10"/>
  <c r="J568" i="10" s="1"/>
  <c r="E568" i="10"/>
  <c r="G568" i="10" s="1"/>
  <c r="D568" i="10"/>
  <c r="I567" i="10"/>
  <c r="J567" i="10" s="1"/>
  <c r="M567" i="10" s="1"/>
  <c r="D567" i="10"/>
  <c r="E567" i="10" s="1"/>
  <c r="I566" i="10"/>
  <c r="J566" i="10" s="1"/>
  <c r="E566" i="10"/>
  <c r="G566" i="10" s="1"/>
  <c r="D566" i="10"/>
  <c r="I565" i="10"/>
  <c r="J565" i="10" s="1"/>
  <c r="M565" i="10" s="1"/>
  <c r="D565" i="10"/>
  <c r="E565" i="10" s="1"/>
  <c r="I564" i="10"/>
  <c r="J564" i="10" s="1"/>
  <c r="E564" i="10"/>
  <c r="G564" i="10" s="1"/>
  <c r="D564" i="10"/>
  <c r="I563" i="10"/>
  <c r="J563" i="10" s="1"/>
  <c r="M563" i="10" s="1"/>
  <c r="D563" i="10"/>
  <c r="E563" i="10" s="1"/>
  <c r="I562" i="10"/>
  <c r="J562" i="10" s="1"/>
  <c r="E562" i="10"/>
  <c r="G562" i="10" s="1"/>
  <c r="D562" i="10"/>
  <c r="I561" i="10"/>
  <c r="J561" i="10" s="1"/>
  <c r="M561" i="10" s="1"/>
  <c r="D561" i="10"/>
  <c r="E561" i="10" s="1"/>
  <c r="I560" i="10"/>
  <c r="J560" i="10" s="1"/>
  <c r="E560" i="10"/>
  <c r="G560" i="10" s="1"/>
  <c r="D560" i="10"/>
  <c r="I559" i="10"/>
  <c r="J559" i="10" s="1"/>
  <c r="M559" i="10" s="1"/>
  <c r="D559" i="10"/>
  <c r="E559" i="10" s="1"/>
  <c r="I558" i="10"/>
  <c r="J558" i="10" s="1"/>
  <c r="E558" i="10"/>
  <c r="G558" i="10" s="1"/>
  <c r="D558" i="10"/>
  <c r="I557" i="10"/>
  <c r="J557" i="10" s="1"/>
  <c r="M557" i="10" s="1"/>
  <c r="D557" i="10"/>
  <c r="E557" i="10" s="1"/>
  <c r="I556" i="10"/>
  <c r="J556" i="10" s="1"/>
  <c r="E556" i="10"/>
  <c r="G556" i="10" s="1"/>
  <c r="D556" i="10"/>
  <c r="I555" i="10"/>
  <c r="J555" i="10" s="1"/>
  <c r="M555" i="10" s="1"/>
  <c r="D555" i="10"/>
  <c r="E555" i="10" s="1"/>
  <c r="I554" i="10"/>
  <c r="J554" i="10" s="1"/>
  <c r="E554" i="10"/>
  <c r="G554" i="10" s="1"/>
  <c r="D554" i="10"/>
  <c r="I553" i="10"/>
  <c r="J553" i="10" s="1"/>
  <c r="M553" i="10" s="1"/>
  <c r="D553" i="10"/>
  <c r="E553" i="10" s="1"/>
  <c r="I552" i="10"/>
  <c r="J552" i="10" s="1"/>
  <c r="E552" i="10"/>
  <c r="G552" i="10" s="1"/>
  <c r="D552" i="10"/>
  <c r="I551" i="10"/>
  <c r="J551" i="10" s="1"/>
  <c r="M551" i="10" s="1"/>
  <c r="D551" i="10"/>
  <c r="E551" i="10" s="1"/>
  <c r="I550" i="10"/>
  <c r="J550" i="10" s="1"/>
  <c r="E550" i="10"/>
  <c r="G550" i="10" s="1"/>
  <c r="D550" i="10"/>
  <c r="I549" i="10"/>
  <c r="J549" i="10" s="1"/>
  <c r="M549" i="10" s="1"/>
  <c r="D549" i="10"/>
  <c r="E549" i="10" s="1"/>
  <c r="I548" i="10"/>
  <c r="J548" i="10" s="1"/>
  <c r="E548" i="10"/>
  <c r="G548" i="10" s="1"/>
  <c r="D548" i="10"/>
  <c r="I547" i="10"/>
  <c r="J547" i="10" s="1"/>
  <c r="M547" i="10" s="1"/>
  <c r="D547" i="10"/>
  <c r="E547" i="10" s="1"/>
  <c r="I546" i="10"/>
  <c r="J546" i="10" s="1"/>
  <c r="E546" i="10"/>
  <c r="G546" i="10" s="1"/>
  <c r="D546" i="10"/>
  <c r="I545" i="10"/>
  <c r="J545" i="10" s="1"/>
  <c r="M545" i="10" s="1"/>
  <c r="D545" i="10"/>
  <c r="E545" i="10" s="1"/>
  <c r="I544" i="10"/>
  <c r="J544" i="10" s="1"/>
  <c r="E544" i="10"/>
  <c r="G544" i="10" s="1"/>
  <c r="D544" i="10"/>
  <c r="I543" i="10"/>
  <c r="J543" i="10" s="1"/>
  <c r="M543" i="10" s="1"/>
  <c r="D543" i="10"/>
  <c r="E543" i="10" s="1"/>
  <c r="I542" i="10"/>
  <c r="J542" i="10" s="1"/>
  <c r="E542" i="10"/>
  <c r="G542" i="10" s="1"/>
  <c r="D542" i="10"/>
  <c r="I541" i="10"/>
  <c r="J541" i="10" s="1"/>
  <c r="D541" i="10"/>
  <c r="E541" i="10" s="1"/>
  <c r="I540" i="10"/>
  <c r="J540" i="10" s="1"/>
  <c r="E540" i="10"/>
  <c r="G540" i="10" s="1"/>
  <c r="D540" i="10"/>
  <c r="I539" i="10"/>
  <c r="J539" i="10" s="1"/>
  <c r="D539" i="10"/>
  <c r="E539" i="10" s="1"/>
  <c r="I538" i="10"/>
  <c r="J538" i="10" s="1"/>
  <c r="E538" i="10"/>
  <c r="G538" i="10" s="1"/>
  <c r="D538" i="10"/>
  <c r="I537" i="10"/>
  <c r="J537" i="10" s="1"/>
  <c r="D537" i="10"/>
  <c r="E537" i="10" s="1"/>
  <c r="I536" i="10"/>
  <c r="J536" i="10" s="1"/>
  <c r="E536" i="10"/>
  <c r="G536" i="10" s="1"/>
  <c r="D536" i="10"/>
  <c r="I535" i="10"/>
  <c r="J535" i="10" s="1"/>
  <c r="D535" i="10"/>
  <c r="E535" i="10" s="1"/>
  <c r="I534" i="10"/>
  <c r="J534" i="10" s="1"/>
  <c r="E534" i="10"/>
  <c r="G534" i="10" s="1"/>
  <c r="D534" i="10"/>
  <c r="I533" i="10"/>
  <c r="J533" i="10" s="1"/>
  <c r="D533" i="10"/>
  <c r="E533" i="10" s="1"/>
  <c r="I532" i="10"/>
  <c r="J532" i="10" s="1"/>
  <c r="D532" i="10"/>
  <c r="E532" i="10" s="1"/>
  <c r="J531" i="10"/>
  <c r="I531" i="10"/>
  <c r="F531" i="10"/>
  <c r="H531" i="10" s="1"/>
  <c r="D531" i="10"/>
  <c r="E531" i="10" s="1"/>
  <c r="G531" i="10" s="1"/>
  <c r="L530" i="10"/>
  <c r="I530" i="10"/>
  <c r="J530" i="10" s="1"/>
  <c r="D530" i="10"/>
  <c r="E530" i="10" s="1"/>
  <c r="J529" i="10"/>
  <c r="I529" i="10"/>
  <c r="F529" i="10"/>
  <c r="H529" i="10" s="1"/>
  <c r="D529" i="10"/>
  <c r="E529" i="10" s="1"/>
  <c r="G529" i="10" s="1"/>
  <c r="L528" i="10"/>
  <c r="I528" i="10"/>
  <c r="J528" i="10" s="1"/>
  <c r="D528" i="10"/>
  <c r="E528" i="10" s="1"/>
  <c r="J527" i="10"/>
  <c r="I527" i="10"/>
  <c r="G527" i="10"/>
  <c r="F527" i="10"/>
  <c r="H527" i="10" s="1"/>
  <c r="E527" i="10"/>
  <c r="D527" i="10"/>
  <c r="I526" i="10"/>
  <c r="J526" i="10" s="1"/>
  <c r="L526" i="10" s="1"/>
  <c r="D526" i="10"/>
  <c r="E526" i="10" s="1"/>
  <c r="J525" i="10"/>
  <c r="I525" i="10"/>
  <c r="G525" i="10"/>
  <c r="F525" i="10"/>
  <c r="H525" i="10" s="1"/>
  <c r="E525" i="10"/>
  <c r="D525" i="10"/>
  <c r="L524" i="10"/>
  <c r="I524" i="10"/>
  <c r="J524" i="10" s="1"/>
  <c r="D524" i="10"/>
  <c r="E524" i="10" s="1"/>
  <c r="J523" i="10"/>
  <c r="I523" i="10"/>
  <c r="G523" i="10"/>
  <c r="F523" i="10"/>
  <c r="H523" i="10" s="1"/>
  <c r="E523" i="10"/>
  <c r="D523" i="10"/>
  <c r="I522" i="10"/>
  <c r="J522" i="10" s="1"/>
  <c r="L522" i="10" s="1"/>
  <c r="D522" i="10"/>
  <c r="E522" i="10" s="1"/>
  <c r="J521" i="10"/>
  <c r="I521" i="10"/>
  <c r="G521" i="10"/>
  <c r="F521" i="10"/>
  <c r="H521" i="10" s="1"/>
  <c r="E521" i="10"/>
  <c r="D521" i="10"/>
  <c r="I520" i="10"/>
  <c r="J520" i="10" s="1"/>
  <c r="D520" i="10"/>
  <c r="E520" i="10" s="1"/>
  <c r="J519" i="10"/>
  <c r="I519" i="10"/>
  <c r="G519" i="10"/>
  <c r="F519" i="10"/>
  <c r="H519" i="10" s="1"/>
  <c r="E519" i="10"/>
  <c r="D519" i="10"/>
  <c r="I518" i="10"/>
  <c r="J518" i="10" s="1"/>
  <c r="L518" i="10" s="1"/>
  <c r="D518" i="10"/>
  <c r="E518" i="10" s="1"/>
  <c r="J517" i="10"/>
  <c r="I517" i="10"/>
  <c r="G517" i="10"/>
  <c r="F517" i="10"/>
  <c r="H517" i="10" s="1"/>
  <c r="E517" i="10"/>
  <c r="D517" i="10"/>
  <c r="I516" i="10"/>
  <c r="J516" i="10" s="1"/>
  <c r="D516" i="10"/>
  <c r="E516" i="10" s="1"/>
  <c r="J515" i="10"/>
  <c r="I515" i="10"/>
  <c r="G515" i="10"/>
  <c r="F515" i="10"/>
  <c r="H515" i="10" s="1"/>
  <c r="E515" i="10"/>
  <c r="D515" i="10"/>
  <c r="I514" i="10"/>
  <c r="J514" i="10" s="1"/>
  <c r="L514" i="10" s="1"/>
  <c r="D514" i="10"/>
  <c r="E514" i="10" s="1"/>
  <c r="J513" i="10"/>
  <c r="I513" i="10"/>
  <c r="G513" i="10"/>
  <c r="F513" i="10"/>
  <c r="H513" i="10" s="1"/>
  <c r="E513" i="10"/>
  <c r="D513" i="10"/>
  <c r="I512" i="10"/>
  <c r="J512" i="10" s="1"/>
  <c r="D512" i="10"/>
  <c r="E512" i="10" s="1"/>
  <c r="J511" i="10"/>
  <c r="I511" i="10"/>
  <c r="G511" i="10"/>
  <c r="F511" i="10"/>
  <c r="H511" i="10" s="1"/>
  <c r="E511" i="10"/>
  <c r="D511" i="10"/>
  <c r="I510" i="10"/>
  <c r="J510" i="10" s="1"/>
  <c r="L510" i="10" s="1"/>
  <c r="D510" i="10"/>
  <c r="E510" i="10" s="1"/>
  <c r="J509" i="10"/>
  <c r="I509" i="10"/>
  <c r="G509" i="10"/>
  <c r="F509" i="10"/>
  <c r="H509" i="10" s="1"/>
  <c r="E509" i="10"/>
  <c r="D509" i="10"/>
  <c r="I508" i="10"/>
  <c r="J508" i="10" s="1"/>
  <c r="D508" i="10"/>
  <c r="E508" i="10" s="1"/>
  <c r="J507" i="10"/>
  <c r="I507" i="10"/>
  <c r="G507" i="10"/>
  <c r="F507" i="10"/>
  <c r="H507" i="10" s="1"/>
  <c r="E507" i="10"/>
  <c r="D507" i="10"/>
  <c r="I506" i="10"/>
  <c r="J506" i="10" s="1"/>
  <c r="L506" i="10" s="1"/>
  <c r="D506" i="10"/>
  <c r="E506" i="10" s="1"/>
  <c r="J505" i="10"/>
  <c r="I505" i="10"/>
  <c r="G505" i="10"/>
  <c r="F505" i="10"/>
  <c r="H505" i="10" s="1"/>
  <c r="E505" i="10"/>
  <c r="D505" i="10"/>
  <c r="I504" i="10"/>
  <c r="J504" i="10" s="1"/>
  <c r="D504" i="10"/>
  <c r="E504" i="10" s="1"/>
  <c r="J503" i="10"/>
  <c r="I503" i="10"/>
  <c r="G503" i="10"/>
  <c r="F503" i="10"/>
  <c r="H503" i="10" s="1"/>
  <c r="E503" i="10"/>
  <c r="D503" i="10"/>
  <c r="I502" i="10"/>
  <c r="J502" i="10" s="1"/>
  <c r="L502" i="10" s="1"/>
  <c r="D502" i="10"/>
  <c r="E502" i="10" s="1"/>
  <c r="J501" i="10"/>
  <c r="I501" i="10"/>
  <c r="G501" i="10"/>
  <c r="F501" i="10"/>
  <c r="H501" i="10" s="1"/>
  <c r="E501" i="10"/>
  <c r="D501" i="10"/>
  <c r="I500" i="10"/>
  <c r="J500" i="10" s="1"/>
  <c r="D500" i="10"/>
  <c r="E500" i="10" s="1"/>
  <c r="J499" i="10"/>
  <c r="I499" i="10"/>
  <c r="G499" i="10"/>
  <c r="F499" i="10"/>
  <c r="H499" i="10" s="1"/>
  <c r="E499" i="10"/>
  <c r="D499" i="10"/>
  <c r="I498" i="10"/>
  <c r="J498" i="10" s="1"/>
  <c r="L498" i="10" s="1"/>
  <c r="D498" i="10"/>
  <c r="E498" i="10" s="1"/>
  <c r="J497" i="10"/>
  <c r="I497" i="10"/>
  <c r="G497" i="10"/>
  <c r="F497" i="10"/>
  <c r="H497" i="10" s="1"/>
  <c r="E497" i="10"/>
  <c r="D497" i="10"/>
  <c r="I496" i="10"/>
  <c r="J496" i="10" s="1"/>
  <c r="D496" i="10"/>
  <c r="E496" i="10" s="1"/>
  <c r="J495" i="10"/>
  <c r="I495" i="10"/>
  <c r="G495" i="10"/>
  <c r="F495" i="10"/>
  <c r="H495" i="10" s="1"/>
  <c r="E495" i="10"/>
  <c r="D495" i="10"/>
  <c r="I494" i="10"/>
  <c r="J494" i="10" s="1"/>
  <c r="L494" i="10" s="1"/>
  <c r="D494" i="10"/>
  <c r="E494" i="10" s="1"/>
  <c r="J493" i="10"/>
  <c r="I493" i="10"/>
  <c r="G493" i="10"/>
  <c r="F493" i="10"/>
  <c r="H493" i="10" s="1"/>
  <c r="E493" i="10"/>
  <c r="D493" i="10"/>
  <c r="I492" i="10"/>
  <c r="J492" i="10" s="1"/>
  <c r="D492" i="10"/>
  <c r="E492" i="10" s="1"/>
  <c r="J491" i="10"/>
  <c r="I491" i="10"/>
  <c r="G491" i="10"/>
  <c r="F491" i="10"/>
  <c r="H491" i="10" s="1"/>
  <c r="E491" i="10"/>
  <c r="D491" i="10"/>
  <c r="I490" i="10"/>
  <c r="J490" i="10" s="1"/>
  <c r="L490" i="10" s="1"/>
  <c r="D490" i="10"/>
  <c r="E490" i="10" s="1"/>
  <c r="J489" i="10"/>
  <c r="I489" i="10"/>
  <c r="G489" i="10"/>
  <c r="F489" i="10"/>
  <c r="H489" i="10" s="1"/>
  <c r="E489" i="10"/>
  <c r="D489" i="10"/>
  <c r="I488" i="10"/>
  <c r="J488" i="10" s="1"/>
  <c r="D488" i="10"/>
  <c r="E488" i="10" s="1"/>
  <c r="J487" i="10"/>
  <c r="I487" i="10"/>
  <c r="G487" i="10"/>
  <c r="F487" i="10"/>
  <c r="H487" i="10" s="1"/>
  <c r="E487" i="10"/>
  <c r="D487" i="10"/>
  <c r="I486" i="10"/>
  <c r="J486" i="10" s="1"/>
  <c r="L486" i="10" s="1"/>
  <c r="D486" i="10"/>
  <c r="E486" i="10" s="1"/>
  <c r="J485" i="10"/>
  <c r="I485" i="10"/>
  <c r="G485" i="10"/>
  <c r="F485" i="10"/>
  <c r="H485" i="10" s="1"/>
  <c r="E485" i="10"/>
  <c r="D485" i="10"/>
  <c r="I484" i="10"/>
  <c r="J484" i="10" s="1"/>
  <c r="D484" i="10"/>
  <c r="E484" i="10" s="1"/>
  <c r="J483" i="10"/>
  <c r="I483" i="10"/>
  <c r="G483" i="10"/>
  <c r="F483" i="10"/>
  <c r="H483" i="10" s="1"/>
  <c r="E483" i="10"/>
  <c r="D483" i="10"/>
  <c r="I482" i="10"/>
  <c r="J482" i="10" s="1"/>
  <c r="L482" i="10" s="1"/>
  <c r="D482" i="10"/>
  <c r="E482" i="10" s="1"/>
  <c r="J481" i="10"/>
  <c r="I481" i="10"/>
  <c r="G481" i="10"/>
  <c r="F481" i="10"/>
  <c r="H481" i="10" s="1"/>
  <c r="E481" i="10"/>
  <c r="D481" i="10"/>
  <c r="I480" i="10"/>
  <c r="J480" i="10" s="1"/>
  <c r="D480" i="10"/>
  <c r="E480" i="10" s="1"/>
  <c r="J479" i="10"/>
  <c r="I479" i="10"/>
  <c r="G479" i="10"/>
  <c r="F479" i="10"/>
  <c r="H479" i="10" s="1"/>
  <c r="E479" i="10"/>
  <c r="D479" i="10"/>
  <c r="I478" i="10"/>
  <c r="J478" i="10" s="1"/>
  <c r="L478" i="10" s="1"/>
  <c r="D478" i="10"/>
  <c r="E478" i="10" s="1"/>
  <c r="J477" i="10"/>
  <c r="I477" i="10"/>
  <c r="G477" i="10"/>
  <c r="F477" i="10"/>
  <c r="H477" i="10" s="1"/>
  <c r="E477" i="10"/>
  <c r="D477" i="10"/>
  <c r="I476" i="10"/>
  <c r="J476" i="10" s="1"/>
  <c r="D476" i="10"/>
  <c r="E476" i="10" s="1"/>
  <c r="J475" i="10"/>
  <c r="I475" i="10"/>
  <c r="G475" i="10"/>
  <c r="F475" i="10"/>
  <c r="H475" i="10" s="1"/>
  <c r="E475" i="10"/>
  <c r="D475" i="10"/>
  <c r="I474" i="10"/>
  <c r="J474" i="10" s="1"/>
  <c r="L474" i="10" s="1"/>
  <c r="D474" i="10"/>
  <c r="E474" i="10" s="1"/>
  <c r="J473" i="10"/>
  <c r="I473" i="10"/>
  <c r="G473" i="10"/>
  <c r="F473" i="10"/>
  <c r="H473" i="10" s="1"/>
  <c r="E473" i="10"/>
  <c r="D473" i="10"/>
  <c r="I472" i="10"/>
  <c r="J472" i="10" s="1"/>
  <c r="E472" i="10"/>
  <c r="D472" i="10"/>
  <c r="K471" i="10"/>
  <c r="J471" i="10"/>
  <c r="I471" i="10"/>
  <c r="G471" i="10"/>
  <c r="F471" i="10"/>
  <c r="H471" i="10" s="1"/>
  <c r="E471" i="10"/>
  <c r="D471" i="10"/>
  <c r="L470" i="10"/>
  <c r="I470" i="10"/>
  <c r="J470" i="10" s="1"/>
  <c r="K470" i="10" s="1"/>
  <c r="D470" i="10"/>
  <c r="E470" i="10" s="1"/>
  <c r="J469" i="10"/>
  <c r="K469" i="10" s="1"/>
  <c r="I469" i="10"/>
  <c r="G469" i="10"/>
  <c r="F469" i="10"/>
  <c r="H469" i="10" s="1"/>
  <c r="E469" i="10"/>
  <c r="D469" i="10"/>
  <c r="I468" i="10"/>
  <c r="J468" i="10" s="1"/>
  <c r="K468" i="10" s="1"/>
  <c r="E468" i="10"/>
  <c r="D468" i="10"/>
  <c r="K467" i="10"/>
  <c r="J467" i="10"/>
  <c r="I467" i="10"/>
  <c r="G467" i="10"/>
  <c r="F467" i="10"/>
  <c r="H467" i="10" s="1"/>
  <c r="E467" i="10"/>
  <c r="D467" i="10"/>
  <c r="M466" i="10"/>
  <c r="L466" i="10"/>
  <c r="I466" i="10"/>
  <c r="J466" i="10" s="1"/>
  <c r="K466" i="10" s="1"/>
  <c r="D466" i="10"/>
  <c r="E466" i="10" s="1"/>
  <c r="J465" i="10"/>
  <c r="I465" i="10"/>
  <c r="G465" i="10"/>
  <c r="F465" i="10"/>
  <c r="H465" i="10" s="1"/>
  <c r="E465" i="10"/>
  <c r="D465" i="10"/>
  <c r="I464" i="10"/>
  <c r="J464" i="10" s="1"/>
  <c r="K464" i="10" s="1"/>
  <c r="E464" i="10"/>
  <c r="D464" i="10"/>
  <c r="K463" i="10"/>
  <c r="J463" i="10"/>
  <c r="I463" i="10"/>
  <c r="G463" i="10"/>
  <c r="F463" i="10"/>
  <c r="H463" i="10" s="1"/>
  <c r="E463" i="10"/>
  <c r="D463" i="10"/>
  <c r="I462" i="10"/>
  <c r="J462" i="10" s="1"/>
  <c r="M462" i="10" s="1"/>
  <c r="D462" i="10"/>
  <c r="E462" i="10" s="1"/>
  <c r="I461" i="10"/>
  <c r="J461" i="10" s="1"/>
  <c r="G461" i="10"/>
  <c r="F461" i="10"/>
  <c r="H461" i="10" s="1"/>
  <c r="E461" i="10"/>
  <c r="D461" i="10"/>
  <c r="I460" i="10"/>
  <c r="J460" i="10" s="1"/>
  <c r="M460" i="10" s="1"/>
  <c r="D460" i="10"/>
  <c r="E460" i="10" s="1"/>
  <c r="I459" i="10"/>
  <c r="J459" i="10" s="1"/>
  <c r="G459" i="10"/>
  <c r="F459" i="10"/>
  <c r="H459" i="10" s="1"/>
  <c r="E459" i="10"/>
  <c r="D459" i="10"/>
  <c r="I458" i="10"/>
  <c r="J458" i="10" s="1"/>
  <c r="M458" i="10" s="1"/>
  <c r="D458" i="10"/>
  <c r="E458" i="10" s="1"/>
  <c r="I457" i="10"/>
  <c r="J457" i="10" s="1"/>
  <c r="F457" i="10"/>
  <c r="H457" i="10" s="1"/>
  <c r="E457" i="10"/>
  <c r="G457" i="10" s="1"/>
  <c r="D457" i="10"/>
  <c r="I456" i="10"/>
  <c r="J456" i="10" s="1"/>
  <c r="M456" i="10" s="1"/>
  <c r="D456" i="10"/>
  <c r="E456" i="10" s="1"/>
  <c r="I455" i="10"/>
  <c r="J455" i="10" s="1"/>
  <c r="F455" i="10"/>
  <c r="H455" i="10" s="1"/>
  <c r="E455" i="10"/>
  <c r="G455" i="10" s="1"/>
  <c r="D455" i="10"/>
  <c r="I454" i="10"/>
  <c r="J454" i="10" s="1"/>
  <c r="M454" i="10" s="1"/>
  <c r="D454" i="10"/>
  <c r="E454" i="10" s="1"/>
  <c r="I453" i="10"/>
  <c r="J453" i="10" s="1"/>
  <c r="F453" i="10"/>
  <c r="H453" i="10" s="1"/>
  <c r="E453" i="10"/>
  <c r="G453" i="10" s="1"/>
  <c r="D453" i="10"/>
  <c r="I452" i="10"/>
  <c r="J452" i="10" s="1"/>
  <c r="M452" i="10" s="1"/>
  <c r="D452" i="10"/>
  <c r="E452" i="10" s="1"/>
  <c r="I451" i="10"/>
  <c r="J451" i="10" s="1"/>
  <c r="F451" i="10"/>
  <c r="H451" i="10" s="1"/>
  <c r="E451" i="10"/>
  <c r="G451" i="10" s="1"/>
  <c r="D451" i="10"/>
  <c r="I450" i="10"/>
  <c r="J450" i="10" s="1"/>
  <c r="M450" i="10" s="1"/>
  <c r="D450" i="10"/>
  <c r="E450" i="10" s="1"/>
  <c r="I449" i="10"/>
  <c r="J449" i="10" s="1"/>
  <c r="F449" i="10"/>
  <c r="H449" i="10" s="1"/>
  <c r="E449" i="10"/>
  <c r="G449" i="10" s="1"/>
  <c r="D449" i="10"/>
  <c r="I448" i="10"/>
  <c r="J448" i="10" s="1"/>
  <c r="M448" i="10" s="1"/>
  <c r="D448" i="10"/>
  <c r="E448" i="10" s="1"/>
  <c r="I447" i="10"/>
  <c r="J447" i="10" s="1"/>
  <c r="F447" i="10"/>
  <c r="H447" i="10" s="1"/>
  <c r="E447" i="10"/>
  <c r="G447" i="10" s="1"/>
  <c r="D447" i="10"/>
  <c r="I446" i="10"/>
  <c r="J446" i="10" s="1"/>
  <c r="M446" i="10" s="1"/>
  <c r="D446" i="10"/>
  <c r="E446" i="10" s="1"/>
  <c r="I445" i="10"/>
  <c r="J445" i="10" s="1"/>
  <c r="F445" i="10"/>
  <c r="H445" i="10" s="1"/>
  <c r="E445" i="10"/>
  <c r="G445" i="10" s="1"/>
  <c r="D445" i="10"/>
  <c r="I444" i="10"/>
  <c r="J444" i="10" s="1"/>
  <c r="M444" i="10" s="1"/>
  <c r="D444" i="10"/>
  <c r="E444" i="10" s="1"/>
  <c r="I443" i="10"/>
  <c r="J443" i="10" s="1"/>
  <c r="F443" i="10"/>
  <c r="H443" i="10" s="1"/>
  <c r="E443" i="10"/>
  <c r="G443" i="10" s="1"/>
  <c r="D443" i="10"/>
  <c r="I442" i="10"/>
  <c r="J442" i="10" s="1"/>
  <c r="M442" i="10" s="1"/>
  <c r="D442" i="10"/>
  <c r="E442" i="10" s="1"/>
  <c r="I441" i="10"/>
  <c r="J441" i="10" s="1"/>
  <c r="F441" i="10"/>
  <c r="H441" i="10" s="1"/>
  <c r="E441" i="10"/>
  <c r="G441" i="10" s="1"/>
  <c r="D441" i="10"/>
  <c r="I440" i="10"/>
  <c r="J440" i="10" s="1"/>
  <c r="M440" i="10" s="1"/>
  <c r="D440" i="10"/>
  <c r="E440" i="10" s="1"/>
  <c r="I439" i="10"/>
  <c r="J439" i="10" s="1"/>
  <c r="F439" i="10"/>
  <c r="H439" i="10" s="1"/>
  <c r="E439" i="10"/>
  <c r="G439" i="10" s="1"/>
  <c r="D439" i="10"/>
  <c r="I438" i="10"/>
  <c r="J438" i="10" s="1"/>
  <c r="M438" i="10" s="1"/>
  <c r="D438" i="10"/>
  <c r="E438" i="10" s="1"/>
  <c r="I437" i="10"/>
  <c r="J437" i="10" s="1"/>
  <c r="F437" i="10"/>
  <c r="H437" i="10" s="1"/>
  <c r="E437" i="10"/>
  <c r="G437" i="10" s="1"/>
  <c r="D437" i="10"/>
  <c r="I436" i="10"/>
  <c r="J436" i="10" s="1"/>
  <c r="M436" i="10" s="1"/>
  <c r="D436" i="10"/>
  <c r="E436" i="10" s="1"/>
  <c r="I435" i="10"/>
  <c r="J435" i="10" s="1"/>
  <c r="F435" i="10"/>
  <c r="H435" i="10" s="1"/>
  <c r="E435" i="10"/>
  <c r="G435" i="10" s="1"/>
  <c r="D435" i="10"/>
  <c r="I434" i="10"/>
  <c r="J434" i="10" s="1"/>
  <c r="M434" i="10" s="1"/>
  <c r="D434" i="10"/>
  <c r="E434" i="10" s="1"/>
  <c r="I433" i="10"/>
  <c r="J433" i="10" s="1"/>
  <c r="F433" i="10"/>
  <c r="H433" i="10" s="1"/>
  <c r="E433" i="10"/>
  <c r="G433" i="10" s="1"/>
  <c r="D433" i="10"/>
  <c r="I432" i="10"/>
  <c r="J432" i="10" s="1"/>
  <c r="M432" i="10" s="1"/>
  <c r="D432" i="10"/>
  <c r="E432" i="10" s="1"/>
  <c r="I431" i="10"/>
  <c r="J431" i="10" s="1"/>
  <c r="F431" i="10"/>
  <c r="H431" i="10" s="1"/>
  <c r="E431" i="10"/>
  <c r="G431" i="10" s="1"/>
  <c r="D431" i="10"/>
  <c r="I430" i="10"/>
  <c r="J430" i="10" s="1"/>
  <c r="M430" i="10" s="1"/>
  <c r="D430" i="10"/>
  <c r="E430" i="10" s="1"/>
  <c r="I429" i="10"/>
  <c r="J429" i="10" s="1"/>
  <c r="F429" i="10"/>
  <c r="H429" i="10" s="1"/>
  <c r="E429" i="10"/>
  <c r="G429" i="10" s="1"/>
  <c r="D429" i="10"/>
  <c r="I428" i="10"/>
  <c r="J428" i="10" s="1"/>
  <c r="M428" i="10" s="1"/>
  <c r="D428" i="10"/>
  <c r="E428" i="10" s="1"/>
  <c r="I427" i="10"/>
  <c r="J427" i="10" s="1"/>
  <c r="F427" i="10"/>
  <c r="H427" i="10" s="1"/>
  <c r="E427" i="10"/>
  <c r="G427" i="10" s="1"/>
  <c r="D427" i="10"/>
  <c r="I426" i="10"/>
  <c r="J426" i="10" s="1"/>
  <c r="M426" i="10" s="1"/>
  <c r="D426" i="10"/>
  <c r="E426" i="10" s="1"/>
  <c r="I425" i="10"/>
  <c r="J425" i="10" s="1"/>
  <c r="F425" i="10"/>
  <c r="H425" i="10" s="1"/>
  <c r="E425" i="10"/>
  <c r="G425" i="10" s="1"/>
  <c r="D425" i="10"/>
  <c r="I424" i="10"/>
  <c r="J424" i="10" s="1"/>
  <c r="M424" i="10" s="1"/>
  <c r="D424" i="10"/>
  <c r="E424" i="10" s="1"/>
  <c r="J423" i="10"/>
  <c r="M423" i="10" s="1"/>
  <c r="I423" i="10"/>
  <c r="D423" i="10"/>
  <c r="E423" i="10" s="1"/>
  <c r="L422" i="10"/>
  <c r="J422" i="10"/>
  <c r="K422" i="10" s="1"/>
  <c r="I422" i="10"/>
  <c r="D422" i="10"/>
  <c r="E422" i="10" s="1"/>
  <c r="J421" i="10"/>
  <c r="M421" i="10" s="1"/>
  <c r="I421" i="10"/>
  <c r="D421" i="10"/>
  <c r="E421" i="10" s="1"/>
  <c r="L420" i="10"/>
  <c r="J420" i="10"/>
  <c r="K420" i="10" s="1"/>
  <c r="I420" i="10"/>
  <c r="D420" i="10"/>
  <c r="E420" i="10" s="1"/>
  <c r="J419" i="10"/>
  <c r="M419" i="10" s="1"/>
  <c r="I419" i="10"/>
  <c r="D419" i="10"/>
  <c r="E419" i="10" s="1"/>
  <c r="L418" i="10"/>
  <c r="J418" i="10"/>
  <c r="K418" i="10" s="1"/>
  <c r="I418" i="10"/>
  <c r="D418" i="10"/>
  <c r="E418" i="10" s="1"/>
  <c r="J417" i="10"/>
  <c r="M417" i="10" s="1"/>
  <c r="I417" i="10"/>
  <c r="D417" i="10"/>
  <c r="E417" i="10" s="1"/>
  <c r="L416" i="10"/>
  <c r="J416" i="10"/>
  <c r="K416" i="10" s="1"/>
  <c r="I416" i="10"/>
  <c r="D416" i="10"/>
  <c r="E416" i="10" s="1"/>
  <c r="J415" i="10"/>
  <c r="M415" i="10" s="1"/>
  <c r="I415" i="10"/>
  <c r="D415" i="10"/>
  <c r="E415" i="10" s="1"/>
  <c r="L414" i="10"/>
  <c r="J414" i="10"/>
  <c r="K414" i="10" s="1"/>
  <c r="I414" i="10"/>
  <c r="D414" i="10"/>
  <c r="E414" i="10" s="1"/>
  <c r="J413" i="10"/>
  <c r="M413" i="10" s="1"/>
  <c r="I413" i="10"/>
  <c r="D413" i="10"/>
  <c r="E413" i="10" s="1"/>
  <c r="L412" i="10"/>
  <c r="J412" i="10"/>
  <c r="K412" i="10" s="1"/>
  <c r="I412" i="10"/>
  <c r="D412" i="10"/>
  <c r="E412" i="10" s="1"/>
  <c r="J411" i="10"/>
  <c r="M411" i="10" s="1"/>
  <c r="I411" i="10"/>
  <c r="D411" i="10"/>
  <c r="E411" i="10" s="1"/>
  <c r="L410" i="10"/>
  <c r="J410" i="10"/>
  <c r="K410" i="10" s="1"/>
  <c r="I410" i="10"/>
  <c r="D410" i="10"/>
  <c r="E410" i="10" s="1"/>
  <c r="J409" i="10"/>
  <c r="M409" i="10" s="1"/>
  <c r="I409" i="10"/>
  <c r="D409" i="10"/>
  <c r="E409" i="10" s="1"/>
  <c r="L408" i="10"/>
  <c r="J408" i="10"/>
  <c r="K408" i="10" s="1"/>
  <c r="I408" i="10"/>
  <c r="D408" i="10"/>
  <c r="E408" i="10" s="1"/>
  <c r="J407" i="10"/>
  <c r="M407" i="10" s="1"/>
  <c r="I407" i="10"/>
  <c r="D407" i="10"/>
  <c r="E407" i="10" s="1"/>
  <c r="L406" i="10"/>
  <c r="J406" i="10"/>
  <c r="K406" i="10" s="1"/>
  <c r="I406" i="10"/>
  <c r="D406" i="10"/>
  <c r="E406" i="10" s="1"/>
  <c r="J405" i="10"/>
  <c r="M405" i="10" s="1"/>
  <c r="I405" i="10"/>
  <c r="D405" i="10"/>
  <c r="E405" i="10" s="1"/>
  <c r="L404" i="10"/>
  <c r="J404" i="10"/>
  <c r="K404" i="10" s="1"/>
  <c r="I404" i="10"/>
  <c r="D404" i="10"/>
  <c r="E404" i="10" s="1"/>
  <c r="J403" i="10"/>
  <c r="M403" i="10" s="1"/>
  <c r="I403" i="10"/>
  <c r="D403" i="10"/>
  <c r="E403" i="10" s="1"/>
  <c r="L402" i="10"/>
  <c r="J402" i="10"/>
  <c r="K402" i="10" s="1"/>
  <c r="I402" i="10"/>
  <c r="D402" i="10"/>
  <c r="E402" i="10" s="1"/>
  <c r="J401" i="10"/>
  <c r="M401" i="10" s="1"/>
  <c r="I401" i="10"/>
  <c r="D401" i="10"/>
  <c r="E401" i="10" s="1"/>
  <c r="L400" i="10"/>
  <c r="J400" i="10"/>
  <c r="K400" i="10" s="1"/>
  <c r="I400" i="10"/>
  <c r="D400" i="10"/>
  <c r="E400" i="10" s="1"/>
  <c r="J399" i="10"/>
  <c r="M399" i="10" s="1"/>
  <c r="I399" i="10"/>
  <c r="D399" i="10"/>
  <c r="E399" i="10" s="1"/>
  <c r="L398" i="10"/>
  <c r="J398" i="10"/>
  <c r="K398" i="10" s="1"/>
  <c r="I398" i="10"/>
  <c r="D398" i="10"/>
  <c r="E398" i="10" s="1"/>
  <c r="J397" i="10"/>
  <c r="M397" i="10" s="1"/>
  <c r="I397" i="10"/>
  <c r="D397" i="10"/>
  <c r="E397" i="10" s="1"/>
  <c r="L396" i="10"/>
  <c r="J396" i="10"/>
  <c r="K396" i="10" s="1"/>
  <c r="I396" i="10"/>
  <c r="D396" i="10"/>
  <c r="E396" i="10" s="1"/>
  <c r="J395" i="10"/>
  <c r="M395" i="10" s="1"/>
  <c r="I395" i="10"/>
  <c r="D395" i="10"/>
  <c r="E395" i="10" s="1"/>
  <c r="L394" i="10"/>
  <c r="J394" i="10"/>
  <c r="K394" i="10" s="1"/>
  <c r="I394" i="10"/>
  <c r="D394" i="10"/>
  <c r="E394" i="10" s="1"/>
  <c r="J393" i="10"/>
  <c r="M393" i="10" s="1"/>
  <c r="I393" i="10"/>
  <c r="D393" i="10"/>
  <c r="E393" i="10" s="1"/>
  <c r="L392" i="10"/>
  <c r="J392" i="10"/>
  <c r="K392" i="10" s="1"/>
  <c r="I392" i="10"/>
  <c r="D392" i="10"/>
  <c r="E392" i="10" s="1"/>
  <c r="J391" i="10"/>
  <c r="M391" i="10" s="1"/>
  <c r="I391" i="10"/>
  <c r="D391" i="10"/>
  <c r="E391" i="10" s="1"/>
  <c r="L390" i="10"/>
  <c r="J390" i="10"/>
  <c r="K390" i="10" s="1"/>
  <c r="I390" i="10"/>
  <c r="D390" i="10"/>
  <c r="E390" i="10" s="1"/>
  <c r="J389" i="10"/>
  <c r="M389" i="10" s="1"/>
  <c r="I389" i="10"/>
  <c r="D389" i="10"/>
  <c r="E389" i="10" s="1"/>
  <c r="L388" i="10"/>
  <c r="J388" i="10"/>
  <c r="K388" i="10" s="1"/>
  <c r="I388" i="10"/>
  <c r="D388" i="10"/>
  <c r="E388" i="10" s="1"/>
  <c r="J387" i="10"/>
  <c r="M387" i="10" s="1"/>
  <c r="I387" i="10"/>
  <c r="D387" i="10"/>
  <c r="E387" i="10" s="1"/>
  <c r="L386" i="10"/>
  <c r="J386" i="10"/>
  <c r="K386" i="10" s="1"/>
  <c r="I386" i="10"/>
  <c r="D386" i="10"/>
  <c r="E386" i="10" s="1"/>
  <c r="J385" i="10"/>
  <c r="M385" i="10" s="1"/>
  <c r="I385" i="10"/>
  <c r="D385" i="10"/>
  <c r="E385" i="10" s="1"/>
  <c r="L384" i="10"/>
  <c r="J384" i="10"/>
  <c r="K384" i="10" s="1"/>
  <c r="I384" i="10"/>
  <c r="D384" i="10"/>
  <c r="E384" i="10" s="1"/>
  <c r="J383" i="10"/>
  <c r="M383" i="10" s="1"/>
  <c r="I383" i="10"/>
  <c r="D383" i="10"/>
  <c r="E383" i="10" s="1"/>
  <c r="L382" i="10"/>
  <c r="J382" i="10"/>
  <c r="K382" i="10" s="1"/>
  <c r="I382" i="10"/>
  <c r="D382" i="10"/>
  <c r="E382" i="10" s="1"/>
  <c r="J381" i="10"/>
  <c r="M381" i="10" s="1"/>
  <c r="I381" i="10"/>
  <c r="D381" i="10"/>
  <c r="E381" i="10" s="1"/>
  <c r="L380" i="10"/>
  <c r="J380" i="10"/>
  <c r="K380" i="10" s="1"/>
  <c r="I380" i="10"/>
  <c r="D380" i="10"/>
  <c r="E380" i="10" s="1"/>
  <c r="J379" i="10"/>
  <c r="M379" i="10" s="1"/>
  <c r="I379" i="10"/>
  <c r="D379" i="10"/>
  <c r="E379" i="10" s="1"/>
  <c r="L378" i="10"/>
  <c r="J378" i="10"/>
  <c r="K378" i="10" s="1"/>
  <c r="I378" i="10"/>
  <c r="D378" i="10"/>
  <c r="E378" i="10" s="1"/>
  <c r="J377" i="10"/>
  <c r="M377" i="10" s="1"/>
  <c r="I377" i="10"/>
  <c r="D377" i="10"/>
  <c r="E377" i="10" s="1"/>
  <c r="L376" i="10"/>
  <c r="J376" i="10"/>
  <c r="K376" i="10" s="1"/>
  <c r="I376" i="10"/>
  <c r="D376" i="10"/>
  <c r="E376" i="10" s="1"/>
  <c r="J375" i="10"/>
  <c r="M375" i="10" s="1"/>
  <c r="I375" i="10"/>
  <c r="D375" i="10"/>
  <c r="E375" i="10" s="1"/>
  <c r="L374" i="10"/>
  <c r="J374" i="10"/>
  <c r="K374" i="10" s="1"/>
  <c r="I374" i="10"/>
  <c r="D374" i="10"/>
  <c r="E374" i="10" s="1"/>
  <c r="J373" i="10"/>
  <c r="I373" i="10"/>
  <c r="D373" i="10"/>
  <c r="E373" i="10" s="1"/>
  <c r="G373" i="10" s="1"/>
  <c r="L372" i="10"/>
  <c r="J372" i="10"/>
  <c r="K372" i="10" s="1"/>
  <c r="I372" i="10"/>
  <c r="D372" i="10"/>
  <c r="E372" i="10" s="1"/>
  <c r="J371" i="10"/>
  <c r="I371" i="10"/>
  <c r="F371" i="10"/>
  <c r="H371" i="10" s="1"/>
  <c r="D371" i="10"/>
  <c r="E371" i="10" s="1"/>
  <c r="G371" i="10" s="1"/>
  <c r="L370" i="10"/>
  <c r="J370" i="10"/>
  <c r="K370" i="10" s="1"/>
  <c r="I370" i="10"/>
  <c r="D370" i="10"/>
  <c r="E370" i="10" s="1"/>
  <c r="J369" i="10"/>
  <c r="I369" i="10"/>
  <c r="D369" i="10"/>
  <c r="E369" i="10" s="1"/>
  <c r="G369" i="10" s="1"/>
  <c r="L368" i="10"/>
  <c r="J368" i="10"/>
  <c r="K368" i="10" s="1"/>
  <c r="I368" i="10"/>
  <c r="D368" i="10"/>
  <c r="E368" i="10" s="1"/>
  <c r="J367" i="10"/>
  <c r="I367" i="10"/>
  <c r="D367" i="10"/>
  <c r="E367" i="10" s="1"/>
  <c r="G367" i="10" s="1"/>
  <c r="L366" i="10"/>
  <c r="J366" i="10"/>
  <c r="K366" i="10" s="1"/>
  <c r="I366" i="10"/>
  <c r="D366" i="10"/>
  <c r="E366" i="10" s="1"/>
  <c r="J365" i="10"/>
  <c r="I365" i="10"/>
  <c r="D365" i="10"/>
  <c r="E365" i="10" s="1"/>
  <c r="G365" i="10" s="1"/>
  <c r="L364" i="10"/>
  <c r="J364" i="10"/>
  <c r="K364" i="10" s="1"/>
  <c r="I364" i="10"/>
  <c r="D364" i="10"/>
  <c r="E364" i="10" s="1"/>
  <c r="J363" i="10"/>
  <c r="I363" i="10"/>
  <c r="F363" i="10"/>
  <c r="H363" i="10" s="1"/>
  <c r="D363" i="10"/>
  <c r="E363" i="10" s="1"/>
  <c r="G363" i="10" s="1"/>
  <c r="L362" i="10"/>
  <c r="J362" i="10"/>
  <c r="K362" i="10" s="1"/>
  <c r="I362" i="10"/>
  <c r="D362" i="10"/>
  <c r="E362" i="10" s="1"/>
  <c r="J361" i="10"/>
  <c r="I361" i="10"/>
  <c r="D361" i="10"/>
  <c r="E361" i="10" s="1"/>
  <c r="G361" i="10" s="1"/>
  <c r="L360" i="10"/>
  <c r="J360" i="10"/>
  <c r="K360" i="10" s="1"/>
  <c r="I360" i="10"/>
  <c r="D360" i="10"/>
  <c r="E360" i="10" s="1"/>
  <c r="J359" i="10"/>
  <c r="I359" i="10"/>
  <c r="D359" i="10"/>
  <c r="E359" i="10" s="1"/>
  <c r="G359" i="10" s="1"/>
  <c r="L358" i="10"/>
  <c r="J358" i="10"/>
  <c r="K358" i="10" s="1"/>
  <c r="I358" i="10"/>
  <c r="D358" i="10"/>
  <c r="E358" i="10" s="1"/>
  <c r="J357" i="10"/>
  <c r="I357" i="10"/>
  <c r="F357" i="10"/>
  <c r="H357" i="10" s="1"/>
  <c r="D357" i="10"/>
  <c r="E357" i="10" s="1"/>
  <c r="G357" i="10" s="1"/>
  <c r="L356" i="10"/>
  <c r="J356" i="10"/>
  <c r="K356" i="10" s="1"/>
  <c r="I356" i="10"/>
  <c r="D356" i="10"/>
  <c r="E356" i="10" s="1"/>
  <c r="J355" i="10"/>
  <c r="I355" i="10"/>
  <c r="F355" i="10"/>
  <c r="H355" i="10" s="1"/>
  <c r="D355" i="10"/>
  <c r="E355" i="10" s="1"/>
  <c r="G355" i="10" s="1"/>
  <c r="L354" i="10"/>
  <c r="J354" i="10"/>
  <c r="K354" i="10" s="1"/>
  <c r="I354" i="10"/>
  <c r="D354" i="10"/>
  <c r="E354" i="10" s="1"/>
  <c r="J353" i="10"/>
  <c r="I353" i="10"/>
  <c r="F353" i="10"/>
  <c r="H353" i="10" s="1"/>
  <c r="D353" i="10"/>
  <c r="E353" i="10" s="1"/>
  <c r="G353" i="10" s="1"/>
  <c r="L352" i="10"/>
  <c r="J352" i="10"/>
  <c r="K352" i="10" s="1"/>
  <c r="I352" i="10"/>
  <c r="D352" i="10"/>
  <c r="E352" i="10" s="1"/>
  <c r="J351" i="10"/>
  <c r="I351" i="10"/>
  <c r="D351" i="10"/>
  <c r="E351" i="10" s="1"/>
  <c r="G351" i="10" s="1"/>
  <c r="L350" i="10"/>
  <c r="J350" i="10"/>
  <c r="K350" i="10" s="1"/>
  <c r="I350" i="10"/>
  <c r="D350" i="10"/>
  <c r="E350" i="10" s="1"/>
  <c r="J349" i="10"/>
  <c r="I349" i="10"/>
  <c r="F349" i="10"/>
  <c r="H349" i="10" s="1"/>
  <c r="D349" i="10"/>
  <c r="E349" i="10" s="1"/>
  <c r="G349" i="10" s="1"/>
  <c r="L348" i="10"/>
  <c r="J348" i="10"/>
  <c r="K348" i="10" s="1"/>
  <c r="I348" i="10"/>
  <c r="D348" i="10"/>
  <c r="E348" i="10" s="1"/>
  <c r="J347" i="10"/>
  <c r="I347" i="10"/>
  <c r="F347" i="10"/>
  <c r="H347" i="10" s="1"/>
  <c r="D347" i="10"/>
  <c r="E347" i="10" s="1"/>
  <c r="G347" i="10" s="1"/>
  <c r="L346" i="10"/>
  <c r="J346" i="10"/>
  <c r="K346" i="10" s="1"/>
  <c r="I346" i="10"/>
  <c r="D346" i="10"/>
  <c r="E346" i="10" s="1"/>
  <c r="J345" i="10"/>
  <c r="I345" i="10"/>
  <c r="F345" i="10"/>
  <c r="H345" i="10" s="1"/>
  <c r="D345" i="10"/>
  <c r="E345" i="10" s="1"/>
  <c r="G345" i="10" s="1"/>
  <c r="L344" i="10"/>
  <c r="J344" i="10"/>
  <c r="K344" i="10" s="1"/>
  <c r="I344" i="10"/>
  <c r="D344" i="10"/>
  <c r="E344" i="10" s="1"/>
  <c r="J343" i="10"/>
  <c r="I343" i="10"/>
  <c r="D343" i="10"/>
  <c r="E343" i="10" s="1"/>
  <c r="G343" i="10" s="1"/>
  <c r="L342" i="10"/>
  <c r="J342" i="10"/>
  <c r="K342" i="10" s="1"/>
  <c r="I342" i="10"/>
  <c r="D342" i="10"/>
  <c r="E342" i="10" s="1"/>
  <c r="J341" i="10"/>
  <c r="I341" i="10"/>
  <c r="F341" i="10"/>
  <c r="H341" i="10" s="1"/>
  <c r="D341" i="10"/>
  <c r="E341" i="10" s="1"/>
  <c r="G341" i="10" s="1"/>
  <c r="L340" i="10"/>
  <c r="J340" i="10"/>
  <c r="K340" i="10" s="1"/>
  <c r="I340" i="10"/>
  <c r="D340" i="10"/>
  <c r="E340" i="10" s="1"/>
  <c r="J339" i="10"/>
  <c r="I339" i="10"/>
  <c r="F339" i="10"/>
  <c r="H339" i="10" s="1"/>
  <c r="D339" i="10"/>
  <c r="E339" i="10" s="1"/>
  <c r="G339" i="10" s="1"/>
  <c r="L338" i="10"/>
  <c r="J338" i="10"/>
  <c r="K338" i="10" s="1"/>
  <c r="I338" i="10"/>
  <c r="D338" i="10"/>
  <c r="E338" i="10" s="1"/>
  <c r="J337" i="10"/>
  <c r="I337" i="10"/>
  <c r="F337" i="10"/>
  <c r="H337" i="10" s="1"/>
  <c r="D337" i="10"/>
  <c r="E337" i="10" s="1"/>
  <c r="G337" i="10" s="1"/>
  <c r="L336" i="10"/>
  <c r="J336" i="10"/>
  <c r="K336" i="10" s="1"/>
  <c r="I336" i="10"/>
  <c r="D336" i="10"/>
  <c r="E336" i="10" s="1"/>
  <c r="J335" i="10"/>
  <c r="I335" i="10"/>
  <c r="D335" i="10"/>
  <c r="E335" i="10" s="1"/>
  <c r="G335" i="10" s="1"/>
  <c r="L334" i="10"/>
  <c r="I334" i="10"/>
  <c r="J334" i="10" s="1"/>
  <c r="D334" i="10"/>
  <c r="E334" i="10" s="1"/>
  <c r="J333" i="10"/>
  <c r="I333" i="10"/>
  <c r="D333" i="10"/>
  <c r="E333" i="10" s="1"/>
  <c r="G333" i="10" s="1"/>
  <c r="L332" i="10"/>
  <c r="I332" i="10"/>
  <c r="J332" i="10" s="1"/>
  <c r="D332" i="10"/>
  <c r="E332" i="10" s="1"/>
  <c r="J331" i="10"/>
  <c r="I331" i="10"/>
  <c r="D331" i="10"/>
  <c r="E331" i="10" s="1"/>
  <c r="G331" i="10" s="1"/>
  <c r="L330" i="10"/>
  <c r="I330" i="10"/>
  <c r="J330" i="10" s="1"/>
  <c r="D330" i="10"/>
  <c r="E330" i="10" s="1"/>
  <c r="J329" i="10"/>
  <c r="I329" i="10"/>
  <c r="D329" i="10"/>
  <c r="E329" i="10" s="1"/>
  <c r="G329" i="10" s="1"/>
  <c r="L328" i="10"/>
  <c r="I328" i="10"/>
  <c r="J328" i="10" s="1"/>
  <c r="D328" i="10"/>
  <c r="E328" i="10" s="1"/>
  <c r="J327" i="10"/>
  <c r="I327" i="10"/>
  <c r="G327" i="10"/>
  <c r="F327" i="10"/>
  <c r="H327" i="10" s="1"/>
  <c r="E327" i="10"/>
  <c r="D327" i="10"/>
  <c r="I326" i="10"/>
  <c r="J326" i="10" s="1"/>
  <c r="D326" i="10"/>
  <c r="E326" i="10" s="1"/>
  <c r="J325" i="10"/>
  <c r="I325" i="10"/>
  <c r="F325" i="10"/>
  <c r="H325" i="10" s="1"/>
  <c r="E325" i="10"/>
  <c r="G325" i="10" s="1"/>
  <c r="D325" i="10"/>
  <c r="L324" i="10"/>
  <c r="I324" i="10"/>
  <c r="J324" i="10" s="1"/>
  <c r="D324" i="10"/>
  <c r="E324" i="10" s="1"/>
  <c r="J323" i="10"/>
  <c r="I323" i="10"/>
  <c r="F323" i="10"/>
  <c r="H323" i="10" s="1"/>
  <c r="E323" i="10"/>
  <c r="G323" i="10" s="1"/>
  <c r="D323" i="10"/>
  <c r="L322" i="10"/>
  <c r="I322" i="10"/>
  <c r="J322" i="10" s="1"/>
  <c r="D322" i="10"/>
  <c r="E322" i="10" s="1"/>
  <c r="J321" i="10"/>
  <c r="I321" i="10"/>
  <c r="F321" i="10"/>
  <c r="H321" i="10" s="1"/>
  <c r="E321" i="10"/>
  <c r="G321" i="10" s="1"/>
  <c r="D321" i="10"/>
  <c r="L320" i="10"/>
  <c r="I320" i="10"/>
  <c r="J320" i="10" s="1"/>
  <c r="D320" i="10"/>
  <c r="E320" i="10" s="1"/>
  <c r="J319" i="10"/>
  <c r="I319" i="10"/>
  <c r="F319" i="10"/>
  <c r="H319" i="10" s="1"/>
  <c r="E319" i="10"/>
  <c r="G319" i="10" s="1"/>
  <c r="D319" i="10"/>
  <c r="I318" i="10"/>
  <c r="J318" i="10" s="1"/>
  <c r="D318" i="10"/>
  <c r="E318" i="10" s="1"/>
  <c r="J317" i="10"/>
  <c r="I317" i="10"/>
  <c r="F317" i="10"/>
  <c r="H317" i="10" s="1"/>
  <c r="E317" i="10"/>
  <c r="G317" i="10" s="1"/>
  <c r="D317" i="10"/>
  <c r="L316" i="10"/>
  <c r="I316" i="10"/>
  <c r="J316" i="10" s="1"/>
  <c r="D316" i="10"/>
  <c r="E316" i="10" s="1"/>
  <c r="J315" i="10"/>
  <c r="I315" i="10"/>
  <c r="F315" i="10"/>
  <c r="H315" i="10" s="1"/>
  <c r="E315" i="10"/>
  <c r="G315" i="10" s="1"/>
  <c r="D315" i="10"/>
  <c r="L314" i="10"/>
  <c r="I314" i="10"/>
  <c r="J314" i="10" s="1"/>
  <c r="D314" i="10"/>
  <c r="E314" i="10" s="1"/>
  <c r="J313" i="10"/>
  <c r="I313" i="10"/>
  <c r="F313" i="10"/>
  <c r="H313" i="10" s="1"/>
  <c r="E313" i="10"/>
  <c r="G313" i="10" s="1"/>
  <c r="D313" i="10"/>
  <c r="L312" i="10"/>
  <c r="I312" i="10"/>
  <c r="J312" i="10" s="1"/>
  <c r="D312" i="10"/>
  <c r="E312" i="10" s="1"/>
  <c r="J311" i="10"/>
  <c r="I311" i="10"/>
  <c r="F311" i="10"/>
  <c r="H311" i="10" s="1"/>
  <c r="E311" i="10"/>
  <c r="G311" i="10" s="1"/>
  <c r="D311" i="10"/>
  <c r="I310" i="10"/>
  <c r="J310" i="10" s="1"/>
  <c r="D310" i="10"/>
  <c r="E310" i="10" s="1"/>
  <c r="J309" i="10"/>
  <c r="I309" i="10"/>
  <c r="F309" i="10"/>
  <c r="H309" i="10" s="1"/>
  <c r="E309" i="10"/>
  <c r="G309" i="10" s="1"/>
  <c r="D309" i="10"/>
  <c r="L308" i="10"/>
  <c r="I308" i="10"/>
  <c r="J308" i="10" s="1"/>
  <c r="D308" i="10"/>
  <c r="E308" i="10" s="1"/>
  <c r="I307" i="10"/>
  <c r="J307" i="10" s="1"/>
  <c r="G307" i="10"/>
  <c r="F307" i="10"/>
  <c r="H307" i="10" s="1"/>
  <c r="E307" i="10"/>
  <c r="D307" i="10"/>
  <c r="I306" i="10"/>
  <c r="J306" i="10" s="1"/>
  <c r="L306" i="10" s="1"/>
  <c r="D306" i="10"/>
  <c r="E306" i="10" s="1"/>
  <c r="I305" i="10"/>
  <c r="J305" i="10" s="1"/>
  <c r="G305" i="10"/>
  <c r="F305" i="10"/>
  <c r="H305" i="10" s="1"/>
  <c r="E305" i="10"/>
  <c r="D305" i="10"/>
  <c r="I304" i="10"/>
  <c r="J304" i="10" s="1"/>
  <c r="L304" i="10" s="1"/>
  <c r="D304" i="10"/>
  <c r="E304" i="10" s="1"/>
  <c r="I303" i="10"/>
  <c r="J303" i="10" s="1"/>
  <c r="G303" i="10"/>
  <c r="F303" i="10"/>
  <c r="H303" i="10" s="1"/>
  <c r="E303" i="10"/>
  <c r="D303" i="10"/>
  <c r="I302" i="10"/>
  <c r="J302" i="10" s="1"/>
  <c r="L302" i="10" s="1"/>
  <c r="D302" i="10"/>
  <c r="E302" i="10" s="1"/>
  <c r="I301" i="10"/>
  <c r="J301" i="10" s="1"/>
  <c r="G301" i="10"/>
  <c r="F301" i="10"/>
  <c r="H301" i="10" s="1"/>
  <c r="E301" i="10"/>
  <c r="D301" i="10"/>
  <c r="I300" i="10"/>
  <c r="J300" i="10" s="1"/>
  <c r="L300" i="10" s="1"/>
  <c r="D300" i="10"/>
  <c r="E300" i="10" s="1"/>
  <c r="I299" i="10"/>
  <c r="J299" i="10" s="1"/>
  <c r="G299" i="10"/>
  <c r="F299" i="10"/>
  <c r="H299" i="10" s="1"/>
  <c r="E299" i="10"/>
  <c r="D299" i="10"/>
  <c r="I298" i="10"/>
  <c r="J298" i="10" s="1"/>
  <c r="L298" i="10" s="1"/>
  <c r="D298" i="10"/>
  <c r="E298" i="10" s="1"/>
  <c r="J297" i="10"/>
  <c r="L297" i="10" s="1"/>
  <c r="I297" i="10"/>
  <c r="F297" i="10"/>
  <c r="H297" i="10" s="1"/>
  <c r="E297" i="10"/>
  <c r="G297" i="10" s="1"/>
  <c r="D297" i="10"/>
  <c r="L296" i="10"/>
  <c r="K296" i="10"/>
  <c r="J296" i="10"/>
  <c r="M296" i="10" s="1"/>
  <c r="I296" i="10"/>
  <c r="D296" i="10"/>
  <c r="E296" i="10" s="1"/>
  <c r="J295" i="10"/>
  <c r="L295" i="10" s="1"/>
  <c r="I295" i="10"/>
  <c r="F295" i="10"/>
  <c r="H295" i="10" s="1"/>
  <c r="E295" i="10"/>
  <c r="G295" i="10" s="1"/>
  <c r="D295" i="10"/>
  <c r="L294" i="10"/>
  <c r="K294" i="10"/>
  <c r="J294" i="10"/>
  <c r="M294" i="10" s="1"/>
  <c r="I294" i="10"/>
  <c r="D294" i="10"/>
  <c r="E294" i="10" s="1"/>
  <c r="J293" i="10"/>
  <c r="L293" i="10" s="1"/>
  <c r="I293" i="10"/>
  <c r="F293" i="10"/>
  <c r="H293" i="10" s="1"/>
  <c r="E293" i="10"/>
  <c r="G293" i="10" s="1"/>
  <c r="D293" i="10"/>
  <c r="L292" i="10"/>
  <c r="K292" i="10"/>
  <c r="J292" i="10"/>
  <c r="M292" i="10" s="1"/>
  <c r="I292" i="10"/>
  <c r="D292" i="10"/>
  <c r="E292" i="10" s="1"/>
  <c r="J291" i="10"/>
  <c r="L291" i="10" s="1"/>
  <c r="I291" i="10"/>
  <c r="F291" i="10"/>
  <c r="H291" i="10" s="1"/>
  <c r="E291" i="10"/>
  <c r="G291" i="10" s="1"/>
  <c r="D291" i="10"/>
  <c r="L290" i="10"/>
  <c r="K290" i="10"/>
  <c r="J290" i="10"/>
  <c r="M290" i="10" s="1"/>
  <c r="I290" i="10"/>
  <c r="D290" i="10"/>
  <c r="E290" i="10" s="1"/>
  <c r="J289" i="10"/>
  <c r="L289" i="10" s="1"/>
  <c r="I289" i="10"/>
  <c r="F289" i="10"/>
  <c r="H289" i="10" s="1"/>
  <c r="E289" i="10"/>
  <c r="G289" i="10" s="1"/>
  <c r="D289" i="10"/>
  <c r="L288" i="10"/>
  <c r="K288" i="10"/>
  <c r="J288" i="10"/>
  <c r="M288" i="10" s="1"/>
  <c r="I288" i="10"/>
  <c r="D288" i="10"/>
  <c r="E288" i="10" s="1"/>
  <c r="J287" i="10"/>
  <c r="L287" i="10" s="1"/>
  <c r="I287" i="10"/>
  <c r="F287" i="10"/>
  <c r="H287" i="10" s="1"/>
  <c r="E287" i="10"/>
  <c r="G287" i="10" s="1"/>
  <c r="D287" i="10"/>
  <c r="L286" i="10"/>
  <c r="K286" i="10"/>
  <c r="J286" i="10"/>
  <c r="M286" i="10" s="1"/>
  <c r="I286" i="10"/>
  <c r="D286" i="10"/>
  <c r="E286" i="10" s="1"/>
  <c r="J285" i="10"/>
  <c r="L285" i="10" s="1"/>
  <c r="I285" i="10"/>
  <c r="F285" i="10"/>
  <c r="H285" i="10" s="1"/>
  <c r="E285" i="10"/>
  <c r="G285" i="10" s="1"/>
  <c r="D285" i="10"/>
  <c r="L284" i="10"/>
  <c r="K284" i="10"/>
  <c r="J284" i="10"/>
  <c r="M284" i="10" s="1"/>
  <c r="I284" i="10"/>
  <c r="D284" i="10"/>
  <c r="E284" i="10" s="1"/>
  <c r="J283" i="10"/>
  <c r="L283" i="10" s="1"/>
  <c r="I283" i="10"/>
  <c r="F283" i="10"/>
  <c r="H283" i="10" s="1"/>
  <c r="E283" i="10"/>
  <c r="G283" i="10" s="1"/>
  <c r="D283" i="10"/>
  <c r="L282" i="10"/>
  <c r="K282" i="10"/>
  <c r="J282" i="10"/>
  <c r="M282" i="10" s="1"/>
  <c r="I282" i="10"/>
  <c r="D282" i="10"/>
  <c r="E282" i="10" s="1"/>
  <c r="J281" i="10"/>
  <c r="L281" i="10" s="1"/>
  <c r="I281" i="10"/>
  <c r="F281" i="10"/>
  <c r="H281" i="10" s="1"/>
  <c r="E281" i="10"/>
  <c r="G281" i="10" s="1"/>
  <c r="D281" i="10"/>
  <c r="L280" i="10"/>
  <c r="K280" i="10"/>
  <c r="J280" i="10"/>
  <c r="M280" i="10" s="1"/>
  <c r="I280" i="10"/>
  <c r="D280" i="10"/>
  <c r="E280" i="10" s="1"/>
  <c r="J279" i="10"/>
  <c r="L279" i="10" s="1"/>
  <c r="I279" i="10"/>
  <c r="F279" i="10"/>
  <c r="H279" i="10" s="1"/>
  <c r="E279" i="10"/>
  <c r="G279" i="10" s="1"/>
  <c r="D279" i="10"/>
  <c r="I278" i="10"/>
  <c r="J278" i="10" s="1"/>
  <c r="D278" i="10"/>
  <c r="E278" i="10" s="1"/>
  <c r="J277" i="10"/>
  <c r="L277" i="10" s="1"/>
  <c r="I277" i="10"/>
  <c r="F277" i="10"/>
  <c r="H277" i="10" s="1"/>
  <c r="E277" i="10"/>
  <c r="G277" i="10" s="1"/>
  <c r="D277" i="10"/>
  <c r="I276" i="10"/>
  <c r="J276" i="10" s="1"/>
  <c r="D276" i="10"/>
  <c r="E276" i="10" s="1"/>
  <c r="J275" i="10"/>
  <c r="L275" i="10" s="1"/>
  <c r="I275" i="10"/>
  <c r="F275" i="10"/>
  <c r="H275" i="10" s="1"/>
  <c r="E275" i="10"/>
  <c r="G275" i="10" s="1"/>
  <c r="D275" i="10"/>
  <c r="I274" i="10"/>
  <c r="J274" i="10" s="1"/>
  <c r="D274" i="10"/>
  <c r="E274" i="10" s="1"/>
  <c r="J273" i="10"/>
  <c r="L273" i="10" s="1"/>
  <c r="I273" i="10"/>
  <c r="F273" i="10"/>
  <c r="H273" i="10" s="1"/>
  <c r="E273" i="10"/>
  <c r="G273" i="10" s="1"/>
  <c r="D273" i="10"/>
  <c r="I272" i="10"/>
  <c r="J272" i="10" s="1"/>
  <c r="D272" i="10"/>
  <c r="E272" i="10" s="1"/>
  <c r="J271" i="10"/>
  <c r="L271" i="10" s="1"/>
  <c r="I271" i="10"/>
  <c r="F271" i="10"/>
  <c r="H271" i="10" s="1"/>
  <c r="E271" i="10"/>
  <c r="G271" i="10" s="1"/>
  <c r="D271" i="10"/>
  <c r="I270" i="10"/>
  <c r="J270" i="10" s="1"/>
  <c r="D270" i="10"/>
  <c r="E270" i="10" s="1"/>
  <c r="J269" i="10"/>
  <c r="L269" i="10" s="1"/>
  <c r="I269" i="10"/>
  <c r="F269" i="10"/>
  <c r="H269" i="10" s="1"/>
  <c r="E269" i="10"/>
  <c r="G269" i="10" s="1"/>
  <c r="D269" i="10"/>
  <c r="I268" i="10"/>
  <c r="J268" i="10" s="1"/>
  <c r="D268" i="10"/>
  <c r="E268" i="10" s="1"/>
  <c r="J267" i="10"/>
  <c r="L267" i="10" s="1"/>
  <c r="I267" i="10"/>
  <c r="F267" i="10"/>
  <c r="H267" i="10" s="1"/>
  <c r="E267" i="10"/>
  <c r="G267" i="10" s="1"/>
  <c r="D267" i="10"/>
  <c r="I266" i="10"/>
  <c r="J266" i="10" s="1"/>
  <c r="D266" i="10"/>
  <c r="E266" i="10" s="1"/>
  <c r="J265" i="10"/>
  <c r="L265" i="10" s="1"/>
  <c r="I265" i="10"/>
  <c r="F265" i="10"/>
  <c r="H265" i="10" s="1"/>
  <c r="E265" i="10"/>
  <c r="G265" i="10" s="1"/>
  <c r="D265" i="10"/>
  <c r="I264" i="10"/>
  <c r="J264" i="10" s="1"/>
  <c r="D264" i="10"/>
  <c r="E264" i="10" s="1"/>
  <c r="J263" i="10"/>
  <c r="L263" i="10" s="1"/>
  <c r="I263" i="10"/>
  <c r="F263" i="10"/>
  <c r="H263" i="10" s="1"/>
  <c r="E263" i="10"/>
  <c r="G263" i="10" s="1"/>
  <c r="D263" i="10"/>
  <c r="I262" i="10"/>
  <c r="J262" i="10" s="1"/>
  <c r="D262" i="10"/>
  <c r="E262" i="10" s="1"/>
  <c r="J261" i="10"/>
  <c r="L261" i="10" s="1"/>
  <c r="I261" i="10"/>
  <c r="F261" i="10"/>
  <c r="H261" i="10" s="1"/>
  <c r="E261" i="10"/>
  <c r="G261" i="10" s="1"/>
  <c r="D261" i="10"/>
  <c r="I260" i="10"/>
  <c r="J260" i="10" s="1"/>
  <c r="D260" i="10"/>
  <c r="E260" i="10" s="1"/>
  <c r="J259" i="10"/>
  <c r="L259" i="10" s="1"/>
  <c r="I259" i="10"/>
  <c r="F259" i="10"/>
  <c r="H259" i="10" s="1"/>
  <c r="E259" i="10"/>
  <c r="G259" i="10" s="1"/>
  <c r="D259" i="10"/>
  <c r="I258" i="10"/>
  <c r="J258" i="10" s="1"/>
  <c r="D258" i="10"/>
  <c r="E258" i="10" s="1"/>
  <c r="J257" i="10"/>
  <c r="L257" i="10" s="1"/>
  <c r="I257" i="10"/>
  <c r="F257" i="10"/>
  <c r="H257" i="10" s="1"/>
  <c r="E257" i="10"/>
  <c r="G257" i="10" s="1"/>
  <c r="D257" i="10"/>
  <c r="I256" i="10"/>
  <c r="J256" i="10" s="1"/>
  <c r="D256" i="10"/>
  <c r="E256" i="10" s="1"/>
  <c r="J255" i="10"/>
  <c r="L255" i="10" s="1"/>
  <c r="I255" i="10"/>
  <c r="F255" i="10"/>
  <c r="H255" i="10" s="1"/>
  <c r="E255" i="10"/>
  <c r="G255" i="10" s="1"/>
  <c r="D255" i="10"/>
  <c r="I254" i="10"/>
  <c r="J254" i="10" s="1"/>
  <c r="D254" i="10"/>
  <c r="E254" i="10" s="1"/>
  <c r="J253" i="10"/>
  <c r="L253" i="10" s="1"/>
  <c r="I253" i="10"/>
  <c r="F253" i="10"/>
  <c r="H253" i="10" s="1"/>
  <c r="E253" i="10"/>
  <c r="G253" i="10" s="1"/>
  <c r="D253" i="10"/>
  <c r="I252" i="10"/>
  <c r="J252" i="10" s="1"/>
  <c r="D252" i="10"/>
  <c r="E252" i="10" s="1"/>
  <c r="J251" i="10"/>
  <c r="L251" i="10" s="1"/>
  <c r="I251" i="10"/>
  <c r="F251" i="10"/>
  <c r="H251" i="10" s="1"/>
  <c r="E251" i="10"/>
  <c r="G251" i="10" s="1"/>
  <c r="D251" i="10"/>
  <c r="I250" i="10"/>
  <c r="J250" i="10" s="1"/>
  <c r="D250" i="10"/>
  <c r="E250" i="10" s="1"/>
  <c r="J249" i="10"/>
  <c r="L249" i="10" s="1"/>
  <c r="I249" i="10"/>
  <c r="F249" i="10"/>
  <c r="H249" i="10" s="1"/>
  <c r="E249" i="10"/>
  <c r="G249" i="10" s="1"/>
  <c r="D249" i="10"/>
  <c r="I248" i="10"/>
  <c r="J248" i="10" s="1"/>
  <c r="D248" i="10"/>
  <c r="E248" i="10" s="1"/>
  <c r="J247" i="10"/>
  <c r="L247" i="10" s="1"/>
  <c r="I247" i="10"/>
  <c r="F247" i="10"/>
  <c r="H247" i="10" s="1"/>
  <c r="E247" i="10"/>
  <c r="G247" i="10" s="1"/>
  <c r="D247" i="10"/>
  <c r="I246" i="10"/>
  <c r="J246" i="10" s="1"/>
  <c r="D246" i="10"/>
  <c r="E246" i="10" s="1"/>
  <c r="J245" i="10"/>
  <c r="L245" i="10" s="1"/>
  <c r="I245" i="10"/>
  <c r="F245" i="10"/>
  <c r="H245" i="10" s="1"/>
  <c r="E245" i="10"/>
  <c r="G245" i="10" s="1"/>
  <c r="D245" i="10"/>
  <c r="I244" i="10"/>
  <c r="J244" i="10" s="1"/>
  <c r="D244" i="10"/>
  <c r="E244" i="10" s="1"/>
  <c r="J243" i="10"/>
  <c r="L243" i="10" s="1"/>
  <c r="I243" i="10"/>
  <c r="F243" i="10"/>
  <c r="H243" i="10" s="1"/>
  <c r="E243" i="10"/>
  <c r="G243" i="10" s="1"/>
  <c r="D243" i="10"/>
  <c r="I242" i="10"/>
  <c r="J242" i="10" s="1"/>
  <c r="D242" i="10"/>
  <c r="E242" i="10" s="1"/>
  <c r="J241" i="10"/>
  <c r="L241" i="10" s="1"/>
  <c r="I241" i="10"/>
  <c r="F241" i="10"/>
  <c r="H241" i="10" s="1"/>
  <c r="E241" i="10"/>
  <c r="G241" i="10" s="1"/>
  <c r="D241" i="10"/>
  <c r="I240" i="10"/>
  <c r="J240" i="10" s="1"/>
  <c r="D240" i="10"/>
  <c r="E240" i="10" s="1"/>
  <c r="J239" i="10"/>
  <c r="L239" i="10" s="1"/>
  <c r="I239" i="10"/>
  <c r="F239" i="10"/>
  <c r="H239" i="10" s="1"/>
  <c r="E239" i="10"/>
  <c r="G239" i="10" s="1"/>
  <c r="D239" i="10"/>
  <c r="I238" i="10"/>
  <c r="J238" i="10" s="1"/>
  <c r="D238" i="10"/>
  <c r="E238" i="10" s="1"/>
  <c r="J237" i="10"/>
  <c r="L237" i="10" s="1"/>
  <c r="I237" i="10"/>
  <c r="F237" i="10"/>
  <c r="H237" i="10" s="1"/>
  <c r="E237" i="10"/>
  <c r="G237" i="10" s="1"/>
  <c r="D237" i="10"/>
  <c r="I236" i="10"/>
  <c r="J236" i="10" s="1"/>
  <c r="D236" i="10"/>
  <c r="E236" i="10" s="1"/>
  <c r="J235" i="10"/>
  <c r="L235" i="10" s="1"/>
  <c r="I235" i="10"/>
  <c r="F235" i="10"/>
  <c r="H235" i="10" s="1"/>
  <c r="E235" i="10"/>
  <c r="G235" i="10" s="1"/>
  <c r="D235" i="10"/>
  <c r="I234" i="10"/>
  <c r="J234" i="10" s="1"/>
  <c r="D234" i="10"/>
  <c r="E234" i="10" s="1"/>
  <c r="J233" i="10"/>
  <c r="L233" i="10" s="1"/>
  <c r="I233" i="10"/>
  <c r="F233" i="10"/>
  <c r="H233" i="10" s="1"/>
  <c r="E233" i="10"/>
  <c r="G233" i="10" s="1"/>
  <c r="D233" i="10"/>
  <c r="I232" i="10"/>
  <c r="J232" i="10" s="1"/>
  <c r="D232" i="10"/>
  <c r="E232" i="10" s="1"/>
  <c r="J231" i="10"/>
  <c r="L231" i="10" s="1"/>
  <c r="I231" i="10"/>
  <c r="F231" i="10"/>
  <c r="H231" i="10" s="1"/>
  <c r="E231" i="10"/>
  <c r="G231" i="10" s="1"/>
  <c r="D231" i="10"/>
  <c r="I230" i="10"/>
  <c r="J230" i="10" s="1"/>
  <c r="D230" i="10"/>
  <c r="E230" i="10" s="1"/>
  <c r="J229" i="10"/>
  <c r="L229" i="10" s="1"/>
  <c r="I229" i="10"/>
  <c r="F229" i="10"/>
  <c r="H229" i="10" s="1"/>
  <c r="E229" i="10"/>
  <c r="G229" i="10" s="1"/>
  <c r="D229" i="10"/>
  <c r="I228" i="10"/>
  <c r="J228" i="10" s="1"/>
  <c r="D228" i="10"/>
  <c r="E228" i="10" s="1"/>
  <c r="J227" i="10"/>
  <c r="L227" i="10" s="1"/>
  <c r="I227" i="10"/>
  <c r="F227" i="10"/>
  <c r="H227" i="10" s="1"/>
  <c r="E227" i="10"/>
  <c r="G227" i="10" s="1"/>
  <c r="D227" i="10"/>
  <c r="I226" i="10"/>
  <c r="J226" i="10" s="1"/>
  <c r="D226" i="10"/>
  <c r="E226" i="10" s="1"/>
  <c r="J225" i="10"/>
  <c r="L225" i="10" s="1"/>
  <c r="I225" i="10"/>
  <c r="F225" i="10"/>
  <c r="H225" i="10" s="1"/>
  <c r="E225" i="10"/>
  <c r="G225" i="10" s="1"/>
  <c r="D225" i="10"/>
  <c r="I224" i="10"/>
  <c r="J224" i="10" s="1"/>
  <c r="D224" i="10"/>
  <c r="E224" i="10" s="1"/>
  <c r="J223" i="10"/>
  <c r="L223" i="10" s="1"/>
  <c r="I223" i="10"/>
  <c r="F223" i="10"/>
  <c r="H223" i="10" s="1"/>
  <c r="E223" i="10"/>
  <c r="G223" i="10" s="1"/>
  <c r="D223" i="10"/>
  <c r="I222" i="10"/>
  <c r="J222" i="10" s="1"/>
  <c r="D222" i="10"/>
  <c r="E222" i="10" s="1"/>
  <c r="J221" i="10"/>
  <c r="L221" i="10" s="1"/>
  <c r="I221" i="10"/>
  <c r="F221" i="10"/>
  <c r="H221" i="10" s="1"/>
  <c r="E221" i="10"/>
  <c r="G221" i="10" s="1"/>
  <c r="D221" i="10"/>
  <c r="I220" i="10"/>
  <c r="J220" i="10" s="1"/>
  <c r="D220" i="10"/>
  <c r="E220" i="10" s="1"/>
  <c r="J219" i="10"/>
  <c r="L219" i="10" s="1"/>
  <c r="I219" i="10"/>
  <c r="F219" i="10"/>
  <c r="H219" i="10" s="1"/>
  <c r="E219" i="10"/>
  <c r="G219" i="10" s="1"/>
  <c r="D219" i="10"/>
  <c r="I218" i="10"/>
  <c r="J218" i="10" s="1"/>
  <c r="D218" i="10"/>
  <c r="E218" i="10" s="1"/>
  <c r="J217" i="10"/>
  <c r="L217" i="10" s="1"/>
  <c r="I217" i="10"/>
  <c r="F217" i="10"/>
  <c r="H217" i="10" s="1"/>
  <c r="E217" i="10"/>
  <c r="G217" i="10" s="1"/>
  <c r="D217" i="10"/>
  <c r="I216" i="10"/>
  <c r="J216" i="10" s="1"/>
  <c r="D216" i="10"/>
  <c r="E216" i="10" s="1"/>
  <c r="J215" i="10"/>
  <c r="L215" i="10" s="1"/>
  <c r="I215" i="10"/>
  <c r="F215" i="10"/>
  <c r="H215" i="10" s="1"/>
  <c r="E215" i="10"/>
  <c r="G215" i="10" s="1"/>
  <c r="D215" i="10"/>
  <c r="I214" i="10"/>
  <c r="J214" i="10" s="1"/>
  <c r="D214" i="10"/>
  <c r="E214" i="10" s="1"/>
  <c r="J213" i="10"/>
  <c r="L213" i="10" s="1"/>
  <c r="I213" i="10"/>
  <c r="F213" i="10"/>
  <c r="H213" i="10" s="1"/>
  <c r="E213" i="10"/>
  <c r="G213" i="10" s="1"/>
  <c r="D213" i="10"/>
  <c r="I212" i="10"/>
  <c r="J212" i="10" s="1"/>
  <c r="D212" i="10"/>
  <c r="E212" i="10" s="1"/>
  <c r="J211" i="10"/>
  <c r="L211" i="10" s="1"/>
  <c r="I211" i="10"/>
  <c r="F211" i="10"/>
  <c r="H211" i="10" s="1"/>
  <c r="E211" i="10"/>
  <c r="G211" i="10" s="1"/>
  <c r="D211" i="10"/>
  <c r="I210" i="10"/>
  <c r="J210" i="10" s="1"/>
  <c r="D210" i="10"/>
  <c r="E210" i="10" s="1"/>
  <c r="J209" i="10"/>
  <c r="L209" i="10" s="1"/>
  <c r="I209" i="10"/>
  <c r="F209" i="10"/>
  <c r="H209" i="10" s="1"/>
  <c r="E209" i="10"/>
  <c r="G209" i="10" s="1"/>
  <c r="D209" i="10"/>
  <c r="I208" i="10"/>
  <c r="J208" i="10" s="1"/>
  <c r="D208" i="10"/>
  <c r="E208" i="10" s="1"/>
  <c r="J207" i="10"/>
  <c r="L207" i="10" s="1"/>
  <c r="I207" i="10"/>
  <c r="F207" i="10"/>
  <c r="H207" i="10" s="1"/>
  <c r="E207" i="10"/>
  <c r="G207" i="10" s="1"/>
  <c r="D207" i="10"/>
  <c r="I206" i="10"/>
  <c r="J206" i="10" s="1"/>
  <c r="D206" i="10"/>
  <c r="E206" i="10" s="1"/>
  <c r="J205" i="10"/>
  <c r="L205" i="10" s="1"/>
  <c r="I205" i="10"/>
  <c r="F205" i="10"/>
  <c r="H205" i="10" s="1"/>
  <c r="E205" i="10"/>
  <c r="G205" i="10" s="1"/>
  <c r="D205" i="10"/>
  <c r="I204" i="10"/>
  <c r="J204" i="10" s="1"/>
  <c r="D204" i="10"/>
  <c r="E204" i="10" s="1"/>
  <c r="J203" i="10"/>
  <c r="L203" i="10" s="1"/>
  <c r="I203" i="10"/>
  <c r="F203" i="10"/>
  <c r="H203" i="10" s="1"/>
  <c r="E203" i="10"/>
  <c r="G203" i="10" s="1"/>
  <c r="D203" i="10"/>
  <c r="I202" i="10"/>
  <c r="J202" i="10" s="1"/>
  <c r="D202" i="10"/>
  <c r="E202" i="10" s="1"/>
  <c r="J201" i="10"/>
  <c r="L201" i="10" s="1"/>
  <c r="I201" i="10"/>
  <c r="F201" i="10"/>
  <c r="H201" i="10" s="1"/>
  <c r="E201" i="10"/>
  <c r="G201" i="10" s="1"/>
  <c r="D201" i="10"/>
  <c r="I200" i="10"/>
  <c r="J200" i="10" s="1"/>
  <c r="D200" i="10"/>
  <c r="E200" i="10" s="1"/>
  <c r="J199" i="10"/>
  <c r="L199" i="10" s="1"/>
  <c r="I199" i="10"/>
  <c r="F199" i="10"/>
  <c r="H199" i="10" s="1"/>
  <c r="E199" i="10"/>
  <c r="G199" i="10" s="1"/>
  <c r="D199" i="10"/>
  <c r="I198" i="10"/>
  <c r="J198" i="10" s="1"/>
  <c r="D198" i="10"/>
  <c r="E198" i="10" s="1"/>
  <c r="J197" i="10"/>
  <c r="L197" i="10" s="1"/>
  <c r="I197" i="10"/>
  <c r="F197" i="10"/>
  <c r="H197" i="10" s="1"/>
  <c r="E197" i="10"/>
  <c r="G197" i="10" s="1"/>
  <c r="D197" i="10"/>
  <c r="I196" i="10"/>
  <c r="J196" i="10" s="1"/>
  <c r="D196" i="10"/>
  <c r="E196" i="10" s="1"/>
  <c r="I195" i="10"/>
  <c r="J195" i="10" s="1"/>
  <c r="E195" i="10"/>
  <c r="G195" i="10" s="1"/>
  <c r="D195" i="10"/>
  <c r="I194" i="10"/>
  <c r="J194" i="10" s="1"/>
  <c r="D194" i="10"/>
  <c r="E194" i="10" s="1"/>
  <c r="I193" i="10"/>
  <c r="J193" i="10" s="1"/>
  <c r="E193" i="10"/>
  <c r="G193" i="10" s="1"/>
  <c r="D193" i="10"/>
  <c r="I192" i="10"/>
  <c r="J192" i="10" s="1"/>
  <c r="D192" i="10"/>
  <c r="E192" i="10" s="1"/>
  <c r="I191" i="10"/>
  <c r="J191" i="10" s="1"/>
  <c r="E191" i="10"/>
  <c r="G191" i="10" s="1"/>
  <c r="D191" i="10"/>
  <c r="I190" i="10"/>
  <c r="J190" i="10" s="1"/>
  <c r="D190" i="10"/>
  <c r="E190" i="10" s="1"/>
  <c r="I189" i="10"/>
  <c r="J189" i="10" s="1"/>
  <c r="E189" i="10"/>
  <c r="G189" i="10" s="1"/>
  <c r="D189" i="10"/>
  <c r="I188" i="10"/>
  <c r="J188" i="10" s="1"/>
  <c r="D188" i="10"/>
  <c r="E188" i="10" s="1"/>
  <c r="I187" i="10"/>
  <c r="J187" i="10" s="1"/>
  <c r="E187" i="10"/>
  <c r="G187" i="10" s="1"/>
  <c r="D187" i="10"/>
  <c r="I186" i="10"/>
  <c r="J186" i="10" s="1"/>
  <c r="D186" i="10"/>
  <c r="E186" i="10" s="1"/>
  <c r="I185" i="10"/>
  <c r="J185" i="10" s="1"/>
  <c r="E185" i="10"/>
  <c r="G185" i="10" s="1"/>
  <c r="D185" i="10"/>
  <c r="I184" i="10"/>
  <c r="J184" i="10" s="1"/>
  <c r="D184" i="10"/>
  <c r="E184" i="10" s="1"/>
  <c r="I183" i="10"/>
  <c r="J183" i="10" s="1"/>
  <c r="E183" i="10"/>
  <c r="G183" i="10" s="1"/>
  <c r="D183" i="10"/>
  <c r="I182" i="10"/>
  <c r="J182" i="10" s="1"/>
  <c r="D182" i="10"/>
  <c r="E182" i="10" s="1"/>
  <c r="I181" i="10"/>
  <c r="J181" i="10" s="1"/>
  <c r="E181" i="10"/>
  <c r="G181" i="10" s="1"/>
  <c r="D181" i="10"/>
  <c r="I180" i="10"/>
  <c r="J180" i="10" s="1"/>
  <c r="D180" i="10"/>
  <c r="E180" i="10" s="1"/>
  <c r="I179" i="10"/>
  <c r="J179" i="10" s="1"/>
  <c r="E179" i="10"/>
  <c r="G179" i="10" s="1"/>
  <c r="D179" i="10"/>
  <c r="I178" i="10"/>
  <c r="J178" i="10" s="1"/>
  <c r="D178" i="10"/>
  <c r="E178" i="10" s="1"/>
  <c r="I177" i="10"/>
  <c r="J177" i="10" s="1"/>
  <c r="E177" i="10"/>
  <c r="G177" i="10" s="1"/>
  <c r="D177" i="10"/>
  <c r="I176" i="10"/>
  <c r="J176" i="10" s="1"/>
  <c r="D176" i="10"/>
  <c r="E176" i="10" s="1"/>
  <c r="I175" i="10"/>
  <c r="J175" i="10" s="1"/>
  <c r="E175" i="10"/>
  <c r="G175" i="10" s="1"/>
  <c r="D175" i="10"/>
  <c r="I174" i="10"/>
  <c r="J174" i="10" s="1"/>
  <c r="D174" i="10"/>
  <c r="E174" i="10" s="1"/>
  <c r="I173" i="10"/>
  <c r="J173" i="10" s="1"/>
  <c r="E173" i="10"/>
  <c r="G173" i="10" s="1"/>
  <c r="D173" i="10"/>
  <c r="I172" i="10"/>
  <c r="J172" i="10" s="1"/>
  <c r="D172" i="10"/>
  <c r="E172" i="10" s="1"/>
  <c r="I171" i="10"/>
  <c r="J171" i="10" s="1"/>
  <c r="E171" i="10"/>
  <c r="G171" i="10" s="1"/>
  <c r="D171" i="10"/>
  <c r="I170" i="10"/>
  <c r="J170" i="10" s="1"/>
  <c r="D170" i="10"/>
  <c r="E170" i="10" s="1"/>
  <c r="I169" i="10"/>
  <c r="J169" i="10" s="1"/>
  <c r="E169" i="10"/>
  <c r="G169" i="10" s="1"/>
  <c r="D169" i="10"/>
  <c r="I168" i="10"/>
  <c r="J168" i="10" s="1"/>
  <c r="D168" i="10"/>
  <c r="E168" i="10" s="1"/>
  <c r="I167" i="10"/>
  <c r="J167" i="10" s="1"/>
  <c r="E167" i="10"/>
  <c r="G167" i="10" s="1"/>
  <c r="D167" i="10"/>
  <c r="I166" i="10"/>
  <c r="J166" i="10" s="1"/>
  <c r="D166" i="10"/>
  <c r="E166" i="10" s="1"/>
  <c r="I165" i="10"/>
  <c r="J165" i="10" s="1"/>
  <c r="E165" i="10"/>
  <c r="G165" i="10" s="1"/>
  <c r="D165" i="10"/>
  <c r="I164" i="10"/>
  <c r="J164" i="10" s="1"/>
  <c r="D164" i="10"/>
  <c r="E164" i="10" s="1"/>
  <c r="I163" i="10"/>
  <c r="J163" i="10" s="1"/>
  <c r="E163" i="10"/>
  <c r="G163" i="10" s="1"/>
  <c r="D163" i="10"/>
  <c r="I162" i="10"/>
  <c r="J162" i="10" s="1"/>
  <c r="D162" i="10"/>
  <c r="E162" i="10" s="1"/>
  <c r="I161" i="10"/>
  <c r="J161" i="10" s="1"/>
  <c r="E161" i="10"/>
  <c r="G161" i="10" s="1"/>
  <c r="D161" i="10"/>
  <c r="I160" i="10"/>
  <c r="J160" i="10" s="1"/>
  <c r="D160" i="10"/>
  <c r="E160" i="10" s="1"/>
  <c r="I159" i="10"/>
  <c r="J159" i="10" s="1"/>
  <c r="E159" i="10"/>
  <c r="G159" i="10" s="1"/>
  <c r="D159" i="10"/>
  <c r="I158" i="10"/>
  <c r="J158" i="10" s="1"/>
  <c r="D158" i="10"/>
  <c r="E158" i="10" s="1"/>
  <c r="I157" i="10"/>
  <c r="J157" i="10" s="1"/>
  <c r="E157" i="10"/>
  <c r="G157" i="10" s="1"/>
  <c r="D157" i="10"/>
  <c r="I156" i="10"/>
  <c r="J156" i="10" s="1"/>
  <c r="D156" i="10"/>
  <c r="E156" i="10" s="1"/>
  <c r="I155" i="10"/>
  <c r="J155" i="10" s="1"/>
  <c r="E155" i="10"/>
  <c r="G155" i="10" s="1"/>
  <c r="D155" i="10"/>
  <c r="I154" i="10"/>
  <c r="J154" i="10" s="1"/>
  <c r="D154" i="10"/>
  <c r="E154" i="10" s="1"/>
  <c r="I153" i="10"/>
  <c r="J153" i="10" s="1"/>
  <c r="E153" i="10"/>
  <c r="G153" i="10" s="1"/>
  <c r="D153" i="10"/>
  <c r="I152" i="10"/>
  <c r="J152" i="10" s="1"/>
  <c r="D152" i="10"/>
  <c r="E152" i="10" s="1"/>
  <c r="I151" i="10"/>
  <c r="J151" i="10" s="1"/>
  <c r="E151" i="10"/>
  <c r="G151" i="10" s="1"/>
  <c r="D151" i="10"/>
  <c r="I150" i="10"/>
  <c r="J150" i="10" s="1"/>
  <c r="D150" i="10"/>
  <c r="E150" i="10" s="1"/>
  <c r="I149" i="10"/>
  <c r="J149" i="10" s="1"/>
  <c r="E149" i="10"/>
  <c r="G149" i="10" s="1"/>
  <c r="D149" i="10"/>
  <c r="I148" i="10"/>
  <c r="J148" i="10" s="1"/>
  <c r="D148" i="10"/>
  <c r="E148" i="10" s="1"/>
  <c r="I147" i="10"/>
  <c r="J147" i="10" s="1"/>
  <c r="E147" i="10"/>
  <c r="G147" i="10" s="1"/>
  <c r="D147" i="10"/>
  <c r="I146" i="10"/>
  <c r="J146" i="10" s="1"/>
  <c r="D146" i="10"/>
  <c r="E146" i="10" s="1"/>
  <c r="I145" i="10"/>
  <c r="J145" i="10" s="1"/>
  <c r="E145" i="10"/>
  <c r="G145" i="10" s="1"/>
  <c r="D145" i="10"/>
  <c r="I144" i="10"/>
  <c r="J144" i="10" s="1"/>
  <c r="D144" i="10"/>
  <c r="E144" i="10" s="1"/>
  <c r="I143" i="10"/>
  <c r="J143" i="10" s="1"/>
  <c r="E143" i="10"/>
  <c r="G143" i="10" s="1"/>
  <c r="D143" i="10"/>
  <c r="I142" i="10"/>
  <c r="J142" i="10" s="1"/>
  <c r="D142" i="10"/>
  <c r="E142" i="10" s="1"/>
  <c r="I141" i="10"/>
  <c r="J141" i="10" s="1"/>
  <c r="E141" i="10"/>
  <c r="G141" i="10" s="1"/>
  <c r="D141" i="10"/>
  <c r="I140" i="10"/>
  <c r="J140" i="10" s="1"/>
  <c r="D140" i="10"/>
  <c r="E140" i="10" s="1"/>
  <c r="I139" i="10"/>
  <c r="J139" i="10" s="1"/>
  <c r="E139" i="10"/>
  <c r="G139" i="10" s="1"/>
  <c r="D139" i="10"/>
  <c r="I138" i="10"/>
  <c r="J138" i="10" s="1"/>
  <c r="D138" i="10"/>
  <c r="E138" i="10" s="1"/>
  <c r="I137" i="10"/>
  <c r="J137" i="10" s="1"/>
  <c r="E137" i="10"/>
  <c r="G137" i="10" s="1"/>
  <c r="D137" i="10"/>
  <c r="I136" i="10"/>
  <c r="J136" i="10" s="1"/>
  <c r="D136" i="10"/>
  <c r="E136" i="10" s="1"/>
  <c r="I135" i="10"/>
  <c r="J135" i="10" s="1"/>
  <c r="E135" i="10"/>
  <c r="G135" i="10" s="1"/>
  <c r="D135" i="10"/>
  <c r="I134" i="10"/>
  <c r="J134" i="10" s="1"/>
  <c r="D134" i="10"/>
  <c r="E134" i="10" s="1"/>
  <c r="I133" i="10"/>
  <c r="J133" i="10" s="1"/>
  <c r="E133" i="10"/>
  <c r="G133" i="10" s="1"/>
  <c r="D133" i="10"/>
  <c r="I132" i="10"/>
  <c r="J132" i="10" s="1"/>
  <c r="D132" i="10"/>
  <c r="E132" i="10" s="1"/>
  <c r="I131" i="10"/>
  <c r="J131" i="10" s="1"/>
  <c r="E131" i="10"/>
  <c r="G131" i="10" s="1"/>
  <c r="D131" i="10"/>
  <c r="I130" i="10"/>
  <c r="J130" i="10" s="1"/>
  <c r="D130" i="10"/>
  <c r="E130" i="10" s="1"/>
  <c r="I129" i="10"/>
  <c r="J129" i="10" s="1"/>
  <c r="E129" i="10"/>
  <c r="G129" i="10" s="1"/>
  <c r="D129" i="10"/>
  <c r="I128" i="10"/>
  <c r="J128" i="10" s="1"/>
  <c r="D128" i="10"/>
  <c r="E128" i="10" s="1"/>
  <c r="I127" i="10"/>
  <c r="J127" i="10" s="1"/>
  <c r="E127" i="10"/>
  <c r="G127" i="10" s="1"/>
  <c r="D127" i="10"/>
  <c r="I126" i="10"/>
  <c r="J126" i="10" s="1"/>
  <c r="D126" i="10"/>
  <c r="E126" i="10" s="1"/>
  <c r="I125" i="10"/>
  <c r="J125" i="10" s="1"/>
  <c r="E125" i="10"/>
  <c r="G125" i="10" s="1"/>
  <c r="D125" i="10"/>
  <c r="I124" i="10"/>
  <c r="J124" i="10" s="1"/>
  <c r="D124" i="10"/>
  <c r="E124" i="10" s="1"/>
  <c r="I123" i="10"/>
  <c r="J123" i="10" s="1"/>
  <c r="E123" i="10"/>
  <c r="G123" i="10" s="1"/>
  <c r="D123" i="10"/>
  <c r="I122" i="10"/>
  <c r="J122" i="10" s="1"/>
  <c r="D122" i="10"/>
  <c r="E122" i="10" s="1"/>
  <c r="I121" i="10"/>
  <c r="J121" i="10" s="1"/>
  <c r="E121" i="10"/>
  <c r="G121" i="10" s="1"/>
  <c r="D121" i="10"/>
  <c r="I120" i="10"/>
  <c r="J120" i="10" s="1"/>
  <c r="D120" i="10"/>
  <c r="E120" i="10" s="1"/>
  <c r="I119" i="10"/>
  <c r="J119" i="10" s="1"/>
  <c r="E119" i="10"/>
  <c r="G119" i="10" s="1"/>
  <c r="D119" i="10"/>
  <c r="I118" i="10"/>
  <c r="J118" i="10" s="1"/>
  <c r="D118" i="10"/>
  <c r="E118" i="10" s="1"/>
  <c r="I117" i="10"/>
  <c r="J117" i="10" s="1"/>
  <c r="E117" i="10"/>
  <c r="G117" i="10" s="1"/>
  <c r="D117" i="10"/>
  <c r="I116" i="10"/>
  <c r="J116" i="10" s="1"/>
  <c r="D116" i="10"/>
  <c r="E116" i="10" s="1"/>
  <c r="I115" i="10"/>
  <c r="J115" i="10" s="1"/>
  <c r="E115" i="10"/>
  <c r="G115" i="10" s="1"/>
  <c r="D115" i="10"/>
  <c r="I114" i="10"/>
  <c r="J114" i="10" s="1"/>
  <c r="D114" i="10"/>
  <c r="E114" i="10" s="1"/>
  <c r="I113" i="10"/>
  <c r="J113" i="10" s="1"/>
  <c r="E113" i="10"/>
  <c r="G113" i="10" s="1"/>
  <c r="D113" i="10"/>
  <c r="I112" i="10"/>
  <c r="J112" i="10" s="1"/>
  <c r="D112" i="10"/>
  <c r="E112" i="10" s="1"/>
  <c r="I111" i="10"/>
  <c r="J111" i="10" s="1"/>
  <c r="E111" i="10"/>
  <c r="G111" i="10" s="1"/>
  <c r="D111" i="10"/>
  <c r="I110" i="10"/>
  <c r="J110" i="10" s="1"/>
  <c r="D110" i="10"/>
  <c r="E110" i="10" s="1"/>
  <c r="I109" i="10"/>
  <c r="J109" i="10" s="1"/>
  <c r="E109" i="10"/>
  <c r="G109" i="10" s="1"/>
  <c r="D109" i="10"/>
  <c r="I108" i="10"/>
  <c r="J108" i="10" s="1"/>
  <c r="D108" i="10"/>
  <c r="E108" i="10" s="1"/>
  <c r="I107" i="10"/>
  <c r="J107" i="10" s="1"/>
  <c r="E107" i="10"/>
  <c r="G107" i="10" s="1"/>
  <c r="D107" i="10"/>
  <c r="I106" i="10"/>
  <c r="J106" i="10" s="1"/>
  <c r="D106" i="10"/>
  <c r="E106" i="10" s="1"/>
  <c r="I105" i="10"/>
  <c r="J105" i="10" s="1"/>
  <c r="E105" i="10"/>
  <c r="G105" i="10" s="1"/>
  <c r="D105" i="10"/>
  <c r="I104" i="10"/>
  <c r="J104" i="10" s="1"/>
  <c r="D104" i="10"/>
  <c r="E104" i="10" s="1"/>
  <c r="I103" i="10"/>
  <c r="J103" i="10" s="1"/>
  <c r="E103" i="10"/>
  <c r="G103" i="10" s="1"/>
  <c r="D103" i="10"/>
  <c r="I102" i="10"/>
  <c r="J102" i="10" s="1"/>
  <c r="D102" i="10"/>
  <c r="E102" i="10" s="1"/>
  <c r="I101" i="10"/>
  <c r="J101" i="10" s="1"/>
  <c r="E101" i="10"/>
  <c r="G101" i="10" s="1"/>
  <c r="D101" i="10"/>
  <c r="I100" i="10"/>
  <c r="J100" i="10" s="1"/>
  <c r="D100" i="10"/>
  <c r="E100" i="10" s="1"/>
  <c r="I99" i="10"/>
  <c r="J99" i="10" s="1"/>
  <c r="E99" i="10"/>
  <c r="G99" i="10" s="1"/>
  <c r="D99" i="10"/>
  <c r="I98" i="10"/>
  <c r="J98" i="10" s="1"/>
  <c r="D98" i="10"/>
  <c r="E98" i="10" s="1"/>
  <c r="I97" i="10"/>
  <c r="J97" i="10" s="1"/>
  <c r="E97" i="10"/>
  <c r="G97" i="10" s="1"/>
  <c r="D97" i="10"/>
  <c r="I96" i="10"/>
  <c r="J96" i="10" s="1"/>
  <c r="D96" i="10"/>
  <c r="E96" i="10" s="1"/>
  <c r="I95" i="10"/>
  <c r="J95" i="10" s="1"/>
  <c r="E95" i="10"/>
  <c r="G95" i="10" s="1"/>
  <c r="D95" i="10"/>
  <c r="I94" i="10"/>
  <c r="J94" i="10" s="1"/>
  <c r="D94" i="10"/>
  <c r="E94" i="10" s="1"/>
  <c r="I93" i="10"/>
  <c r="J93" i="10" s="1"/>
  <c r="E93" i="10"/>
  <c r="G93" i="10" s="1"/>
  <c r="D93" i="10"/>
  <c r="I92" i="10"/>
  <c r="J92" i="10" s="1"/>
  <c r="D92" i="10"/>
  <c r="E92" i="10" s="1"/>
  <c r="I91" i="10"/>
  <c r="J91" i="10" s="1"/>
  <c r="E91" i="10"/>
  <c r="G91" i="10" s="1"/>
  <c r="D91" i="10"/>
  <c r="I90" i="10"/>
  <c r="J90" i="10" s="1"/>
  <c r="D90" i="10"/>
  <c r="E90" i="10" s="1"/>
  <c r="M89" i="10"/>
  <c r="I89" i="10"/>
  <c r="J89" i="10" s="1"/>
  <c r="E89" i="10"/>
  <c r="D89" i="10"/>
  <c r="K88" i="10"/>
  <c r="I88" i="10"/>
  <c r="J88" i="10" s="1"/>
  <c r="G88" i="10"/>
  <c r="E88" i="10"/>
  <c r="F88" i="10" s="1"/>
  <c r="H88" i="10" s="1"/>
  <c r="D88" i="10"/>
  <c r="I87" i="10"/>
  <c r="J87" i="10" s="1"/>
  <c r="M87" i="10" s="1"/>
  <c r="E87" i="10"/>
  <c r="D87" i="10"/>
  <c r="I86" i="10"/>
  <c r="J86" i="10" s="1"/>
  <c r="K86" i="10" s="1"/>
  <c r="G86" i="10"/>
  <c r="E86" i="10"/>
  <c r="F86" i="10" s="1"/>
  <c r="H86" i="10" s="1"/>
  <c r="D86" i="10"/>
  <c r="I85" i="10"/>
  <c r="J85" i="10" s="1"/>
  <c r="E85" i="10"/>
  <c r="D85" i="10"/>
  <c r="I84" i="10"/>
  <c r="J84" i="10" s="1"/>
  <c r="G84" i="10"/>
  <c r="E84" i="10"/>
  <c r="F84" i="10" s="1"/>
  <c r="H84" i="10" s="1"/>
  <c r="D84" i="10"/>
  <c r="M83" i="10"/>
  <c r="I83" i="10"/>
  <c r="J83" i="10" s="1"/>
  <c r="E83" i="10"/>
  <c r="D83" i="10"/>
  <c r="I82" i="10"/>
  <c r="J82" i="10" s="1"/>
  <c r="G82" i="10"/>
  <c r="E82" i="10"/>
  <c r="F82" i="10" s="1"/>
  <c r="H82" i="10" s="1"/>
  <c r="D82" i="10"/>
  <c r="M81" i="10"/>
  <c r="I81" i="10"/>
  <c r="J81" i="10" s="1"/>
  <c r="E81" i="10"/>
  <c r="D81" i="10"/>
  <c r="K80" i="10"/>
  <c r="I80" i="10"/>
  <c r="J80" i="10" s="1"/>
  <c r="G80" i="10"/>
  <c r="E80" i="10"/>
  <c r="F80" i="10" s="1"/>
  <c r="H80" i="10" s="1"/>
  <c r="D80" i="10"/>
  <c r="I79" i="10"/>
  <c r="J79" i="10" s="1"/>
  <c r="M79" i="10" s="1"/>
  <c r="E79" i="10"/>
  <c r="D79" i="10"/>
  <c r="I78" i="10"/>
  <c r="J78" i="10" s="1"/>
  <c r="K78" i="10" s="1"/>
  <c r="G78" i="10"/>
  <c r="E78" i="10"/>
  <c r="F78" i="10" s="1"/>
  <c r="H78" i="10" s="1"/>
  <c r="D78" i="10"/>
  <c r="I77" i="10"/>
  <c r="J77" i="10" s="1"/>
  <c r="E77" i="10"/>
  <c r="D77" i="10"/>
  <c r="I76" i="10"/>
  <c r="J76" i="10" s="1"/>
  <c r="G76" i="10"/>
  <c r="E76" i="10"/>
  <c r="F76" i="10" s="1"/>
  <c r="H76" i="10" s="1"/>
  <c r="D76" i="10"/>
  <c r="I75" i="10"/>
  <c r="J75" i="10" s="1"/>
  <c r="E75" i="10"/>
  <c r="D75" i="10"/>
  <c r="I74" i="10"/>
  <c r="J74" i="10" s="1"/>
  <c r="G74" i="10"/>
  <c r="E74" i="10"/>
  <c r="F74" i="10" s="1"/>
  <c r="H74" i="10" s="1"/>
  <c r="D74" i="10"/>
  <c r="M73" i="10"/>
  <c r="I73" i="10"/>
  <c r="J73" i="10" s="1"/>
  <c r="E73" i="10"/>
  <c r="D73" i="10"/>
  <c r="K72" i="10"/>
  <c r="I72" i="10"/>
  <c r="J72" i="10" s="1"/>
  <c r="G72" i="10"/>
  <c r="E72" i="10"/>
  <c r="F72" i="10" s="1"/>
  <c r="H72" i="10" s="1"/>
  <c r="D72" i="10"/>
  <c r="I71" i="10"/>
  <c r="J71" i="10" s="1"/>
  <c r="M71" i="10" s="1"/>
  <c r="E71" i="10"/>
  <c r="D71" i="10"/>
  <c r="I70" i="10"/>
  <c r="J70" i="10" s="1"/>
  <c r="K70" i="10" s="1"/>
  <c r="G70" i="10"/>
  <c r="E70" i="10"/>
  <c r="F70" i="10" s="1"/>
  <c r="H70" i="10" s="1"/>
  <c r="D70" i="10"/>
  <c r="I69" i="10"/>
  <c r="J69" i="10" s="1"/>
  <c r="E69" i="10"/>
  <c r="D69" i="10"/>
  <c r="I68" i="10"/>
  <c r="J68" i="10" s="1"/>
  <c r="G68" i="10"/>
  <c r="E68" i="10"/>
  <c r="F68" i="10" s="1"/>
  <c r="H68" i="10" s="1"/>
  <c r="D68" i="10"/>
  <c r="I67" i="10"/>
  <c r="J67" i="10" s="1"/>
  <c r="E67" i="10"/>
  <c r="D67" i="10"/>
  <c r="M66" i="10"/>
  <c r="K66" i="10"/>
  <c r="I66" i="10"/>
  <c r="J66" i="10" s="1"/>
  <c r="L66" i="10" s="1"/>
  <c r="E66" i="10"/>
  <c r="F66" i="10" s="1"/>
  <c r="H66" i="10" s="1"/>
  <c r="D66" i="10"/>
  <c r="I65" i="10"/>
  <c r="J65" i="10" s="1"/>
  <c r="L65" i="10" s="1"/>
  <c r="G65" i="10"/>
  <c r="E65" i="10"/>
  <c r="F65" i="10" s="1"/>
  <c r="H65" i="10" s="1"/>
  <c r="D65" i="10"/>
  <c r="M64" i="10"/>
  <c r="K64" i="10"/>
  <c r="I64" i="10"/>
  <c r="J64" i="10" s="1"/>
  <c r="L64" i="10" s="1"/>
  <c r="E64" i="10"/>
  <c r="F64" i="10" s="1"/>
  <c r="H64" i="10" s="1"/>
  <c r="D64" i="10"/>
  <c r="I63" i="10"/>
  <c r="J63" i="10" s="1"/>
  <c r="L63" i="10" s="1"/>
  <c r="G63" i="10"/>
  <c r="E63" i="10"/>
  <c r="F63" i="10" s="1"/>
  <c r="H63" i="10" s="1"/>
  <c r="D63" i="10"/>
  <c r="M62" i="10"/>
  <c r="K62" i="10"/>
  <c r="I62" i="10"/>
  <c r="J62" i="10" s="1"/>
  <c r="L62" i="10" s="1"/>
  <c r="E62" i="10"/>
  <c r="F62" i="10" s="1"/>
  <c r="H62" i="10" s="1"/>
  <c r="D62" i="10"/>
  <c r="I61" i="10"/>
  <c r="J61" i="10" s="1"/>
  <c r="L61" i="10" s="1"/>
  <c r="G61" i="10"/>
  <c r="E61" i="10"/>
  <c r="F61" i="10" s="1"/>
  <c r="H61" i="10" s="1"/>
  <c r="D61" i="10"/>
  <c r="M60" i="10"/>
  <c r="K60" i="10"/>
  <c r="I60" i="10"/>
  <c r="J60" i="10" s="1"/>
  <c r="L60" i="10" s="1"/>
  <c r="E60" i="10"/>
  <c r="F60" i="10" s="1"/>
  <c r="H60" i="10" s="1"/>
  <c r="D60" i="10"/>
  <c r="I59" i="10"/>
  <c r="J59" i="10" s="1"/>
  <c r="L59" i="10" s="1"/>
  <c r="G59" i="10"/>
  <c r="E59" i="10"/>
  <c r="F59" i="10" s="1"/>
  <c r="H59" i="10" s="1"/>
  <c r="D59" i="10"/>
  <c r="M58" i="10"/>
  <c r="K58" i="10"/>
  <c r="I58" i="10"/>
  <c r="J58" i="10" s="1"/>
  <c r="L58" i="10" s="1"/>
  <c r="G58" i="10"/>
  <c r="E58" i="10"/>
  <c r="F58" i="10" s="1"/>
  <c r="H58" i="10" s="1"/>
  <c r="D58" i="10"/>
  <c r="I57" i="10"/>
  <c r="J57" i="10" s="1"/>
  <c r="F57" i="10"/>
  <c r="H57" i="10" s="1"/>
  <c r="E57" i="10"/>
  <c r="G57" i="10" s="1"/>
  <c r="D57" i="10"/>
  <c r="L56" i="10"/>
  <c r="I56" i="10"/>
  <c r="J56" i="10" s="1"/>
  <c r="M56" i="10" s="1"/>
  <c r="D56" i="10"/>
  <c r="E56" i="10" s="1"/>
  <c r="I55" i="10"/>
  <c r="J55" i="10" s="1"/>
  <c r="F55" i="10"/>
  <c r="H55" i="10" s="1"/>
  <c r="E55" i="10"/>
  <c r="G55" i="10" s="1"/>
  <c r="D55" i="10"/>
  <c r="L54" i="10"/>
  <c r="I54" i="10"/>
  <c r="J54" i="10" s="1"/>
  <c r="D54" i="10"/>
  <c r="E54" i="10" s="1"/>
  <c r="D53" i="10"/>
  <c r="E53" i="10" s="1"/>
  <c r="F52" i="10"/>
  <c r="H52" i="10" s="1"/>
  <c r="E52" i="10"/>
  <c r="G52" i="10" s="1"/>
  <c r="D52" i="10"/>
  <c r="G51" i="10"/>
  <c r="D51" i="10"/>
  <c r="E51" i="10" s="1"/>
  <c r="F51" i="10" s="1"/>
  <c r="H51" i="10" s="1"/>
  <c r="D50" i="10"/>
  <c r="E50" i="10" s="1"/>
  <c r="D49" i="10"/>
  <c r="E49" i="10" s="1"/>
  <c r="F48" i="10"/>
  <c r="H48" i="10" s="1"/>
  <c r="E48" i="10"/>
  <c r="G48" i="10" s="1"/>
  <c r="D48" i="10"/>
  <c r="D47" i="10"/>
  <c r="E47" i="10" s="1"/>
  <c r="G47" i="10" s="1"/>
  <c r="D46" i="10"/>
  <c r="E46" i="10" s="1"/>
  <c r="D45" i="10"/>
  <c r="E45" i="10" s="1"/>
  <c r="F44" i="10"/>
  <c r="H44" i="10" s="1"/>
  <c r="E44" i="10"/>
  <c r="G44" i="10" s="1"/>
  <c r="D44" i="10"/>
  <c r="D43" i="10"/>
  <c r="E43" i="10" s="1"/>
  <c r="G43" i="10" s="1"/>
  <c r="D42" i="10"/>
  <c r="E42" i="10" s="1"/>
  <c r="D41" i="10"/>
  <c r="E41" i="10" s="1"/>
  <c r="F40" i="10"/>
  <c r="H40" i="10" s="1"/>
  <c r="E40" i="10"/>
  <c r="G40" i="10" s="1"/>
  <c r="D40" i="10"/>
  <c r="D39" i="10"/>
  <c r="E39" i="10" s="1"/>
  <c r="G39" i="10" s="1"/>
  <c r="D38" i="10"/>
  <c r="E38" i="10" s="1"/>
  <c r="D37" i="10"/>
  <c r="E37" i="10" s="1"/>
  <c r="F36" i="10"/>
  <c r="H36" i="10" s="1"/>
  <c r="E36" i="10"/>
  <c r="G36" i="10" s="1"/>
  <c r="D36" i="10"/>
  <c r="D35" i="10"/>
  <c r="E35" i="10" s="1"/>
  <c r="G35" i="10" s="1"/>
  <c r="D34" i="10"/>
  <c r="E34" i="10" s="1"/>
  <c r="D33" i="10"/>
  <c r="E33" i="10" s="1"/>
  <c r="F32" i="10"/>
  <c r="H32" i="10" s="1"/>
  <c r="E32" i="10"/>
  <c r="G32" i="10" s="1"/>
  <c r="D32" i="10"/>
  <c r="D31" i="10"/>
  <c r="E31" i="10" s="1"/>
  <c r="G31" i="10" s="1"/>
  <c r="D30" i="10"/>
  <c r="E30" i="10" s="1"/>
  <c r="D29" i="10"/>
  <c r="E29" i="10" s="1"/>
  <c r="F28" i="10"/>
  <c r="H28" i="10" s="1"/>
  <c r="E28" i="10"/>
  <c r="G28" i="10" s="1"/>
  <c r="D28" i="10"/>
  <c r="D27" i="10"/>
  <c r="E27" i="10" s="1"/>
  <c r="G27" i="10" s="1"/>
  <c r="D26" i="10"/>
  <c r="E26" i="10" s="1"/>
  <c r="D25" i="10"/>
  <c r="E25" i="10" s="1"/>
  <c r="F24" i="10"/>
  <c r="E24" i="10"/>
  <c r="D24" i="10"/>
  <c r="F26" i="10" l="1"/>
  <c r="H26" i="10" s="1"/>
  <c r="G26" i="10"/>
  <c r="F34" i="10"/>
  <c r="H34" i="10" s="1"/>
  <c r="G34" i="10"/>
  <c r="F42" i="10"/>
  <c r="H42" i="10" s="1"/>
  <c r="G42" i="10"/>
  <c r="F50" i="10"/>
  <c r="H50" i="10" s="1"/>
  <c r="G50" i="10"/>
  <c r="L57" i="10"/>
  <c r="M57" i="10"/>
  <c r="K57" i="10"/>
  <c r="G29" i="10"/>
  <c r="F29" i="10"/>
  <c r="H29" i="10" s="1"/>
  <c r="G37" i="10"/>
  <c r="F37" i="10"/>
  <c r="H37" i="10" s="1"/>
  <c r="G45" i="10"/>
  <c r="F45" i="10"/>
  <c r="H45" i="10" s="1"/>
  <c r="L55" i="10"/>
  <c r="M55" i="10"/>
  <c r="K55" i="10"/>
  <c r="F30" i="10"/>
  <c r="H30" i="10" s="1"/>
  <c r="G30" i="10"/>
  <c r="F38" i="10"/>
  <c r="H38" i="10" s="1"/>
  <c r="G38" i="10"/>
  <c r="F46" i="10"/>
  <c r="H46" i="10" s="1"/>
  <c r="G46" i="10"/>
  <c r="G53" i="10"/>
  <c r="F53" i="10"/>
  <c r="H53" i="10" s="1"/>
  <c r="F56" i="10"/>
  <c r="H56" i="10" s="1"/>
  <c r="G56" i="10"/>
  <c r="G25" i="10"/>
  <c r="F25" i="10"/>
  <c r="H25" i="10" s="1"/>
  <c r="G33" i="10"/>
  <c r="F33" i="10"/>
  <c r="H33" i="10" s="1"/>
  <c r="G41" i="10"/>
  <c r="F41" i="10"/>
  <c r="H41" i="10" s="1"/>
  <c r="G49" i="10"/>
  <c r="F49" i="10"/>
  <c r="H49" i="10" s="1"/>
  <c r="F54" i="10"/>
  <c r="H54" i="10" s="1"/>
  <c r="G54" i="10"/>
  <c r="J1083" i="10"/>
  <c r="M59" i="10"/>
  <c r="M61" i="10"/>
  <c r="M63" i="10"/>
  <c r="M65" i="10"/>
  <c r="G67" i="10"/>
  <c r="F67" i="10"/>
  <c r="H67" i="10" s="1"/>
  <c r="M72" i="10"/>
  <c r="L72" i="10"/>
  <c r="L73" i="10"/>
  <c r="K73" i="10"/>
  <c r="G75" i="10"/>
  <c r="F75" i="10"/>
  <c r="H75" i="10" s="1"/>
  <c r="M80" i="10"/>
  <c r="L80" i="10"/>
  <c r="L81" i="10"/>
  <c r="K81" i="10"/>
  <c r="G83" i="10"/>
  <c r="F83" i="10"/>
  <c r="H83" i="10" s="1"/>
  <c r="M88" i="10"/>
  <c r="L88" i="10"/>
  <c r="L89" i="10"/>
  <c r="K89" i="10"/>
  <c r="M92" i="10"/>
  <c r="L92" i="10"/>
  <c r="K92" i="10"/>
  <c r="F94" i="10"/>
  <c r="H94" i="10" s="1"/>
  <c r="G94" i="10"/>
  <c r="L95" i="10"/>
  <c r="K95" i="10"/>
  <c r="M95" i="10"/>
  <c r="M100" i="10"/>
  <c r="L100" i="10"/>
  <c r="K100" i="10"/>
  <c r="F102" i="10"/>
  <c r="H102" i="10" s="1"/>
  <c r="G102" i="10"/>
  <c r="L103" i="10"/>
  <c r="K103" i="10"/>
  <c r="M103" i="10"/>
  <c r="M108" i="10"/>
  <c r="L108" i="10"/>
  <c r="K108" i="10"/>
  <c r="F110" i="10"/>
  <c r="H110" i="10" s="1"/>
  <c r="G110" i="10"/>
  <c r="L111" i="10"/>
  <c r="K111" i="10"/>
  <c r="M111" i="10"/>
  <c r="M116" i="10"/>
  <c r="L116" i="10"/>
  <c r="K116" i="10"/>
  <c r="F118" i="10"/>
  <c r="H118" i="10" s="1"/>
  <c r="G118" i="10"/>
  <c r="L119" i="10"/>
  <c r="K119" i="10"/>
  <c r="M119" i="10"/>
  <c r="M124" i="10"/>
  <c r="L124" i="10"/>
  <c r="K124" i="10"/>
  <c r="F126" i="10"/>
  <c r="H126" i="10" s="1"/>
  <c r="G126" i="10"/>
  <c r="L127" i="10"/>
  <c r="K127" i="10"/>
  <c r="M127" i="10"/>
  <c r="M132" i="10"/>
  <c r="L132" i="10"/>
  <c r="K132" i="10"/>
  <c r="F134" i="10"/>
  <c r="H134" i="10" s="1"/>
  <c r="G134" i="10"/>
  <c r="L135" i="10"/>
  <c r="K135" i="10"/>
  <c r="M135" i="10"/>
  <c r="M140" i="10"/>
  <c r="L140" i="10"/>
  <c r="K140" i="10"/>
  <c r="F142" i="10"/>
  <c r="H142" i="10" s="1"/>
  <c r="G142" i="10"/>
  <c r="L143" i="10"/>
  <c r="K143" i="10"/>
  <c r="M143" i="10"/>
  <c r="M148" i="10"/>
  <c r="L148" i="10"/>
  <c r="K148" i="10"/>
  <c r="F150" i="10"/>
  <c r="H150" i="10" s="1"/>
  <c r="G150" i="10"/>
  <c r="L151" i="10"/>
  <c r="K151" i="10"/>
  <c r="M151" i="10"/>
  <c r="M156" i="10"/>
  <c r="L156" i="10"/>
  <c r="K156" i="10"/>
  <c r="F158" i="10"/>
  <c r="H158" i="10" s="1"/>
  <c r="G158" i="10"/>
  <c r="L159" i="10"/>
  <c r="K159" i="10"/>
  <c r="M159" i="10"/>
  <c r="M164" i="10"/>
  <c r="L164" i="10"/>
  <c r="K164" i="10"/>
  <c r="F166" i="10"/>
  <c r="H166" i="10" s="1"/>
  <c r="G166" i="10"/>
  <c r="L167" i="10"/>
  <c r="K167" i="10"/>
  <c r="M167" i="10"/>
  <c r="M172" i="10"/>
  <c r="L172" i="10"/>
  <c r="K172" i="10"/>
  <c r="F174" i="10"/>
  <c r="H174" i="10" s="1"/>
  <c r="G174" i="10"/>
  <c r="L175" i="10"/>
  <c r="K175" i="10"/>
  <c r="M175" i="10"/>
  <c r="M180" i="10"/>
  <c r="L180" i="10"/>
  <c r="K180" i="10"/>
  <c r="F182" i="10"/>
  <c r="H182" i="10" s="1"/>
  <c r="G182" i="10"/>
  <c r="L183" i="10"/>
  <c r="K183" i="10"/>
  <c r="M183" i="10"/>
  <c r="M188" i="10"/>
  <c r="L188" i="10"/>
  <c r="K188" i="10"/>
  <c r="F190" i="10"/>
  <c r="H190" i="10" s="1"/>
  <c r="G190" i="10"/>
  <c r="L191" i="10"/>
  <c r="K191" i="10"/>
  <c r="M191" i="10"/>
  <c r="M196" i="10"/>
  <c r="L196" i="10"/>
  <c r="K196" i="10"/>
  <c r="F202" i="10"/>
  <c r="H202" i="10" s="1"/>
  <c r="G202" i="10"/>
  <c r="M204" i="10"/>
  <c r="L204" i="10"/>
  <c r="K204" i="10"/>
  <c r="F210" i="10"/>
  <c r="H210" i="10" s="1"/>
  <c r="G210" i="10"/>
  <c r="M212" i="10"/>
  <c r="L212" i="10"/>
  <c r="K212" i="10"/>
  <c r="F218" i="10"/>
  <c r="H218" i="10" s="1"/>
  <c r="G218" i="10"/>
  <c r="M220" i="10"/>
  <c r="L220" i="10"/>
  <c r="K220" i="10"/>
  <c r="F226" i="10"/>
  <c r="H226" i="10" s="1"/>
  <c r="G226" i="10"/>
  <c r="M228" i="10"/>
  <c r="L228" i="10"/>
  <c r="K228" i="10"/>
  <c r="F234" i="10"/>
  <c r="H234" i="10" s="1"/>
  <c r="G234" i="10"/>
  <c r="M236" i="10"/>
  <c r="L236" i="10"/>
  <c r="K236" i="10"/>
  <c r="F242" i="10"/>
  <c r="H242" i="10" s="1"/>
  <c r="G242" i="10"/>
  <c r="M244" i="10"/>
  <c r="L244" i="10"/>
  <c r="K244" i="10"/>
  <c r="F250" i="10"/>
  <c r="H250" i="10" s="1"/>
  <c r="G250" i="10"/>
  <c r="M252" i="10"/>
  <c r="L252" i="10"/>
  <c r="K252" i="10"/>
  <c r="F258" i="10"/>
  <c r="H258" i="10" s="1"/>
  <c r="G258" i="10"/>
  <c r="M260" i="10"/>
  <c r="L260" i="10"/>
  <c r="K260" i="10"/>
  <c r="F266" i="10"/>
  <c r="H266" i="10" s="1"/>
  <c r="G266" i="10"/>
  <c r="M268" i="10"/>
  <c r="L268" i="10"/>
  <c r="K268" i="10"/>
  <c r="F274" i="10"/>
  <c r="H274" i="10" s="1"/>
  <c r="G274" i="10"/>
  <c r="M276" i="10"/>
  <c r="L276" i="10"/>
  <c r="K276" i="10"/>
  <c r="L301" i="10"/>
  <c r="K301" i="10"/>
  <c r="M301" i="10"/>
  <c r="F304" i="10"/>
  <c r="H304" i="10" s="1"/>
  <c r="G304" i="10"/>
  <c r="E1083" i="10"/>
  <c r="F27" i="10"/>
  <c r="H27" i="10" s="1"/>
  <c r="F31" i="10"/>
  <c r="H31" i="10" s="1"/>
  <c r="F35" i="10"/>
  <c r="H35" i="10" s="1"/>
  <c r="F39" i="10"/>
  <c r="H39" i="10" s="1"/>
  <c r="F43" i="10"/>
  <c r="H43" i="10" s="1"/>
  <c r="F47" i="10"/>
  <c r="H47" i="10" s="1"/>
  <c r="K54" i="10"/>
  <c r="K56" i="10"/>
  <c r="L67" i="10"/>
  <c r="K67" i="10"/>
  <c r="G69" i="10"/>
  <c r="F69" i="10"/>
  <c r="H69" i="10" s="1"/>
  <c r="M74" i="10"/>
  <c r="L74" i="10"/>
  <c r="L75" i="10"/>
  <c r="K75" i="10"/>
  <c r="G77" i="10"/>
  <c r="F77" i="10"/>
  <c r="H77" i="10" s="1"/>
  <c r="M82" i="10"/>
  <c r="L82" i="10"/>
  <c r="L83" i="10"/>
  <c r="K83" i="10"/>
  <c r="G85" i="10"/>
  <c r="F85" i="10"/>
  <c r="H85" i="10" s="1"/>
  <c r="M94" i="10"/>
  <c r="L94" i="10"/>
  <c r="K94" i="10"/>
  <c r="F96" i="10"/>
  <c r="H96" i="10" s="1"/>
  <c r="G96" i="10"/>
  <c r="L97" i="10"/>
  <c r="K97" i="10"/>
  <c r="M97" i="10"/>
  <c r="M102" i="10"/>
  <c r="L102" i="10"/>
  <c r="K102" i="10"/>
  <c r="F104" i="10"/>
  <c r="H104" i="10" s="1"/>
  <c r="G104" i="10"/>
  <c r="L105" i="10"/>
  <c r="K105" i="10"/>
  <c r="M105" i="10"/>
  <c r="M110" i="10"/>
  <c r="L110" i="10"/>
  <c r="K110" i="10"/>
  <c r="F112" i="10"/>
  <c r="H112" i="10" s="1"/>
  <c r="G112" i="10"/>
  <c r="L113" i="10"/>
  <c r="K113" i="10"/>
  <c r="M113" i="10"/>
  <c r="M118" i="10"/>
  <c r="L118" i="10"/>
  <c r="K118" i="10"/>
  <c r="F120" i="10"/>
  <c r="H120" i="10" s="1"/>
  <c r="G120" i="10"/>
  <c r="L121" i="10"/>
  <c r="K121" i="10"/>
  <c r="M121" i="10"/>
  <c r="M126" i="10"/>
  <c r="L126" i="10"/>
  <c r="K126" i="10"/>
  <c r="F128" i="10"/>
  <c r="H128" i="10" s="1"/>
  <c r="G128" i="10"/>
  <c r="L129" i="10"/>
  <c r="K129" i="10"/>
  <c r="M129" i="10"/>
  <c r="M134" i="10"/>
  <c r="L134" i="10"/>
  <c r="K134" i="10"/>
  <c r="F136" i="10"/>
  <c r="H136" i="10" s="1"/>
  <c r="G136" i="10"/>
  <c r="L137" i="10"/>
  <c r="K137" i="10"/>
  <c r="M137" i="10"/>
  <c r="M142" i="10"/>
  <c r="L142" i="10"/>
  <c r="K142" i="10"/>
  <c r="F144" i="10"/>
  <c r="H144" i="10" s="1"/>
  <c r="G144" i="10"/>
  <c r="L145" i="10"/>
  <c r="K145" i="10"/>
  <c r="M145" i="10"/>
  <c r="M150" i="10"/>
  <c r="L150" i="10"/>
  <c r="K150" i="10"/>
  <c r="F152" i="10"/>
  <c r="H152" i="10" s="1"/>
  <c r="G152" i="10"/>
  <c r="L153" i="10"/>
  <c r="K153" i="10"/>
  <c r="M153" i="10"/>
  <c r="M158" i="10"/>
  <c r="L158" i="10"/>
  <c r="K158" i="10"/>
  <c r="F160" i="10"/>
  <c r="H160" i="10" s="1"/>
  <c r="G160" i="10"/>
  <c r="L161" i="10"/>
  <c r="K161" i="10"/>
  <c r="M161" i="10"/>
  <c r="M166" i="10"/>
  <c r="L166" i="10"/>
  <c r="K166" i="10"/>
  <c r="F168" i="10"/>
  <c r="H168" i="10" s="1"/>
  <c r="G168" i="10"/>
  <c r="L169" i="10"/>
  <c r="K169" i="10"/>
  <c r="M169" i="10"/>
  <c r="M174" i="10"/>
  <c r="L174" i="10"/>
  <c r="K174" i="10"/>
  <c r="F176" i="10"/>
  <c r="H176" i="10" s="1"/>
  <c r="G176" i="10"/>
  <c r="L177" i="10"/>
  <c r="K177" i="10"/>
  <c r="M177" i="10"/>
  <c r="M182" i="10"/>
  <c r="L182" i="10"/>
  <c r="K182" i="10"/>
  <c r="F184" i="10"/>
  <c r="H184" i="10" s="1"/>
  <c r="G184" i="10"/>
  <c r="L185" i="10"/>
  <c r="K185" i="10"/>
  <c r="M185" i="10"/>
  <c r="M190" i="10"/>
  <c r="L190" i="10"/>
  <c r="K190" i="10"/>
  <c r="F192" i="10"/>
  <c r="H192" i="10" s="1"/>
  <c r="G192" i="10"/>
  <c r="L193" i="10"/>
  <c r="K193" i="10"/>
  <c r="M193" i="10"/>
  <c r="F200" i="10"/>
  <c r="H200" i="10" s="1"/>
  <c r="G200" i="10"/>
  <c r="M202" i="10"/>
  <c r="L202" i="10"/>
  <c r="K202" i="10"/>
  <c r="F208" i="10"/>
  <c r="H208" i="10" s="1"/>
  <c r="G208" i="10"/>
  <c r="M210" i="10"/>
  <c r="L210" i="10"/>
  <c r="K210" i="10"/>
  <c r="F216" i="10"/>
  <c r="H216" i="10" s="1"/>
  <c r="G216" i="10"/>
  <c r="M218" i="10"/>
  <c r="L218" i="10"/>
  <c r="K218" i="10"/>
  <c r="F224" i="10"/>
  <c r="H224" i="10" s="1"/>
  <c r="G224" i="10"/>
  <c r="M226" i="10"/>
  <c r="L226" i="10"/>
  <c r="K226" i="10"/>
  <c r="F232" i="10"/>
  <c r="H232" i="10" s="1"/>
  <c r="G232" i="10"/>
  <c r="M234" i="10"/>
  <c r="L234" i="10"/>
  <c r="K234" i="10"/>
  <c r="F240" i="10"/>
  <c r="H240" i="10" s="1"/>
  <c r="G240" i="10"/>
  <c r="M242" i="10"/>
  <c r="L242" i="10"/>
  <c r="K242" i="10"/>
  <c r="F248" i="10"/>
  <c r="H248" i="10" s="1"/>
  <c r="G248" i="10"/>
  <c r="M250" i="10"/>
  <c r="L250" i="10"/>
  <c r="K250" i="10"/>
  <c r="F256" i="10"/>
  <c r="H256" i="10" s="1"/>
  <c r="G256" i="10"/>
  <c r="M258" i="10"/>
  <c r="L258" i="10"/>
  <c r="K258" i="10"/>
  <c r="F264" i="10"/>
  <c r="H264" i="10" s="1"/>
  <c r="G264" i="10"/>
  <c r="M266" i="10"/>
  <c r="L266" i="10"/>
  <c r="K266" i="10"/>
  <c r="F272" i="10"/>
  <c r="H272" i="10" s="1"/>
  <c r="G272" i="10"/>
  <c r="M274" i="10"/>
  <c r="L274" i="10"/>
  <c r="K274" i="10"/>
  <c r="F280" i="10"/>
  <c r="H280" i="10" s="1"/>
  <c r="G280" i="10"/>
  <c r="F284" i="10"/>
  <c r="H284" i="10" s="1"/>
  <c r="G284" i="10"/>
  <c r="F288" i="10"/>
  <c r="H288" i="10" s="1"/>
  <c r="G288" i="10"/>
  <c r="F292" i="10"/>
  <c r="H292" i="10" s="1"/>
  <c r="G292" i="10"/>
  <c r="F296" i="10"/>
  <c r="H296" i="10" s="1"/>
  <c r="G296" i="10"/>
  <c r="L299" i="10"/>
  <c r="K299" i="10"/>
  <c r="M299" i="10"/>
  <c r="F302" i="10"/>
  <c r="H302" i="10" s="1"/>
  <c r="G302" i="10"/>
  <c r="L307" i="10"/>
  <c r="K307" i="10"/>
  <c r="M307" i="10"/>
  <c r="H24" i="10"/>
  <c r="M67" i="10"/>
  <c r="M68" i="10"/>
  <c r="L68" i="10"/>
  <c r="L69" i="10"/>
  <c r="L1083" i="10" s="1"/>
  <c r="K69" i="10"/>
  <c r="G71" i="10"/>
  <c r="F71" i="10"/>
  <c r="H71" i="10" s="1"/>
  <c r="K74" i="10"/>
  <c r="M75" i="10"/>
  <c r="M76" i="10"/>
  <c r="L76" i="10"/>
  <c r="L77" i="10"/>
  <c r="K77" i="10"/>
  <c r="G79" i="10"/>
  <c r="F79" i="10"/>
  <c r="H79" i="10" s="1"/>
  <c r="K82" i="10"/>
  <c r="M84" i="10"/>
  <c r="L84" i="10"/>
  <c r="L85" i="10"/>
  <c r="K85" i="10"/>
  <c r="G87" i="10"/>
  <c r="F87" i="10"/>
  <c r="H87" i="10" s="1"/>
  <c r="F90" i="10"/>
  <c r="H90" i="10" s="1"/>
  <c r="G90" i="10"/>
  <c r="L91" i="10"/>
  <c r="K91" i="10"/>
  <c r="M91" i="10"/>
  <c r="M96" i="10"/>
  <c r="L96" i="10"/>
  <c r="K96" i="10"/>
  <c r="F98" i="10"/>
  <c r="H98" i="10" s="1"/>
  <c r="G98" i="10"/>
  <c r="L99" i="10"/>
  <c r="K99" i="10"/>
  <c r="M99" i="10"/>
  <c r="M104" i="10"/>
  <c r="L104" i="10"/>
  <c r="K104" i="10"/>
  <c r="F106" i="10"/>
  <c r="H106" i="10" s="1"/>
  <c r="G106" i="10"/>
  <c r="L107" i="10"/>
  <c r="K107" i="10"/>
  <c r="M107" i="10"/>
  <c r="M112" i="10"/>
  <c r="L112" i="10"/>
  <c r="K112" i="10"/>
  <c r="F114" i="10"/>
  <c r="H114" i="10" s="1"/>
  <c r="G114" i="10"/>
  <c r="L115" i="10"/>
  <c r="K115" i="10"/>
  <c r="M115" i="10"/>
  <c r="M120" i="10"/>
  <c r="L120" i="10"/>
  <c r="K120" i="10"/>
  <c r="F122" i="10"/>
  <c r="H122" i="10" s="1"/>
  <c r="G122" i="10"/>
  <c r="L123" i="10"/>
  <c r="K123" i="10"/>
  <c r="M123" i="10"/>
  <c r="M128" i="10"/>
  <c r="L128" i="10"/>
  <c r="K128" i="10"/>
  <c r="F130" i="10"/>
  <c r="H130" i="10" s="1"/>
  <c r="G130" i="10"/>
  <c r="L131" i="10"/>
  <c r="K131" i="10"/>
  <c r="M131" i="10"/>
  <c r="M136" i="10"/>
  <c r="L136" i="10"/>
  <c r="K136" i="10"/>
  <c r="F138" i="10"/>
  <c r="H138" i="10" s="1"/>
  <c r="G138" i="10"/>
  <c r="L139" i="10"/>
  <c r="K139" i="10"/>
  <c r="M139" i="10"/>
  <c r="M144" i="10"/>
  <c r="L144" i="10"/>
  <c r="K144" i="10"/>
  <c r="F146" i="10"/>
  <c r="H146" i="10" s="1"/>
  <c r="G146" i="10"/>
  <c r="L147" i="10"/>
  <c r="K147" i="10"/>
  <c r="M147" i="10"/>
  <c r="M152" i="10"/>
  <c r="L152" i="10"/>
  <c r="K152" i="10"/>
  <c r="F154" i="10"/>
  <c r="H154" i="10" s="1"/>
  <c r="G154" i="10"/>
  <c r="L155" i="10"/>
  <c r="K155" i="10"/>
  <c r="M155" i="10"/>
  <c r="M160" i="10"/>
  <c r="L160" i="10"/>
  <c r="K160" i="10"/>
  <c r="F162" i="10"/>
  <c r="H162" i="10" s="1"/>
  <c r="G162" i="10"/>
  <c r="L163" i="10"/>
  <c r="K163" i="10"/>
  <c r="M163" i="10"/>
  <c r="M168" i="10"/>
  <c r="L168" i="10"/>
  <c r="K168" i="10"/>
  <c r="F170" i="10"/>
  <c r="H170" i="10" s="1"/>
  <c r="G170" i="10"/>
  <c r="L171" i="10"/>
  <c r="K171" i="10"/>
  <c r="M171" i="10"/>
  <c r="M176" i="10"/>
  <c r="L176" i="10"/>
  <c r="K176" i="10"/>
  <c r="F178" i="10"/>
  <c r="H178" i="10" s="1"/>
  <c r="G178" i="10"/>
  <c r="L179" i="10"/>
  <c r="K179" i="10"/>
  <c r="M179" i="10"/>
  <c r="M184" i="10"/>
  <c r="L184" i="10"/>
  <c r="K184" i="10"/>
  <c r="F186" i="10"/>
  <c r="H186" i="10" s="1"/>
  <c r="G186" i="10"/>
  <c r="L187" i="10"/>
  <c r="K187" i="10"/>
  <c r="M187" i="10"/>
  <c r="M192" i="10"/>
  <c r="L192" i="10"/>
  <c r="K192" i="10"/>
  <c r="F194" i="10"/>
  <c r="H194" i="10" s="1"/>
  <c r="G194" i="10"/>
  <c r="L195" i="10"/>
  <c r="K195" i="10"/>
  <c r="M195" i="10"/>
  <c r="F198" i="10"/>
  <c r="H198" i="10" s="1"/>
  <c r="G198" i="10"/>
  <c r="M200" i="10"/>
  <c r="L200" i="10"/>
  <c r="K200" i="10"/>
  <c r="F206" i="10"/>
  <c r="H206" i="10" s="1"/>
  <c r="G206" i="10"/>
  <c r="M208" i="10"/>
  <c r="L208" i="10"/>
  <c r="K208" i="10"/>
  <c r="F214" i="10"/>
  <c r="H214" i="10" s="1"/>
  <c r="G214" i="10"/>
  <c r="M216" i="10"/>
  <c r="L216" i="10"/>
  <c r="K216" i="10"/>
  <c r="F222" i="10"/>
  <c r="H222" i="10" s="1"/>
  <c r="G222" i="10"/>
  <c r="M224" i="10"/>
  <c r="L224" i="10"/>
  <c r="K224" i="10"/>
  <c r="F230" i="10"/>
  <c r="H230" i="10" s="1"/>
  <c r="G230" i="10"/>
  <c r="M232" i="10"/>
  <c r="L232" i="10"/>
  <c r="K232" i="10"/>
  <c r="F238" i="10"/>
  <c r="H238" i="10" s="1"/>
  <c r="G238" i="10"/>
  <c r="M240" i="10"/>
  <c r="L240" i="10"/>
  <c r="K240" i="10"/>
  <c r="F246" i="10"/>
  <c r="H246" i="10" s="1"/>
  <c r="G246" i="10"/>
  <c r="M248" i="10"/>
  <c r="L248" i="10"/>
  <c r="K248" i="10"/>
  <c r="F254" i="10"/>
  <c r="H254" i="10" s="1"/>
  <c r="G254" i="10"/>
  <c r="M256" i="10"/>
  <c r="L256" i="10"/>
  <c r="K256" i="10"/>
  <c r="F262" i="10"/>
  <c r="H262" i="10" s="1"/>
  <c r="G262" i="10"/>
  <c r="M264" i="10"/>
  <c r="L264" i="10"/>
  <c r="K264" i="10"/>
  <c r="F270" i="10"/>
  <c r="H270" i="10" s="1"/>
  <c r="G270" i="10"/>
  <c r="M272" i="10"/>
  <c r="L272" i="10"/>
  <c r="K272" i="10"/>
  <c r="F278" i="10"/>
  <c r="H278" i="10" s="1"/>
  <c r="G278" i="10"/>
  <c r="F300" i="10"/>
  <c r="H300" i="10" s="1"/>
  <c r="G300" i="10"/>
  <c r="L305" i="10"/>
  <c r="K305" i="10"/>
  <c r="M305" i="10"/>
  <c r="G308" i="10"/>
  <c r="F308" i="10"/>
  <c r="H308" i="10" s="1"/>
  <c r="G24" i="10"/>
  <c r="M54" i="10"/>
  <c r="K59" i="10"/>
  <c r="G60" i="10"/>
  <c r="K61" i="10"/>
  <c r="G62" i="10"/>
  <c r="K63" i="10"/>
  <c r="G64" i="10"/>
  <c r="K65" i="10"/>
  <c r="G66" i="10"/>
  <c r="K68" i="10"/>
  <c r="M69" i="10"/>
  <c r="M70" i="10"/>
  <c r="L70" i="10"/>
  <c r="L71" i="10"/>
  <c r="K71" i="10"/>
  <c r="G73" i="10"/>
  <c r="F73" i="10"/>
  <c r="H73" i="10" s="1"/>
  <c r="K76" i="10"/>
  <c r="M77" i="10"/>
  <c r="M78" i="10"/>
  <c r="L78" i="10"/>
  <c r="L79" i="10"/>
  <c r="K79" i="10"/>
  <c r="G81" i="10"/>
  <c r="F81" i="10"/>
  <c r="H81" i="10" s="1"/>
  <c r="K84" i="10"/>
  <c r="M85" i="10"/>
  <c r="M86" i="10"/>
  <c r="L86" i="10"/>
  <c r="L87" i="10"/>
  <c r="K87" i="10"/>
  <c r="G89" i="10"/>
  <c r="F89" i="10"/>
  <c r="H89" i="10" s="1"/>
  <c r="M90" i="10"/>
  <c r="L90" i="10"/>
  <c r="K90" i="10"/>
  <c r="F92" i="10"/>
  <c r="H92" i="10" s="1"/>
  <c r="G92" i="10"/>
  <c r="L93" i="10"/>
  <c r="K93" i="10"/>
  <c r="M93" i="10"/>
  <c r="M98" i="10"/>
  <c r="L98" i="10"/>
  <c r="K98" i="10"/>
  <c r="F100" i="10"/>
  <c r="H100" i="10" s="1"/>
  <c r="G100" i="10"/>
  <c r="L101" i="10"/>
  <c r="K101" i="10"/>
  <c r="M101" i="10"/>
  <c r="M106" i="10"/>
  <c r="L106" i="10"/>
  <c r="K106" i="10"/>
  <c r="F108" i="10"/>
  <c r="H108" i="10" s="1"/>
  <c r="G108" i="10"/>
  <c r="L109" i="10"/>
  <c r="K109" i="10"/>
  <c r="M109" i="10"/>
  <c r="M114" i="10"/>
  <c r="L114" i="10"/>
  <c r="K114" i="10"/>
  <c r="F116" i="10"/>
  <c r="H116" i="10" s="1"/>
  <c r="G116" i="10"/>
  <c r="L117" i="10"/>
  <c r="K117" i="10"/>
  <c r="M117" i="10"/>
  <c r="M122" i="10"/>
  <c r="L122" i="10"/>
  <c r="K122" i="10"/>
  <c r="F124" i="10"/>
  <c r="H124" i="10" s="1"/>
  <c r="G124" i="10"/>
  <c r="L125" i="10"/>
  <c r="K125" i="10"/>
  <c r="M125" i="10"/>
  <c r="M130" i="10"/>
  <c r="L130" i="10"/>
  <c r="K130" i="10"/>
  <c r="F132" i="10"/>
  <c r="H132" i="10" s="1"/>
  <c r="G132" i="10"/>
  <c r="L133" i="10"/>
  <c r="K133" i="10"/>
  <c r="M133" i="10"/>
  <c r="M138" i="10"/>
  <c r="L138" i="10"/>
  <c r="K138" i="10"/>
  <c r="F140" i="10"/>
  <c r="H140" i="10" s="1"/>
  <c r="G140" i="10"/>
  <c r="L141" i="10"/>
  <c r="K141" i="10"/>
  <c r="M141" i="10"/>
  <c r="M146" i="10"/>
  <c r="L146" i="10"/>
  <c r="K146" i="10"/>
  <c r="F148" i="10"/>
  <c r="H148" i="10" s="1"/>
  <c r="G148" i="10"/>
  <c r="L149" i="10"/>
  <c r="K149" i="10"/>
  <c r="M149" i="10"/>
  <c r="M154" i="10"/>
  <c r="L154" i="10"/>
  <c r="K154" i="10"/>
  <c r="F156" i="10"/>
  <c r="H156" i="10" s="1"/>
  <c r="G156" i="10"/>
  <c r="L157" i="10"/>
  <c r="K157" i="10"/>
  <c r="M157" i="10"/>
  <c r="M162" i="10"/>
  <c r="L162" i="10"/>
  <c r="K162" i="10"/>
  <c r="F164" i="10"/>
  <c r="H164" i="10" s="1"/>
  <c r="G164" i="10"/>
  <c r="L165" i="10"/>
  <c r="K165" i="10"/>
  <c r="M165" i="10"/>
  <c r="M170" i="10"/>
  <c r="L170" i="10"/>
  <c r="K170" i="10"/>
  <c r="F172" i="10"/>
  <c r="H172" i="10" s="1"/>
  <c r="G172" i="10"/>
  <c r="L173" i="10"/>
  <c r="K173" i="10"/>
  <c r="M173" i="10"/>
  <c r="M178" i="10"/>
  <c r="L178" i="10"/>
  <c r="K178" i="10"/>
  <c r="F180" i="10"/>
  <c r="H180" i="10" s="1"/>
  <c r="G180" i="10"/>
  <c r="L181" i="10"/>
  <c r="K181" i="10"/>
  <c r="M181" i="10"/>
  <c r="M186" i="10"/>
  <c r="L186" i="10"/>
  <c r="K186" i="10"/>
  <c r="F188" i="10"/>
  <c r="H188" i="10" s="1"/>
  <c r="G188" i="10"/>
  <c r="L189" i="10"/>
  <c r="K189" i="10"/>
  <c r="M189" i="10"/>
  <c r="M194" i="10"/>
  <c r="L194" i="10"/>
  <c r="K194" i="10"/>
  <c r="F196" i="10"/>
  <c r="H196" i="10" s="1"/>
  <c r="G196" i="10"/>
  <c r="M198" i="10"/>
  <c r="L198" i="10"/>
  <c r="K198" i="10"/>
  <c r="F204" i="10"/>
  <c r="H204" i="10" s="1"/>
  <c r="G204" i="10"/>
  <c r="M206" i="10"/>
  <c r="L206" i="10"/>
  <c r="K206" i="10"/>
  <c r="F212" i="10"/>
  <c r="H212" i="10" s="1"/>
  <c r="G212" i="10"/>
  <c r="M214" i="10"/>
  <c r="L214" i="10"/>
  <c r="K214" i="10"/>
  <c r="F220" i="10"/>
  <c r="H220" i="10" s="1"/>
  <c r="G220" i="10"/>
  <c r="M222" i="10"/>
  <c r="L222" i="10"/>
  <c r="K222" i="10"/>
  <c r="F228" i="10"/>
  <c r="H228" i="10" s="1"/>
  <c r="G228" i="10"/>
  <c r="M230" i="10"/>
  <c r="L230" i="10"/>
  <c r="K230" i="10"/>
  <c r="F236" i="10"/>
  <c r="H236" i="10" s="1"/>
  <c r="G236" i="10"/>
  <c r="M238" i="10"/>
  <c r="L238" i="10"/>
  <c r="K238" i="10"/>
  <c r="F244" i="10"/>
  <c r="H244" i="10" s="1"/>
  <c r="G244" i="10"/>
  <c r="M246" i="10"/>
  <c r="L246" i="10"/>
  <c r="K246" i="10"/>
  <c r="F252" i="10"/>
  <c r="H252" i="10" s="1"/>
  <c r="G252" i="10"/>
  <c r="M254" i="10"/>
  <c r="L254" i="10"/>
  <c r="K254" i="10"/>
  <c r="F260" i="10"/>
  <c r="H260" i="10" s="1"/>
  <c r="G260" i="10"/>
  <c r="M262" i="10"/>
  <c r="L262" i="10"/>
  <c r="K262" i="10"/>
  <c r="F268" i="10"/>
  <c r="H268" i="10" s="1"/>
  <c r="G268" i="10"/>
  <c r="M270" i="10"/>
  <c r="L270" i="10"/>
  <c r="K270" i="10"/>
  <c r="F276" i="10"/>
  <c r="H276" i="10" s="1"/>
  <c r="G276" i="10"/>
  <c r="M278" i="10"/>
  <c r="L278" i="10"/>
  <c r="K278" i="10"/>
  <c r="F282" i="10"/>
  <c r="H282" i="10" s="1"/>
  <c r="G282" i="10"/>
  <c r="F286" i="10"/>
  <c r="H286" i="10" s="1"/>
  <c r="G286" i="10"/>
  <c r="F290" i="10"/>
  <c r="H290" i="10" s="1"/>
  <c r="G290" i="10"/>
  <c r="F294" i="10"/>
  <c r="H294" i="10" s="1"/>
  <c r="G294" i="10"/>
  <c r="F298" i="10"/>
  <c r="H298" i="10" s="1"/>
  <c r="G298" i="10"/>
  <c r="L303" i="10"/>
  <c r="K303" i="10"/>
  <c r="M303" i="10"/>
  <c r="F306" i="10"/>
  <c r="H306" i="10" s="1"/>
  <c r="G306" i="10"/>
  <c r="M197" i="10"/>
  <c r="M199" i="10"/>
  <c r="M201" i="10"/>
  <c r="M203" i="10"/>
  <c r="M205" i="10"/>
  <c r="M207" i="10"/>
  <c r="M209" i="10"/>
  <c r="M211" i="10"/>
  <c r="M213" i="10"/>
  <c r="M215" i="10"/>
  <c r="M217" i="10"/>
  <c r="M219" i="10"/>
  <c r="M221" i="10"/>
  <c r="M223" i="10"/>
  <c r="M225" i="10"/>
  <c r="M227" i="10"/>
  <c r="M229" i="10"/>
  <c r="M231" i="10"/>
  <c r="M233" i="10"/>
  <c r="M235" i="10"/>
  <c r="M237" i="10"/>
  <c r="M239" i="10"/>
  <c r="M241" i="10"/>
  <c r="M243" i="10"/>
  <c r="M245" i="10"/>
  <c r="M247" i="10"/>
  <c r="M249" i="10"/>
  <c r="M251" i="10"/>
  <c r="M253" i="10"/>
  <c r="M255" i="10"/>
  <c r="M257" i="10"/>
  <c r="M259" i="10"/>
  <c r="M261" i="10"/>
  <c r="M263" i="10"/>
  <c r="M265" i="10"/>
  <c r="M267" i="10"/>
  <c r="M269" i="10"/>
  <c r="M271" i="10"/>
  <c r="M273" i="10"/>
  <c r="M275" i="10"/>
  <c r="M277" i="10"/>
  <c r="M279" i="10"/>
  <c r="M281" i="10"/>
  <c r="M283" i="10"/>
  <c r="M285" i="10"/>
  <c r="M287" i="10"/>
  <c r="M289" i="10"/>
  <c r="M291" i="10"/>
  <c r="M293" i="10"/>
  <c r="M295" i="10"/>
  <c r="M297" i="10"/>
  <c r="M298" i="10"/>
  <c r="M300" i="10"/>
  <c r="M302" i="10"/>
  <c r="M304" i="10"/>
  <c r="M306" i="10"/>
  <c r="K308" i="10"/>
  <c r="M308" i="10"/>
  <c r="G312" i="10"/>
  <c r="F312" i="10"/>
  <c r="H312" i="10" s="1"/>
  <c r="M313" i="10"/>
  <c r="L313" i="10"/>
  <c r="K313" i="10"/>
  <c r="K316" i="10"/>
  <c r="M316" i="10"/>
  <c r="G320" i="10"/>
  <c r="F320" i="10"/>
  <c r="H320" i="10" s="1"/>
  <c r="M321" i="10"/>
  <c r="L321" i="10"/>
  <c r="K321" i="10"/>
  <c r="K324" i="10"/>
  <c r="M324" i="10"/>
  <c r="M327" i="10"/>
  <c r="L327" i="10"/>
  <c r="K327" i="10"/>
  <c r="M329" i="10"/>
  <c r="L329" i="10"/>
  <c r="K329" i="10"/>
  <c r="M331" i="10"/>
  <c r="L331" i="10"/>
  <c r="K331" i="10"/>
  <c r="M333" i="10"/>
  <c r="L333" i="10"/>
  <c r="K333" i="10"/>
  <c r="M335" i="10"/>
  <c r="L335" i="10"/>
  <c r="K335" i="10"/>
  <c r="G342" i="10"/>
  <c r="F342" i="10"/>
  <c r="H342" i="10" s="1"/>
  <c r="M343" i="10"/>
  <c r="L343" i="10"/>
  <c r="K343" i="10"/>
  <c r="G350" i="10"/>
  <c r="F350" i="10"/>
  <c r="H350" i="10" s="1"/>
  <c r="M351" i="10"/>
  <c r="L351" i="10"/>
  <c r="K351" i="10"/>
  <c r="G358" i="10"/>
  <c r="F358" i="10"/>
  <c r="H358" i="10" s="1"/>
  <c r="M359" i="10"/>
  <c r="L359" i="10"/>
  <c r="K359" i="10"/>
  <c r="G366" i="10"/>
  <c r="F366" i="10"/>
  <c r="H366" i="10" s="1"/>
  <c r="M367" i="10"/>
  <c r="L367" i="10"/>
  <c r="K367" i="10"/>
  <c r="G374" i="10"/>
  <c r="F374" i="10"/>
  <c r="H374" i="10" s="1"/>
  <c r="F375" i="10"/>
  <c r="H375" i="10" s="1"/>
  <c r="G375" i="10"/>
  <c r="G382" i="10"/>
  <c r="F382" i="10"/>
  <c r="H382" i="10" s="1"/>
  <c r="F383" i="10"/>
  <c r="H383" i="10" s="1"/>
  <c r="G383" i="10"/>
  <c r="G390" i="10"/>
  <c r="F390" i="10"/>
  <c r="H390" i="10" s="1"/>
  <c r="F391" i="10"/>
  <c r="H391" i="10" s="1"/>
  <c r="G391" i="10"/>
  <c r="G398" i="10"/>
  <c r="F398" i="10"/>
  <c r="H398" i="10" s="1"/>
  <c r="F399" i="10"/>
  <c r="H399" i="10" s="1"/>
  <c r="G399" i="10"/>
  <c r="G406" i="10"/>
  <c r="F406" i="10"/>
  <c r="H406" i="10" s="1"/>
  <c r="F407" i="10"/>
  <c r="H407" i="10" s="1"/>
  <c r="G407" i="10"/>
  <c r="G414" i="10"/>
  <c r="F414" i="10"/>
  <c r="H414" i="10" s="1"/>
  <c r="F415" i="10"/>
  <c r="H415" i="10" s="1"/>
  <c r="G415" i="10"/>
  <c r="G422" i="10"/>
  <c r="F422" i="10"/>
  <c r="H422" i="10" s="1"/>
  <c r="F423" i="10"/>
  <c r="H423" i="10" s="1"/>
  <c r="G423" i="10"/>
  <c r="L425" i="10"/>
  <c r="M425" i="10"/>
  <c r="K425" i="10"/>
  <c r="L429" i="10"/>
  <c r="M429" i="10"/>
  <c r="K429" i="10"/>
  <c r="L433" i="10"/>
  <c r="M433" i="10"/>
  <c r="K433" i="10"/>
  <c r="L437" i="10"/>
  <c r="M437" i="10"/>
  <c r="K437" i="10"/>
  <c r="L441" i="10"/>
  <c r="M441" i="10"/>
  <c r="K441" i="10"/>
  <c r="L445" i="10"/>
  <c r="M445" i="10"/>
  <c r="K445" i="10"/>
  <c r="L449" i="10"/>
  <c r="M449" i="10"/>
  <c r="K449" i="10"/>
  <c r="L453" i="10"/>
  <c r="M453" i="10"/>
  <c r="K453" i="10"/>
  <c r="L457" i="10"/>
  <c r="M457" i="10"/>
  <c r="K457" i="10"/>
  <c r="F460" i="10"/>
  <c r="H460" i="10" s="1"/>
  <c r="G460" i="10"/>
  <c r="F91" i="10"/>
  <c r="H91" i="10" s="1"/>
  <c r="F93" i="10"/>
  <c r="H93" i="10" s="1"/>
  <c r="F95" i="10"/>
  <c r="H95" i="10" s="1"/>
  <c r="F97" i="10"/>
  <c r="H97" i="10" s="1"/>
  <c r="F99" i="10"/>
  <c r="H99" i="10" s="1"/>
  <c r="F101" i="10"/>
  <c r="H101" i="10" s="1"/>
  <c r="F103" i="10"/>
  <c r="H103" i="10" s="1"/>
  <c r="F105" i="10"/>
  <c r="H105" i="10" s="1"/>
  <c r="F107" i="10"/>
  <c r="H107" i="10" s="1"/>
  <c r="F109" i="10"/>
  <c r="H109" i="10" s="1"/>
  <c r="F111" i="10"/>
  <c r="H111" i="10" s="1"/>
  <c r="F113" i="10"/>
  <c r="H113" i="10" s="1"/>
  <c r="F115" i="10"/>
  <c r="H115" i="10" s="1"/>
  <c r="F117" i="10"/>
  <c r="H117" i="10" s="1"/>
  <c r="F119" i="10"/>
  <c r="H119" i="10" s="1"/>
  <c r="F121" i="10"/>
  <c r="H121" i="10" s="1"/>
  <c r="F123" i="10"/>
  <c r="H123" i="10" s="1"/>
  <c r="F125" i="10"/>
  <c r="H125" i="10" s="1"/>
  <c r="F127" i="10"/>
  <c r="H127" i="10" s="1"/>
  <c r="F129" i="10"/>
  <c r="H129" i="10" s="1"/>
  <c r="F131" i="10"/>
  <c r="H131" i="10" s="1"/>
  <c r="F133" i="10"/>
  <c r="H133" i="10" s="1"/>
  <c r="F135" i="10"/>
  <c r="H135" i="10" s="1"/>
  <c r="F137" i="10"/>
  <c r="H137" i="10" s="1"/>
  <c r="F139" i="10"/>
  <c r="H139" i="10" s="1"/>
  <c r="F141" i="10"/>
  <c r="H141" i="10" s="1"/>
  <c r="F143" i="10"/>
  <c r="H143" i="10" s="1"/>
  <c r="F145" i="10"/>
  <c r="H145" i="10" s="1"/>
  <c r="F147" i="10"/>
  <c r="H147" i="10" s="1"/>
  <c r="F149" i="10"/>
  <c r="H149" i="10" s="1"/>
  <c r="F151" i="10"/>
  <c r="H151" i="10" s="1"/>
  <c r="F153" i="10"/>
  <c r="H153" i="10" s="1"/>
  <c r="F155" i="10"/>
  <c r="H155" i="10" s="1"/>
  <c r="F157" i="10"/>
  <c r="H157" i="10" s="1"/>
  <c r="F159" i="10"/>
  <c r="H159" i="10" s="1"/>
  <c r="F161" i="10"/>
  <c r="H161" i="10" s="1"/>
  <c r="F163" i="10"/>
  <c r="H163" i="10" s="1"/>
  <c r="F165" i="10"/>
  <c r="H165" i="10" s="1"/>
  <c r="F167" i="10"/>
  <c r="H167" i="10" s="1"/>
  <c r="F169" i="10"/>
  <c r="H169" i="10" s="1"/>
  <c r="F171" i="10"/>
  <c r="H171" i="10" s="1"/>
  <c r="F173" i="10"/>
  <c r="H173" i="10" s="1"/>
  <c r="F175" i="10"/>
  <c r="H175" i="10" s="1"/>
  <c r="F177" i="10"/>
  <c r="H177" i="10" s="1"/>
  <c r="F179" i="10"/>
  <c r="H179" i="10" s="1"/>
  <c r="F181" i="10"/>
  <c r="H181" i="10" s="1"/>
  <c r="F183" i="10"/>
  <c r="H183" i="10" s="1"/>
  <c r="F185" i="10"/>
  <c r="H185" i="10" s="1"/>
  <c r="F187" i="10"/>
  <c r="H187" i="10" s="1"/>
  <c r="F189" i="10"/>
  <c r="H189" i="10" s="1"/>
  <c r="F191" i="10"/>
  <c r="H191" i="10" s="1"/>
  <c r="F193" i="10"/>
  <c r="H193" i="10" s="1"/>
  <c r="F195" i="10"/>
  <c r="H195" i="10" s="1"/>
  <c r="K310" i="10"/>
  <c r="M310" i="10"/>
  <c r="G314" i="10"/>
  <c r="F314" i="10"/>
  <c r="H314" i="10" s="1"/>
  <c r="M315" i="10"/>
  <c r="L315" i="10"/>
  <c r="K315" i="10"/>
  <c r="K318" i="10"/>
  <c r="M318" i="10"/>
  <c r="G322" i="10"/>
  <c r="F322" i="10"/>
  <c r="H322" i="10" s="1"/>
  <c r="M323" i="10"/>
  <c r="L323" i="10"/>
  <c r="K323" i="10"/>
  <c r="K326" i="10"/>
  <c r="M326" i="10"/>
  <c r="G328" i="10"/>
  <c r="F328" i="10"/>
  <c r="H328" i="10" s="1"/>
  <c r="G330" i="10"/>
  <c r="F330" i="10"/>
  <c r="H330" i="10" s="1"/>
  <c r="G332" i="10"/>
  <c r="F332" i="10"/>
  <c r="H332" i="10" s="1"/>
  <c r="G334" i="10"/>
  <c r="F334" i="10"/>
  <c r="H334" i="10" s="1"/>
  <c r="G336" i="10"/>
  <c r="F336" i="10"/>
  <c r="H336" i="10" s="1"/>
  <c r="M337" i="10"/>
  <c r="L337" i="10"/>
  <c r="K337" i="10"/>
  <c r="G344" i="10"/>
  <c r="F344" i="10"/>
  <c r="H344" i="10" s="1"/>
  <c r="M345" i="10"/>
  <c r="L345" i="10"/>
  <c r="K345" i="10"/>
  <c r="G352" i="10"/>
  <c r="F352" i="10"/>
  <c r="H352" i="10" s="1"/>
  <c r="M353" i="10"/>
  <c r="L353" i="10"/>
  <c r="K353" i="10"/>
  <c r="G360" i="10"/>
  <c r="F360" i="10"/>
  <c r="H360" i="10" s="1"/>
  <c r="M361" i="10"/>
  <c r="L361" i="10"/>
  <c r="K361" i="10"/>
  <c r="F365" i="10"/>
  <c r="H365" i="10" s="1"/>
  <c r="G368" i="10"/>
  <c r="F368" i="10"/>
  <c r="H368" i="10" s="1"/>
  <c r="M369" i="10"/>
  <c r="L369" i="10"/>
  <c r="K369" i="10"/>
  <c r="F373" i="10"/>
  <c r="H373" i="10" s="1"/>
  <c r="G380" i="10"/>
  <c r="F380" i="10"/>
  <c r="H380" i="10" s="1"/>
  <c r="F381" i="10"/>
  <c r="H381" i="10" s="1"/>
  <c r="G381" i="10"/>
  <c r="G388" i="10"/>
  <c r="F388" i="10"/>
  <c r="H388" i="10" s="1"/>
  <c r="F389" i="10"/>
  <c r="H389" i="10" s="1"/>
  <c r="G389" i="10"/>
  <c r="G396" i="10"/>
  <c r="F396" i="10"/>
  <c r="H396" i="10" s="1"/>
  <c r="F397" i="10"/>
  <c r="H397" i="10" s="1"/>
  <c r="G397" i="10"/>
  <c r="G404" i="10"/>
  <c r="F404" i="10"/>
  <c r="H404" i="10" s="1"/>
  <c r="F405" i="10"/>
  <c r="H405" i="10" s="1"/>
  <c r="G405" i="10"/>
  <c r="G412" i="10"/>
  <c r="F412" i="10"/>
  <c r="H412" i="10" s="1"/>
  <c r="F413" i="10"/>
  <c r="H413" i="10" s="1"/>
  <c r="G413" i="10"/>
  <c r="G420" i="10"/>
  <c r="F420" i="10"/>
  <c r="H420" i="10" s="1"/>
  <c r="F421" i="10"/>
  <c r="H421" i="10" s="1"/>
  <c r="G421" i="10"/>
  <c r="F426" i="10"/>
  <c r="H426" i="10" s="1"/>
  <c r="G426" i="10"/>
  <c r="F430" i="10"/>
  <c r="H430" i="10" s="1"/>
  <c r="G430" i="10"/>
  <c r="F434" i="10"/>
  <c r="H434" i="10" s="1"/>
  <c r="G434" i="10"/>
  <c r="F438" i="10"/>
  <c r="H438" i="10" s="1"/>
  <c r="G438" i="10"/>
  <c r="F442" i="10"/>
  <c r="H442" i="10" s="1"/>
  <c r="G442" i="10"/>
  <c r="F446" i="10"/>
  <c r="H446" i="10" s="1"/>
  <c r="G446" i="10"/>
  <c r="F450" i="10"/>
  <c r="H450" i="10" s="1"/>
  <c r="G450" i="10"/>
  <c r="F454" i="10"/>
  <c r="H454" i="10" s="1"/>
  <c r="G454" i="10"/>
  <c r="F458" i="10"/>
  <c r="H458" i="10" s="1"/>
  <c r="G458" i="10"/>
  <c r="G466" i="10"/>
  <c r="F466" i="10"/>
  <c r="H466" i="10" s="1"/>
  <c r="G470" i="10"/>
  <c r="F470" i="10"/>
  <c r="H470" i="10" s="1"/>
  <c r="K197" i="10"/>
  <c r="K199" i="10"/>
  <c r="K201" i="10"/>
  <c r="K203" i="10"/>
  <c r="K205" i="10"/>
  <c r="K207" i="10"/>
  <c r="K209" i="10"/>
  <c r="K211" i="10"/>
  <c r="K213" i="10"/>
  <c r="K215" i="10"/>
  <c r="K217" i="10"/>
  <c r="K219" i="10"/>
  <c r="K221" i="10"/>
  <c r="K223" i="10"/>
  <c r="K225" i="10"/>
  <c r="K227" i="10"/>
  <c r="K229" i="10"/>
  <c r="K231" i="10"/>
  <c r="K233" i="10"/>
  <c r="K235" i="10"/>
  <c r="K237" i="10"/>
  <c r="K239" i="10"/>
  <c r="K241" i="10"/>
  <c r="K243" i="10"/>
  <c r="K245" i="10"/>
  <c r="K247" i="10"/>
  <c r="K249" i="10"/>
  <c r="K251" i="10"/>
  <c r="K253" i="10"/>
  <c r="K255" i="10"/>
  <c r="K257" i="10"/>
  <c r="K259" i="10"/>
  <c r="K261" i="10"/>
  <c r="K263" i="10"/>
  <c r="K265" i="10"/>
  <c r="K267" i="10"/>
  <c r="K269" i="10"/>
  <c r="K271" i="10"/>
  <c r="K273" i="10"/>
  <c r="K275" i="10"/>
  <c r="K277" i="10"/>
  <c r="K279" i="10"/>
  <c r="K281" i="10"/>
  <c r="K283" i="10"/>
  <c r="K285" i="10"/>
  <c r="K287" i="10"/>
  <c r="K289" i="10"/>
  <c r="K291" i="10"/>
  <c r="K293" i="10"/>
  <c r="K295" i="10"/>
  <c r="K297" i="10"/>
  <c r="K298" i="10"/>
  <c r="K300" i="10"/>
  <c r="K302" i="10"/>
  <c r="K304" i="10"/>
  <c r="K306" i="10"/>
  <c r="M309" i="10"/>
  <c r="L309" i="10"/>
  <c r="K309" i="10"/>
  <c r="L310" i="10"/>
  <c r="K312" i="10"/>
  <c r="M312" i="10"/>
  <c r="G316" i="10"/>
  <c r="F316" i="10"/>
  <c r="H316" i="10" s="1"/>
  <c r="M317" i="10"/>
  <c r="L317" i="10"/>
  <c r="K317" i="10"/>
  <c r="L318" i="10"/>
  <c r="K320" i="10"/>
  <c r="M320" i="10"/>
  <c r="G324" i="10"/>
  <c r="F324" i="10"/>
  <c r="H324" i="10" s="1"/>
  <c r="M325" i="10"/>
  <c r="L325" i="10"/>
  <c r="K325" i="10"/>
  <c r="L326" i="10"/>
  <c r="F329" i="10"/>
  <c r="H329" i="10" s="1"/>
  <c r="F331" i="10"/>
  <c r="H331" i="10" s="1"/>
  <c r="F333" i="10"/>
  <c r="H333" i="10" s="1"/>
  <c r="F335" i="10"/>
  <c r="H335" i="10" s="1"/>
  <c r="G338" i="10"/>
  <c r="F338" i="10"/>
  <c r="H338" i="10" s="1"/>
  <c r="M339" i="10"/>
  <c r="L339" i="10"/>
  <c r="K339" i="10"/>
  <c r="F343" i="10"/>
  <c r="H343" i="10" s="1"/>
  <c r="G346" i="10"/>
  <c r="F346" i="10"/>
  <c r="H346" i="10" s="1"/>
  <c r="M347" i="10"/>
  <c r="L347" i="10"/>
  <c r="K347" i="10"/>
  <c r="F351" i="10"/>
  <c r="H351" i="10" s="1"/>
  <c r="G354" i="10"/>
  <c r="F354" i="10"/>
  <c r="H354" i="10" s="1"/>
  <c r="M355" i="10"/>
  <c r="L355" i="10"/>
  <c r="K355" i="10"/>
  <c r="F359" i="10"/>
  <c r="H359" i="10" s="1"/>
  <c r="G362" i="10"/>
  <c r="F362" i="10"/>
  <c r="H362" i="10" s="1"/>
  <c r="M363" i="10"/>
  <c r="L363" i="10"/>
  <c r="K363" i="10"/>
  <c r="F367" i="10"/>
  <c r="H367" i="10" s="1"/>
  <c r="G370" i="10"/>
  <c r="F370" i="10"/>
  <c r="H370" i="10" s="1"/>
  <c r="M371" i="10"/>
  <c r="L371" i="10"/>
  <c r="K371" i="10"/>
  <c r="G378" i="10"/>
  <c r="F378" i="10"/>
  <c r="H378" i="10" s="1"/>
  <c r="F379" i="10"/>
  <c r="H379" i="10" s="1"/>
  <c r="G379" i="10"/>
  <c r="G386" i="10"/>
  <c r="F386" i="10"/>
  <c r="H386" i="10" s="1"/>
  <c r="F387" i="10"/>
  <c r="H387" i="10" s="1"/>
  <c r="G387" i="10"/>
  <c r="G394" i="10"/>
  <c r="F394" i="10"/>
  <c r="H394" i="10" s="1"/>
  <c r="F395" i="10"/>
  <c r="H395" i="10" s="1"/>
  <c r="G395" i="10"/>
  <c r="G402" i="10"/>
  <c r="F402" i="10"/>
  <c r="H402" i="10" s="1"/>
  <c r="F403" i="10"/>
  <c r="H403" i="10" s="1"/>
  <c r="G403" i="10"/>
  <c r="G410" i="10"/>
  <c r="F410" i="10"/>
  <c r="H410" i="10" s="1"/>
  <c r="F411" i="10"/>
  <c r="H411" i="10" s="1"/>
  <c r="G411" i="10"/>
  <c r="G418" i="10"/>
  <c r="F418" i="10"/>
  <c r="H418" i="10" s="1"/>
  <c r="F419" i="10"/>
  <c r="H419" i="10" s="1"/>
  <c r="G419" i="10"/>
  <c r="L427" i="10"/>
  <c r="M427" i="10"/>
  <c r="K427" i="10"/>
  <c r="L431" i="10"/>
  <c r="M431" i="10"/>
  <c r="K431" i="10"/>
  <c r="L435" i="10"/>
  <c r="M435" i="10"/>
  <c r="K435" i="10"/>
  <c r="L439" i="10"/>
  <c r="M439" i="10"/>
  <c r="K439" i="10"/>
  <c r="L443" i="10"/>
  <c r="M443" i="10"/>
  <c r="K443" i="10"/>
  <c r="L447" i="10"/>
  <c r="M447" i="10"/>
  <c r="K447" i="10"/>
  <c r="L451" i="10"/>
  <c r="M451" i="10"/>
  <c r="K451" i="10"/>
  <c r="L455" i="10"/>
  <c r="M455" i="10"/>
  <c r="K455" i="10"/>
  <c r="L461" i="10"/>
  <c r="M461" i="10"/>
  <c r="K461" i="10"/>
  <c r="G310" i="10"/>
  <c r="F310" i="10"/>
  <c r="H310" i="10" s="1"/>
  <c r="M311" i="10"/>
  <c r="L311" i="10"/>
  <c r="K311" i="10"/>
  <c r="K314" i="10"/>
  <c r="M314" i="10"/>
  <c r="G318" i="10"/>
  <c r="F318" i="10"/>
  <c r="H318" i="10" s="1"/>
  <c r="M319" i="10"/>
  <c r="L319" i="10"/>
  <c r="K319" i="10"/>
  <c r="K322" i="10"/>
  <c r="M322" i="10"/>
  <c r="G326" i="10"/>
  <c r="F326" i="10"/>
  <c r="H326" i="10" s="1"/>
  <c r="K328" i="10"/>
  <c r="M328" i="10"/>
  <c r="K330" i="10"/>
  <c r="M330" i="10"/>
  <c r="K332" i="10"/>
  <c r="M332" i="10"/>
  <c r="K334" i="10"/>
  <c r="M334" i="10"/>
  <c r="G340" i="10"/>
  <c r="F340" i="10"/>
  <c r="H340" i="10" s="1"/>
  <c r="M341" i="10"/>
  <c r="L341" i="10"/>
  <c r="K341" i="10"/>
  <c r="G348" i="10"/>
  <c r="F348" i="10"/>
  <c r="H348" i="10" s="1"/>
  <c r="M349" i="10"/>
  <c r="L349" i="10"/>
  <c r="K349" i="10"/>
  <c r="G356" i="10"/>
  <c r="F356" i="10"/>
  <c r="H356" i="10" s="1"/>
  <c r="M357" i="10"/>
  <c r="L357" i="10"/>
  <c r="K357" i="10"/>
  <c r="F361" i="10"/>
  <c r="H361" i="10" s="1"/>
  <c r="G364" i="10"/>
  <c r="F364" i="10"/>
  <c r="H364" i="10" s="1"/>
  <c r="M365" i="10"/>
  <c r="L365" i="10"/>
  <c r="K365" i="10"/>
  <c r="F369" i="10"/>
  <c r="H369" i="10" s="1"/>
  <c r="G372" i="10"/>
  <c r="F372" i="10"/>
  <c r="H372" i="10" s="1"/>
  <c r="M373" i="10"/>
  <c r="L373" i="10"/>
  <c r="K373" i="10"/>
  <c r="G376" i="10"/>
  <c r="F376" i="10"/>
  <c r="H376" i="10" s="1"/>
  <c r="F377" i="10"/>
  <c r="H377" i="10" s="1"/>
  <c r="G377" i="10"/>
  <c r="G384" i="10"/>
  <c r="F384" i="10"/>
  <c r="H384" i="10" s="1"/>
  <c r="F385" i="10"/>
  <c r="H385" i="10" s="1"/>
  <c r="G385" i="10"/>
  <c r="G392" i="10"/>
  <c r="F392" i="10"/>
  <c r="H392" i="10" s="1"/>
  <c r="F393" i="10"/>
  <c r="H393" i="10" s="1"/>
  <c r="G393" i="10"/>
  <c r="G400" i="10"/>
  <c r="F400" i="10"/>
  <c r="H400" i="10" s="1"/>
  <c r="F401" i="10"/>
  <c r="H401" i="10" s="1"/>
  <c r="G401" i="10"/>
  <c r="G408" i="10"/>
  <c r="F408" i="10"/>
  <c r="H408" i="10" s="1"/>
  <c r="F409" i="10"/>
  <c r="H409" i="10" s="1"/>
  <c r="G409" i="10"/>
  <c r="G416" i="10"/>
  <c r="F416" i="10"/>
  <c r="H416" i="10" s="1"/>
  <c r="F417" i="10"/>
  <c r="H417" i="10" s="1"/>
  <c r="G417" i="10"/>
  <c r="F424" i="10"/>
  <c r="H424" i="10" s="1"/>
  <c r="G424" i="10"/>
  <c r="F428" i="10"/>
  <c r="H428" i="10" s="1"/>
  <c r="G428" i="10"/>
  <c r="F432" i="10"/>
  <c r="H432" i="10" s="1"/>
  <c r="G432" i="10"/>
  <c r="F436" i="10"/>
  <c r="H436" i="10" s="1"/>
  <c r="G436" i="10"/>
  <c r="F440" i="10"/>
  <c r="H440" i="10" s="1"/>
  <c r="G440" i="10"/>
  <c r="F444" i="10"/>
  <c r="H444" i="10" s="1"/>
  <c r="G444" i="10"/>
  <c r="F448" i="10"/>
  <c r="H448" i="10" s="1"/>
  <c r="G448" i="10"/>
  <c r="F452" i="10"/>
  <c r="H452" i="10" s="1"/>
  <c r="G452" i="10"/>
  <c r="F456" i="10"/>
  <c r="H456" i="10" s="1"/>
  <c r="G456" i="10"/>
  <c r="L459" i="10"/>
  <c r="M459" i="10"/>
  <c r="K459" i="10"/>
  <c r="F462" i="10"/>
  <c r="H462" i="10" s="1"/>
  <c r="G462" i="10"/>
  <c r="M336" i="10"/>
  <c r="M338" i="10"/>
  <c r="M340" i="10"/>
  <c r="M342" i="10"/>
  <c r="M344" i="10"/>
  <c r="M346" i="10"/>
  <c r="M348" i="10"/>
  <c r="M350" i="10"/>
  <c r="M352" i="10"/>
  <c r="M354" i="10"/>
  <c r="M356" i="10"/>
  <c r="M358" i="10"/>
  <c r="M360" i="10"/>
  <c r="M362" i="10"/>
  <c r="M364" i="10"/>
  <c r="M366" i="10"/>
  <c r="M368" i="10"/>
  <c r="M370" i="10"/>
  <c r="M372" i="10"/>
  <c r="M374" i="10"/>
  <c r="K375" i="10"/>
  <c r="M376" i="10"/>
  <c r="K377" i="10"/>
  <c r="M378" i="10"/>
  <c r="K379" i="10"/>
  <c r="M380" i="10"/>
  <c r="K381" i="10"/>
  <c r="M382" i="10"/>
  <c r="K383" i="10"/>
  <c r="M384" i="10"/>
  <c r="K385" i="10"/>
  <c r="M386" i="10"/>
  <c r="K387" i="10"/>
  <c r="M388" i="10"/>
  <c r="K389" i="10"/>
  <c r="M390" i="10"/>
  <c r="K391" i="10"/>
  <c r="M392" i="10"/>
  <c r="K393" i="10"/>
  <c r="M394" i="10"/>
  <c r="K395" i="10"/>
  <c r="M396" i="10"/>
  <c r="K397" i="10"/>
  <c r="M398" i="10"/>
  <c r="K399" i="10"/>
  <c r="M400" i="10"/>
  <c r="K401" i="10"/>
  <c r="M402" i="10"/>
  <c r="K403" i="10"/>
  <c r="M404" i="10"/>
  <c r="K405" i="10"/>
  <c r="M406" i="10"/>
  <c r="K407" i="10"/>
  <c r="M408" i="10"/>
  <c r="K409" i="10"/>
  <c r="M410" i="10"/>
  <c r="K411" i="10"/>
  <c r="M412" i="10"/>
  <c r="K413" i="10"/>
  <c r="M414" i="10"/>
  <c r="K415" i="10"/>
  <c r="M416" i="10"/>
  <c r="K417" i="10"/>
  <c r="M418" i="10"/>
  <c r="K419" i="10"/>
  <c r="M420" i="10"/>
  <c r="K421" i="10"/>
  <c r="M422" i="10"/>
  <c r="K423" i="10"/>
  <c r="K424" i="10"/>
  <c r="K426" i="10"/>
  <c r="K428" i="10"/>
  <c r="K430" i="10"/>
  <c r="K432" i="10"/>
  <c r="K434" i="10"/>
  <c r="K436" i="10"/>
  <c r="K438" i="10"/>
  <c r="K440" i="10"/>
  <c r="K442" i="10"/>
  <c r="K444" i="10"/>
  <c r="K446" i="10"/>
  <c r="K448" i="10"/>
  <c r="K450" i="10"/>
  <c r="K452" i="10"/>
  <c r="K454" i="10"/>
  <c r="K456" i="10"/>
  <c r="K458" i="10"/>
  <c r="K460" i="10"/>
  <c r="K462" i="10"/>
  <c r="M463" i="10"/>
  <c r="L463" i="10"/>
  <c r="L468" i="10"/>
  <c r="M471" i="10"/>
  <c r="L471" i="10"/>
  <c r="M473" i="10"/>
  <c r="L473" i="10"/>
  <c r="K473" i="10"/>
  <c r="M477" i="10"/>
  <c r="L477" i="10"/>
  <c r="K477" i="10"/>
  <c r="M481" i="10"/>
  <c r="L481" i="10"/>
  <c r="K481" i="10"/>
  <c r="M485" i="10"/>
  <c r="L485" i="10"/>
  <c r="K485" i="10"/>
  <c r="M489" i="10"/>
  <c r="L489" i="10"/>
  <c r="K489" i="10"/>
  <c r="M493" i="10"/>
  <c r="L493" i="10"/>
  <c r="K493" i="10"/>
  <c r="M497" i="10"/>
  <c r="L497" i="10"/>
  <c r="K497" i="10"/>
  <c r="M501" i="10"/>
  <c r="L501" i="10"/>
  <c r="K501" i="10"/>
  <c r="M505" i="10"/>
  <c r="L505" i="10"/>
  <c r="K505" i="10"/>
  <c r="M509" i="10"/>
  <c r="L509" i="10"/>
  <c r="K509" i="10"/>
  <c r="M513" i="10"/>
  <c r="L513" i="10"/>
  <c r="K513" i="10"/>
  <c r="M517" i="10"/>
  <c r="L517" i="10"/>
  <c r="K517" i="10"/>
  <c r="M521" i="10"/>
  <c r="L521" i="10"/>
  <c r="K521" i="10"/>
  <c r="M525" i="10"/>
  <c r="L525" i="10"/>
  <c r="K525" i="10"/>
  <c r="L532" i="10"/>
  <c r="M532" i="10"/>
  <c r="K532" i="10"/>
  <c r="M537" i="10"/>
  <c r="L537" i="10"/>
  <c r="K537" i="10"/>
  <c r="F539" i="10"/>
  <c r="H539" i="10" s="1"/>
  <c r="G539" i="10"/>
  <c r="L540" i="10"/>
  <c r="M540" i="10"/>
  <c r="K540" i="10"/>
  <c r="F547" i="10"/>
  <c r="H547" i="10" s="1"/>
  <c r="G547" i="10"/>
  <c r="L548" i="10"/>
  <c r="M548" i="10"/>
  <c r="K548" i="10"/>
  <c r="F555" i="10"/>
  <c r="H555" i="10" s="1"/>
  <c r="G555" i="10"/>
  <c r="L556" i="10"/>
  <c r="M556" i="10"/>
  <c r="K556" i="10"/>
  <c r="F563" i="10"/>
  <c r="H563" i="10" s="1"/>
  <c r="G563" i="10"/>
  <c r="L564" i="10"/>
  <c r="M564" i="10"/>
  <c r="K564" i="10"/>
  <c r="F571" i="10"/>
  <c r="H571" i="10" s="1"/>
  <c r="G571" i="10"/>
  <c r="L572" i="10"/>
  <c r="M572" i="10"/>
  <c r="K572" i="10"/>
  <c r="F579" i="10"/>
  <c r="H579" i="10" s="1"/>
  <c r="G579" i="10"/>
  <c r="L580" i="10"/>
  <c r="M580" i="10"/>
  <c r="K580" i="10"/>
  <c r="L375" i="10"/>
  <c r="L377" i="10"/>
  <c r="L379" i="10"/>
  <c r="L381" i="10"/>
  <c r="L383" i="10"/>
  <c r="L385" i="10"/>
  <c r="L387" i="10"/>
  <c r="L389" i="10"/>
  <c r="L391" i="10"/>
  <c r="L393" i="10"/>
  <c r="L395" i="10"/>
  <c r="L397" i="10"/>
  <c r="L399" i="10"/>
  <c r="L401" i="10"/>
  <c r="L403" i="10"/>
  <c r="L405" i="10"/>
  <c r="L407" i="10"/>
  <c r="L409" i="10"/>
  <c r="L411" i="10"/>
  <c r="L413" i="10"/>
  <c r="L415" i="10"/>
  <c r="L417" i="10"/>
  <c r="L419" i="10"/>
  <c r="L421" i="10"/>
  <c r="L423" i="10"/>
  <c r="L424" i="10"/>
  <c r="L426" i="10"/>
  <c r="L428" i="10"/>
  <c r="L430" i="10"/>
  <c r="L432" i="10"/>
  <c r="L434" i="10"/>
  <c r="L436" i="10"/>
  <c r="L438" i="10"/>
  <c r="L440" i="10"/>
  <c r="L442" i="10"/>
  <c r="L444" i="10"/>
  <c r="L446" i="10"/>
  <c r="L448" i="10"/>
  <c r="L450" i="10"/>
  <c r="L452" i="10"/>
  <c r="L454" i="10"/>
  <c r="L456" i="10"/>
  <c r="L458" i="10"/>
  <c r="L460" i="10"/>
  <c r="L462" i="10"/>
  <c r="M465" i="10"/>
  <c r="L465" i="10"/>
  <c r="G468" i="10"/>
  <c r="F468" i="10"/>
  <c r="H468" i="10" s="1"/>
  <c r="M468" i="10"/>
  <c r="K472" i="10"/>
  <c r="M472" i="10"/>
  <c r="G474" i="10"/>
  <c r="F474" i="10"/>
  <c r="H474" i="10" s="1"/>
  <c r="K476" i="10"/>
  <c r="M476" i="10"/>
  <c r="G478" i="10"/>
  <c r="F478" i="10"/>
  <c r="H478" i="10" s="1"/>
  <c r="K480" i="10"/>
  <c r="M480" i="10"/>
  <c r="G482" i="10"/>
  <c r="F482" i="10"/>
  <c r="H482" i="10" s="1"/>
  <c r="K484" i="10"/>
  <c r="M484" i="10"/>
  <c r="G486" i="10"/>
  <c r="F486" i="10"/>
  <c r="H486" i="10" s="1"/>
  <c r="K488" i="10"/>
  <c r="M488" i="10"/>
  <c r="G490" i="10"/>
  <c r="F490" i="10"/>
  <c r="H490" i="10" s="1"/>
  <c r="K492" i="10"/>
  <c r="M492" i="10"/>
  <c r="G494" i="10"/>
  <c r="F494" i="10"/>
  <c r="H494" i="10" s="1"/>
  <c r="K496" i="10"/>
  <c r="M496" i="10"/>
  <c r="G498" i="10"/>
  <c r="F498" i="10"/>
  <c r="H498" i="10" s="1"/>
  <c r="K500" i="10"/>
  <c r="M500" i="10"/>
  <c r="G502" i="10"/>
  <c r="F502" i="10"/>
  <c r="H502" i="10" s="1"/>
  <c r="K504" i="10"/>
  <c r="M504" i="10"/>
  <c r="G506" i="10"/>
  <c r="F506" i="10"/>
  <c r="H506" i="10" s="1"/>
  <c r="K508" i="10"/>
  <c r="M508" i="10"/>
  <c r="G510" i="10"/>
  <c r="F510" i="10"/>
  <c r="H510" i="10" s="1"/>
  <c r="K512" i="10"/>
  <c r="M512" i="10"/>
  <c r="G514" i="10"/>
  <c r="F514" i="10"/>
  <c r="H514" i="10" s="1"/>
  <c r="K516" i="10"/>
  <c r="M516" i="10"/>
  <c r="G518" i="10"/>
  <c r="F518" i="10"/>
  <c r="H518" i="10" s="1"/>
  <c r="K520" i="10"/>
  <c r="M520" i="10"/>
  <c r="G522" i="10"/>
  <c r="F522" i="10"/>
  <c r="H522" i="10" s="1"/>
  <c r="K524" i="10"/>
  <c r="M524" i="10"/>
  <c r="G526" i="10"/>
  <c r="F526" i="10"/>
  <c r="H526" i="10" s="1"/>
  <c r="K528" i="10"/>
  <c r="M528" i="10"/>
  <c r="K530" i="10"/>
  <c r="M530" i="10"/>
  <c r="F533" i="10"/>
  <c r="H533" i="10" s="1"/>
  <c r="G533" i="10"/>
  <c r="L534" i="10"/>
  <c r="M534" i="10"/>
  <c r="K534" i="10"/>
  <c r="M539" i="10"/>
  <c r="L539" i="10"/>
  <c r="K539" i="10"/>
  <c r="F541" i="10"/>
  <c r="H541" i="10" s="1"/>
  <c r="G541" i="10"/>
  <c r="L542" i="10"/>
  <c r="M542" i="10"/>
  <c r="K542" i="10"/>
  <c r="F549" i="10"/>
  <c r="H549" i="10" s="1"/>
  <c r="G549" i="10"/>
  <c r="L550" i="10"/>
  <c r="M550" i="10"/>
  <c r="K550" i="10"/>
  <c r="F557" i="10"/>
  <c r="H557" i="10" s="1"/>
  <c r="G557" i="10"/>
  <c r="L558" i="10"/>
  <c r="M558" i="10"/>
  <c r="K558" i="10"/>
  <c r="F565" i="10"/>
  <c r="H565" i="10" s="1"/>
  <c r="G565" i="10"/>
  <c r="L566" i="10"/>
  <c r="M566" i="10"/>
  <c r="K566" i="10"/>
  <c r="F573" i="10"/>
  <c r="H573" i="10" s="1"/>
  <c r="G573" i="10"/>
  <c r="L574" i="10"/>
  <c r="M574" i="10"/>
  <c r="K574" i="10"/>
  <c r="F581" i="10"/>
  <c r="H581" i="10" s="1"/>
  <c r="G581" i="10"/>
  <c r="L582" i="10"/>
  <c r="M582" i="10"/>
  <c r="K582" i="10"/>
  <c r="L464" i="10"/>
  <c r="K465" i="10"/>
  <c r="M467" i="10"/>
  <c r="L467" i="10"/>
  <c r="M470" i="10"/>
  <c r="L472" i="10"/>
  <c r="M475" i="10"/>
  <c r="L475" i="10"/>
  <c r="K475" i="10"/>
  <c r="L476" i="10"/>
  <c r="M479" i="10"/>
  <c r="L479" i="10"/>
  <c r="K479" i="10"/>
  <c r="L480" i="10"/>
  <c r="M483" i="10"/>
  <c r="L483" i="10"/>
  <c r="K483" i="10"/>
  <c r="L484" i="10"/>
  <c r="M487" i="10"/>
  <c r="L487" i="10"/>
  <c r="K487" i="10"/>
  <c r="L488" i="10"/>
  <c r="M491" i="10"/>
  <c r="L491" i="10"/>
  <c r="K491" i="10"/>
  <c r="L492" i="10"/>
  <c r="M495" i="10"/>
  <c r="L495" i="10"/>
  <c r="K495" i="10"/>
  <c r="L496" i="10"/>
  <c r="M499" i="10"/>
  <c r="L499" i="10"/>
  <c r="K499" i="10"/>
  <c r="L500" i="10"/>
  <c r="M503" i="10"/>
  <c r="L503" i="10"/>
  <c r="K503" i="10"/>
  <c r="L504" i="10"/>
  <c r="M507" i="10"/>
  <c r="L507" i="10"/>
  <c r="K507" i="10"/>
  <c r="L508" i="10"/>
  <c r="M511" i="10"/>
  <c r="L511" i="10"/>
  <c r="K511" i="10"/>
  <c r="L512" i="10"/>
  <c r="M515" i="10"/>
  <c r="L515" i="10"/>
  <c r="K515" i="10"/>
  <c r="L516" i="10"/>
  <c r="M519" i="10"/>
  <c r="L519" i="10"/>
  <c r="K519" i="10"/>
  <c r="L520" i="10"/>
  <c r="M523" i="10"/>
  <c r="L523" i="10"/>
  <c r="K523" i="10"/>
  <c r="M527" i="10"/>
  <c r="L527" i="10"/>
  <c r="K527" i="10"/>
  <c r="M529" i="10"/>
  <c r="L529" i="10"/>
  <c r="K529" i="10"/>
  <c r="M531" i="10"/>
  <c r="L531" i="10"/>
  <c r="K531" i="10"/>
  <c r="M533" i="10"/>
  <c r="L533" i="10"/>
  <c r="K533" i="10"/>
  <c r="F535" i="10"/>
  <c r="H535" i="10" s="1"/>
  <c r="G535" i="10"/>
  <c r="L536" i="10"/>
  <c r="M536" i="10"/>
  <c r="K536" i="10"/>
  <c r="M541" i="10"/>
  <c r="L541" i="10"/>
  <c r="K541" i="10"/>
  <c r="F543" i="10"/>
  <c r="H543" i="10" s="1"/>
  <c r="G543" i="10"/>
  <c r="L544" i="10"/>
  <c r="M544" i="10"/>
  <c r="K544" i="10"/>
  <c r="F551" i="10"/>
  <c r="H551" i="10" s="1"/>
  <c r="G551" i="10"/>
  <c r="L552" i="10"/>
  <c r="M552" i="10"/>
  <c r="K552" i="10"/>
  <c r="F559" i="10"/>
  <c r="H559" i="10" s="1"/>
  <c r="G559" i="10"/>
  <c r="L560" i="10"/>
  <c r="M560" i="10"/>
  <c r="K560" i="10"/>
  <c r="F567" i="10"/>
  <c r="H567" i="10" s="1"/>
  <c r="G567" i="10"/>
  <c r="L568" i="10"/>
  <c r="M568" i="10"/>
  <c r="K568" i="10"/>
  <c r="F575" i="10"/>
  <c r="H575" i="10" s="1"/>
  <c r="G575" i="10"/>
  <c r="L576" i="10"/>
  <c r="M576" i="10"/>
  <c r="K576" i="10"/>
  <c r="F583" i="10"/>
  <c r="H583" i="10" s="1"/>
  <c r="G583" i="10"/>
  <c r="L584" i="10"/>
  <c r="M584" i="10"/>
  <c r="K584" i="10"/>
  <c r="L588" i="10"/>
  <c r="K588" i="10"/>
  <c r="M588" i="10"/>
  <c r="G464" i="10"/>
  <c r="F464" i="10"/>
  <c r="H464" i="10" s="1"/>
  <c r="M464" i="10"/>
  <c r="M469" i="10"/>
  <c r="L469" i="10"/>
  <c r="G472" i="10"/>
  <c r="F472" i="10"/>
  <c r="H472" i="10" s="1"/>
  <c r="K474" i="10"/>
  <c r="M474" i="10"/>
  <c r="G476" i="10"/>
  <c r="F476" i="10"/>
  <c r="H476" i="10" s="1"/>
  <c r="K478" i="10"/>
  <c r="M478" i="10"/>
  <c r="G480" i="10"/>
  <c r="F480" i="10"/>
  <c r="H480" i="10" s="1"/>
  <c r="K482" i="10"/>
  <c r="M482" i="10"/>
  <c r="G484" i="10"/>
  <c r="F484" i="10"/>
  <c r="H484" i="10" s="1"/>
  <c r="K486" i="10"/>
  <c r="M486" i="10"/>
  <c r="G488" i="10"/>
  <c r="F488" i="10"/>
  <c r="H488" i="10" s="1"/>
  <c r="K490" i="10"/>
  <c r="M490" i="10"/>
  <c r="G492" i="10"/>
  <c r="F492" i="10"/>
  <c r="H492" i="10" s="1"/>
  <c r="K494" i="10"/>
  <c r="M494" i="10"/>
  <c r="G496" i="10"/>
  <c r="F496" i="10"/>
  <c r="H496" i="10" s="1"/>
  <c r="K498" i="10"/>
  <c r="M498" i="10"/>
  <c r="G500" i="10"/>
  <c r="F500" i="10"/>
  <c r="H500" i="10" s="1"/>
  <c r="K502" i="10"/>
  <c r="M502" i="10"/>
  <c r="G504" i="10"/>
  <c r="F504" i="10"/>
  <c r="H504" i="10" s="1"/>
  <c r="K506" i="10"/>
  <c r="M506" i="10"/>
  <c r="G508" i="10"/>
  <c r="F508" i="10"/>
  <c r="H508" i="10" s="1"/>
  <c r="K510" i="10"/>
  <c r="M510" i="10"/>
  <c r="G512" i="10"/>
  <c r="F512" i="10"/>
  <c r="H512" i="10" s="1"/>
  <c r="K514" i="10"/>
  <c r="M514" i="10"/>
  <c r="G516" i="10"/>
  <c r="F516" i="10"/>
  <c r="H516" i="10" s="1"/>
  <c r="K518" i="10"/>
  <c r="M518" i="10"/>
  <c r="G520" i="10"/>
  <c r="F520" i="10"/>
  <c r="H520" i="10" s="1"/>
  <c r="K522" i="10"/>
  <c r="M522" i="10"/>
  <c r="G524" i="10"/>
  <c r="F524" i="10"/>
  <c r="H524" i="10" s="1"/>
  <c r="K526" i="10"/>
  <c r="M526" i="10"/>
  <c r="G528" i="10"/>
  <c r="F528" i="10"/>
  <c r="H528" i="10" s="1"/>
  <c r="G530" i="10"/>
  <c r="F530" i="10"/>
  <c r="H530" i="10" s="1"/>
  <c r="G532" i="10"/>
  <c r="F532" i="10"/>
  <c r="H532" i="10" s="1"/>
  <c r="M535" i="10"/>
  <c r="L535" i="10"/>
  <c r="K535" i="10"/>
  <c r="F537" i="10"/>
  <c r="H537" i="10" s="1"/>
  <c r="G537" i="10"/>
  <c r="L538" i="10"/>
  <c r="M538" i="10"/>
  <c r="K538" i="10"/>
  <c r="F545" i="10"/>
  <c r="H545" i="10" s="1"/>
  <c r="G545" i="10"/>
  <c r="L546" i="10"/>
  <c r="M546" i="10"/>
  <c r="K546" i="10"/>
  <c r="F553" i="10"/>
  <c r="H553" i="10" s="1"/>
  <c r="G553" i="10"/>
  <c r="L554" i="10"/>
  <c r="M554" i="10"/>
  <c r="K554" i="10"/>
  <c r="F561" i="10"/>
  <c r="H561" i="10" s="1"/>
  <c r="G561" i="10"/>
  <c r="L562" i="10"/>
  <c r="M562" i="10"/>
  <c r="K562" i="10"/>
  <c r="F569" i="10"/>
  <c r="H569" i="10" s="1"/>
  <c r="G569" i="10"/>
  <c r="L570" i="10"/>
  <c r="M570" i="10"/>
  <c r="K570" i="10"/>
  <c r="F577" i="10"/>
  <c r="H577" i="10" s="1"/>
  <c r="G577" i="10"/>
  <c r="L578" i="10"/>
  <c r="M578" i="10"/>
  <c r="K578" i="10"/>
  <c r="K543" i="10"/>
  <c r="K545" i="10"/>
  <c r="K547" i="10"/>
  <c r="K549" i="10"/>
  <c r="K551" i="10"/>
  <c r="K553" i="10"/>
  <c r="K555" i="10"/>
  <c r="K557" i="10"/>
  <c r="K559" i="10"/>
  <c r="K561" i="10"/>
  <c r="K563" i="10"/>
  <c r="K565" i="10"/>
  <c r="K567" i="10"/>
  <c r="K569" i="10"/>
  <c r="K571" i="10"/>
  <c r="K573" i="10"/>
  <c r="K575" i="10"/>
  <c r="K577" i="10"/>
  <c r="K579" i="10"/>
  <c r="K581" i="10"/>
  <c r="K583" i="10"/>
  <c r="F595" i="10"/>
  <c r="H595" i="10" s="1"/>
  <c r="G595" i="10"/>
  <c r="M597" i="10"/>
  <c r="L597" i="10"/>
  <c r="K597" i="10"/>
  <c r="F603" i="10"/>
  <c r="H603" i="10" s="1"/>
  <c r="G603" i="10"/>
  <c r="M605" i="10"/>
  <c r="L605" i="10"/>
  <c r="K605" i="10"/>
  <c r="F611" i="10"/>
  <c r="H611" i="10" s="1"/>
  <c r="G611" i="10"/>
  <c r="M613" i="10"/>
  <c r="L613" i="10"/>
  <c r="K613" i="10"/>
  <c r="F619" i="10"/>
  <c r="H619" i="10" s="1"/>
  <c r="G619" i="10"/>
  <c r="M621" i="10"/>
  <c r="L621" i="10"/>
  <c r="K621" i="10"/>
  <c r="F627" i="10"/>
  <c r="H627" i="10" s="1"/>
  <c r="G627" i="10"/>
  <c r="M629" i="10"/>
  <c r="L629" i="10"/>
  <c r="K629" i="10"/>
  <c r="F635" i="10"/>
  <c r="H635" i="10" s="1"/>
  <c r="G635" i="10"/>
  <c r="M637" i="10"/>
  <c r="L637" i="10"/>
  <c r="K637" i="10"/>
  <c r="F643" i="10"/>
  <c r="H643" i="10" s="1"/>
  <c r="G643" i="10"/>
  <c r="M645" i="10"/>
  <c r="L645" i="10"/>
  <c r="K645" i="10"/>
  <c r="F651" i="10"/>
  <c r="H651" i="10" s="1"/>
  <c r="G651" i="10"/>
  <c r="M653" i="10"/>
  <c r="L653" i="10"/>
  <c r="K653" i="10"/>
  <c r="F659" i="10"/>
  <c r="H659" i="10" s="1"/>
  <c r="G659" i="10"/>
  <c r="M661" i="10"/>
  <c r="L661" i="10"/>
  <c r="K661" i="10"/>
  <c r="F667" i="10"/>
  <c r="H667" i="10" s="1"/>
  <c r="G667" i="10"/>
  <c r="M669" i="10"/>
  <c r="L669" i="10"/>
  <c r="K669" i="10"/>
  <c r="F675" i="10"/>
  <c r="H675" i="10" s="1"/>
  <c r="G675" i="10"/>
  <c r="M677" i="10"/>
  <c r="L677" i="10"/>
  <c r="K677" i="10"/>
  <c r="F683" i="10"/>
  <c r="H683" i="10" s="1"/>
  <c r="G683" i="10"/>
  <c r="L685" i="10"/>
  <c r="K685" i="10"/>
  <c r="M685" i="10"/>
  <c r="L689" i="10"/>
  <c r="K689" i="10"/>
  <c r="M689" i="10"/>
  <c r="F694" i="10"/>
  <c r="H694" i="10" s="1"/>
  <c r="G694" i="10"/>
  <c r="F702" i="10"/>
  <c r="H702" i="10" s="1"/>
  <c r="G702" i="10"/>
  <c r="F534" i="10"/>
  <c r="H534" i="10" s="1"/>
  <c r="F536" i="10"/>
  <c r="H536" i="10" s="1"/>
  <c r="F538" i="10"/>
  <c r="H538" i="10" s="1"/>
  <c r="F540" i="10"/>
  <c r="H540" i="10" s="1"/>
  <c r="F542" i="10"/>
  <c r="H542" i="10" s="1"/>
  <c r="L543" i="10"/>
  <c r="F544" i="10"/>
  <c r="H544" i="10" s="1"/>
  <c r="L545" i="10"/>
  <c r="F546" i="10"/>
  <c r="H546" i="10" s="1"/>
  <c r="L547" i="10"/>
  <c r="F548" i="10"/>
  <c r="H548" i="10" s="1"/>
  <c r="L549" i="10"/>
  <c r="F550" i="10"/>
  <c r="H550" i="10" s="1"/>
  <c r="L551" i="10"/>
  <c r="F552" i="10"/>
  <c r="H552" i="10" s="1"/>
  <c r="L553" i="10"/>
  <c r="F554" i="10"/>
  <c r="H554" i="10" s="1"/>
  <c r="L555" i="10"/>
  <c r="F556" i="10"/>
  <c r="H556" i="10" s="1"/>
  <c r="L557" i="10"/>
  <c r="F558" i="10"/>
  <c r="H558" i="10" s="1"/>
  <c r="L559" i="10"/>
  <c r="F560" i="10"/>
  <c r="H560" i="10" s="1"/>
  <c r="L561" i="10"/>
  <c r="F562" i="10"/>
  <c r="H562" i="10" s="1"/>
  <c r="L563" i="10"/>
  <c r="F564" i="10"/>
  <c r="H564" i="10" s="1"/>
  <c r="L565" i="10"/>
  <c r="F566" i="10"/>
  <c r="H566" i="10" s="1"/>
  <c r="L567" i="10"/>
  <c r="F568" i="10"/>
  <c r="H568" i="10" s="1"/>
  <c r="L569" i="10"/>
  <c r="F570" i="10"/>
  <c r="H570" i="10" s="1"/>
  <c r="L571" i="10"/>
  <c r="F572" i="10"/>
  <c r="H572" i="10" s="1"/>
  <c r="L573" i="10"/>
  <c r="F574" i="10"/>
  <c r="H574" i="10" s="1"/>
  <c r="L575" i="10"/>
  <c r="F576" i="10"/>
  <c r="H576" i="10" s="1"/>
  <c r="L577" i="10"/>
  <c r="F578" i="10"/>
  <c r="H578" i="10" s="1"/>
  <c r="L579" i="10"/>
  <c r="F580" i="10"/>
  <c r="H580" i="10" s="1"/>
  <c r="L581" i="10"/>
  <c r="F582" i="10"/>
  <c r="H582" i="10" s="1"/>
  <c r="L583" i="10"/>
  <c r="F584" i="10"/>
  <c r="H584" i="10" s="1"/>
  <c r="G585" i="10"/>
  <c r="L585" i="10"/>
  <c r="F586" i="10"/>
  <c r="H586" i="10" s="1"/>
  <c r="K586" i="10"/>
  <c r="G587" i="10"/>
  <c r="L587" i="10"/>
  <c r="G589" i="10"/>
  <c r="L589" i="10"/>
  <c r="G591" i="10"/>
  <c r="L591" i="10"/>
  <c r="M593" i="10"/>
  <c r="K593" i="10"/>
  <c r="M595" i="10"/>
  <c r="L595" i="10"/>
  <c r="K595" i="10"/>
  <c r="F601" i="10"/>
  <c r="H601" i="10" s="1"/>
  <c r="G601" i="10"/>
  <c r="M603" i="10"/>
  <c r="L603" i="10"/>
  <c r="K603" i="10"/>
  <c r="F609" i="10"/>
  <c r="H609" i="10" s="1"/>
  <c r="G609" i="10"/>
  <c r="M611" i="10"/>
  <c r="L611" i="10"/>
  <c r="K611" i="10"/>
  <c r="F617" i="10"/>
  <c r="H617" i="10" s="1"/>
  <c r="G617" i="10"/>
  <c r="M619" i="10"/>
  <c r="L619" i="10"/>
  <c r="K619" i="10"/>
  <c r="F625" i="10"/>
  <c r="H625" i="10" s="1"/>
  <c r="G625" i="10"/>
  <c r="M627" i="10"/>
  <c r="L627" i="10"/>
  <c r="K627" i="10"/>
  <c r="F633" i="10"/>
  <c r="H633" i="10" s="1"/>
  <c r="G633" i="10"/>
  <c r="M635" i="10"/>
  <c r="L635" i="10"/>
  <c r="K635" i="10"/>
  <c r="F641" i="10"/>
  <c r="H641" i="10" s="1"/>
  <c r="G641" i="10"/>
  <c r="M643" i="10"/>
  <c r="L643" i="10"/>
  <c r="K643" i="10"/>
  <c r="F649" i="10"/>
  <c r="H649" i="10" s="1"/>
  <c r="G649" i="10"/>
  <c r="M651" i="10"/>
  <c r="L651" i="10"/>
  <c r="K651" i="10"/>
  <c r="F657" i="10"/>
  <c r="H657" i="10" s="1"/>
  <c r="G657" i="10"/>
  <c r="M659" i="10"/>
  <c r="L659" i="10"/>
  <c r="K659" i="10"/>
  <c r="F665" i="10"/>
  <c r="H665" i="10" s="1"/>
  <c r="G665" i="10"/>
  <c r="M667" i="10"/>
  <c r="L667" i="10"/>
  <c r="K667" i="10"/>
  <c r="F673" i="10"/>
  <c r="H673" i="10" s="1"/>
  <c r="G673" i="10"/>
  <c r="M675" i="10"/>
  <c r="L675" i="10"/>
  <c r="K675" i="10"/>
  <c r="F681" i="10"/>
  <c r="H681" i="10" s="1"/>
  <c r="G681" i="10"/>
  <c r="M683" i="10"/>
  <c r="L683" i="10"/>
  <c r="K683" i="10"/>
  <c r="F686" i="10"/>
  <c r="H686" i="10" s="1"/>
  <c r="G686" i="10"/>
  <c r="F690" i="10"/>
  <c r="H690" i="10" s="1"/>
  <c r="G690" i="10"/>
  <c r="F712" i="10"/>
  <c r="H712" i="10" s="1"/>
  <c r="G712" i="10"/>
  <c r="M586" i="10"/>
  <c r="L590" i="10"/>
  <c r="K590" i="10"/>
  <c r="L592" i="10"/>
  <c r="K592" i="10"/>
  <c r="M592" i="10"/>
  <c r="F599" i="10"/>
  <c r="H599" i="10" s="1"/>
  <c r="G599" i="10"/>
  <c r="M601" i="10"/>
  <c r="L601" i="10"/>
  <c r="K601" i="10"/>
  <c r="F607" i="10"/>
  <c r="H607" i="10" s="1"/>
  <c r="G607" i="10"/>
  <c r="M609" i="10"/>
  <c r="L609" i="10"/>
  <c r="K609" i="10"/>
  <c r="F615" i="10"/>
  <c r="H615" i="10" s="1"/>
  <c r="G615" i="10"/>
  <c r="M617" i="10"/>
  <c r="L617" i="10"/>
  <c r="K617" i="10"/>
  <c r="F623" i="10"/>
  <c r="H623" i="10" s="1"/>
  <c r="G623" i="10"/>
  <c r="M625" i="10"/>
  <c r="L625" i="10"/>
  <c r="K625" i="10"/>
  <c r="F631" i="10"/>
  <c r="H631" i="10" s="1"/>
  <c r="G631" i="10"/>
  <c r="M633" i="10"/>
  <c r="L633" i="10"/>
  <c r="K633" i="10"/>
  <c r="F639" i="10"/>
  <c r="H639" i="10" s="1"/>
  <c r="G639" i="10"/>
  <c r="M641" i="10"/>
  <c r="L641" i="10"/>
  <c r="K641" i="10"/>
  <c r="F647" i="10"/>
  <c r="H647" i="10" s="1"/>
  <c r="G647" i="10"/>
  <c r="M649" i="10"/>
  <c r="L649" i="10"/>
  <c r="K649" i="10"/>
  <c r="F655" i="10"/>
  <c r="H655" i="10" s="1"/>
  <c r="G655" i="10"/>
  <c r="M657" i="10"/>
  <c r="L657" i="10"/>
  <c r="K657" i="10"/>
  <c r="F663" i="10"/>
  <c r="H663" i="10" s="1"/>
  <c r="G663" i="10"/>
  <c r="M665" i="10"/>
  <c r="L665" i="10"/>
  <c r="K665" i="10"/>
  <c r="F671" i="10"/>
  <c r="H671" i="10" s="1"/>
  <c r="G671" i="10"/>
  <c r="M673" i="10"/>
  <c r="L673" i="10"/>
  <c r="K673" i="10"/>
  <c r="F679" i="10"/>
  <c r="H679" i="10" s="1"/>
  <c r="G679" i="10"/>
  <c r="M681" i="10"/>
  <c r="L681" i="10"/>
  <c r="K681" i="10"/>
  <c r="L687" i="10"/>
  <c r="K687" i="10"/>
  <c r="M687" i="10"/>
  <c r="F696" i="10"/>
  <c r="H696" i="10" s="1"/>
  <c r="G696" i="10"/>
  <c r="F704" i="10"/>
  <c r="H704" i="10" s="1"/>
  <c r="G704" i="10"/>
  <c r="F706" i="10"/>
  <c r="H706" i="10" s="1"/>
  <c r="G706" i="10"/>
  <c r="F708" i="10"/>
  <c r="H708" i="10" s="1"/>
  <c r="G708" i="10"/>
  <c r="F710" i="10"/>
  <c r="H710" i="10" s="1"/>
  <c r="G710" i="10"/>
  <c r="F593" i="10"/>
  <c r="H593" i="10" s="1"/>
  <c r="G593" i="10"/>
  <c r="L594" i="10"/>
  <c r="K594" i="10"/>
  <c r="M594" i="10"/>
  <c r="F597" i="10"/>
  <c r="H597" i="10" s="1"/>
  <c r="G597" i="10"/>
  <c r="M599" i="10"/>
  <c r="L599" i="10"/>
  <c r="K599" i="10"/>
  <c r="F605" i="10"/>
  <c r="H605" i="10" s="1"/>
  <c r="G605" i="10"/>
  <c r="M607" i="10"/>
  <c r="L607" i="10"/>
  <c r="K607" i="10"/>
  <c r="F613" i="10"/>
  <c r="H613" i="10" s="1"/>
  <c r="G613" i="10"/>
  <c r="M615" i="10"/>
  <c r="L615" i="10"/>
  <c r="K615" i="10"/>
  <c r="F621" i="10"/>
  <c r="H621" i="10" s="1"/>
  <c r="G621" i="10"/>
  <c r="M623" i="10"/>
  <c r="L623" i="10"/>
  <c r="K623" i="10"/>
  <c r="F629" i="10"/>
  <c r="H629" i="10" s="1"/>
  <c r="G629" i="10"/>
  <c r="M631" i="10"/>
  <c r="L631" i="10"/>
  <c r="K631" i="10"/>
  <c r="F637" i="10"/>
  <c r="H637" i="10" s="1"/>
  <c r="G637" i="10"/>
  <c r="M639" i="10"/>
  <c r="L639" i="10"/>
  <c r="K639" i="10"/>
  <c r="F645" i="10"/>
  <c r="H645" i="10" s="1"/>
  <c r="G645" i="10"/>
  <c r="M647" i="10"/>
  <c r="L647" i="10"/>
  <c r="K647" i="10"/>
  <c r="F653" i="10"/>
  <c r="H653" i="10" s="1"/>
  <c r="G653" i="10"/>
  <c r="M655" i="10"/>
  <c r="L655" i="10"/>
  <c r="K655" i="10"/>
  <c r="F661" i="10"/>
  <c r="H661" i="10" s="1"/>
  <c r="G661" i="10"/>
  <c r="M663" i="10"/>
  <c r="L663" i="10"/>
  <c r="K663" i="10"/>
  <c r="F669" i="10"/>
  <c r="H669" i="10" s="1"/>
  <c r="G669" i="10"/>
  <c r="M671" i="10"/>
  <c r="L671" i="10"/>
  <c r="K671" i="10"/>
  <c r="F677" i="10"/>
  <c r="H677" i="10" s="1"/>
  <c r="G677" i="10"/>
  <c r="M679" i="10"/>
  <c r="L679" i="10"/>
  <c r="K679" i="10"/>
  <c r="F685" i="10"/>
  <c r="H685" i="10" s="1"/>
  <c r="G685" i="10"/>
  <c r="F688" i="10"/>
  <c r="H688" i="10" s="1"/>
  <c r="G688" i="10"/>
  <c r="M596" i="10"/>
  <c r="M598" i="10"/>
  <c r="M600" i="10"/>
  <c r="M602" i="10"/>
  <c r="M604" i="10"/>
  <c r="M606" i="10"/>
  <c r="M608" i="10"/>
  <c r="M610" i="10"/>
  <c r="M612" i="10"/>
  <c r="M614" i="10"/>
  <c r="M616" i="10"/>
  <c r="M618" i="10"/>
  <c r="M620" i="10"/>
  <c r="M622" i="10"/>
  <c r="M624" i="10"/>
  <c r="M626" i="10"/>
  <c r="M628" i="10"/>
  <c r="M630" i="10"/>
  <c r="M632" i="10"/>
  <c r="M634" i="10"/>
  <c r="M636" i="10"/>
  <c r="M638" i="10"/>
  <c r="M640" i="10"/>
  <c r="M642" i="10"/>
  <c r="M644" i="10"/>
  <c r="M646" i="10"/>
  <c r="M648" i="10"/>
  <c r="M650" i="10"/>
  <c r="M652" i="10"/>
  <c r="M654" i="10"/>
  <c r="M656" i="10"/>
  <c r="M658" i="10"/>
  <c r="M660" i="10"/>
  <c r="M662" i="10"/>
  <c r="M664" i="10"/>
  <c r="M666" i="10"/>
  <c r="M668" i="10"/>
  <c r="M670" i="10"/>
  <c r="M672" i="10"/>
  <c r="M674" i="10"/>
  <c r="M676" i="10"/>
  <c r="M678" i="10"/>
  <c r="M680" i="10"/>
  <c r="M682" i="10"/>
  <c r="M684" i="10"/>
  <c r="M686" i="10"/>
  <c r="M688" i="10"/>
  <c r="M690" i="10"/>
  <c r="L695" i="10"/>
  <c r="M695" i="10"/>
  <c r="F698" i="10"/>
  <c r="H698" i="10" s="1"/>
  <c r="G698" i="10"/>
  <c r="L703" i="10"/>
  <c r="M703" i="10"/>
  <c r="L705" i="10"/>
  <c r="M705" i="10"/>
  <c r="L707" i="10"/>
  <c r="M707" i="10"/>
  <c r="L709" i="10"/>
  <c r="M709" i="10"/>
  <c r="L711" i="10"/>
  <c r="M711" i="10"/>
  <c r="M714" i="10"/>
  <c r="L714" i="10"/>
  <c r="K714" i="10"/>
  <c r="F716" i="10"/>
  <c r="H716" i="10" s="1"/>
  <c r="G716" i="10"/>
  <c r="G721" i="10"/>
  <c r="F721" i="10"/>
  <c r="H721" i="10" s="1"/>
  <c r="M722" i="10"/>
  <c r="L722" i="10"/>
  <c r="K722" i="10"/>
  <c r="F724" i="10"/>
  <c r="H724" i="10" s="1"/>
  <c r="G724" i="10"/>
  <c r="G729" i="10"/>
  <c r="F729" i="10"/>
  <c r="H729" i="10" s="1"/>
  <c r="M730" i="10"/>
  <c r="L730" i="10"/>
  <c r="K730" i="10"/>
  <c r="F732" i="10"/>
  <c r="H732" i="10" s="1"/>
  <c r="G732" i="10"/>
  <c r="G737" i="10"/>
  <c r="F737" i="10"/>
  <c r="H737" i="10" s="1"/>
  <c r="M738" i="10"/>
  <c r="L738" i="10"/>
  <c r="K738" i="10"/>
  <c r="F740" i="10"/>
  <c r="H740" i="10" s="1"/>
  <c r="G740" i="10"/>
  <c r="G745" i="10"/>
  <c r="F745" i="10"/>
  <c r="H745" i="10" s="1"/>
  <c r="M746" i="10"/>
  <c r="L746" i="10"/>
  <c r="K746" i="10"/>
  <c r="F748" i="10"/>
  <c r="H748" i="10" s="1"/>
  <c r="G748" i="10"/>
  <c r="F753" i="10"/>
  <c r="H753" i="10" s="1"/>
  <c r="G753" i="10"/>
  <c r="L754" i="10"/>
  <c r="K754" i="10"/>
  <c r="M754" i="10"/>
  <c r="L762" i="10"/>
  <c r="K762" i="10"/>
  <c r="M762" i="10"/>
  <c r="L764" i="10"/>
  <c r="K764" i="10"/>
  <c r="M764" i="10"/>
  <c r="L766" i="10"/>
  <c r="K766" i="10"/>
  <c r="M766" i="10"/>
  <c r="L768" i="10"/>
  <c r="K768" i="10"/>
  <c r="M768" i="10"/>
  <c r="L770" i="10"/>
  <c r="K770" i="10"/>
  <c r="M770" i="10"/>
  <c r="L772" i="10"/>
  <c r="K772" i="10"/>
  <c r="M772" i="10"/>
  <c r="L774" i="10"/>
  <c r="K774" i="10"/>
  <c r="M774" i="10"/>
  <c r="L776" i="10"/>
  <c r="K776" i="10"/>
  <c r="M776" i="10"/>
  <c r="F692" i="10"/>
  <c r="H692" i="10" s="1"/>
  <c r="G692" i="10"/>
  <c r="L697" i="10"/>
  <c r="M697" i="10"/>
  <c r="F700" i="10"/>
  <c r="H700" i="10" s="1"/>
  <c r="G700" i="10"/>
  <c r="M712" i="10"/>
  <c r="K712" i="10"/>
  <c r="G715" i="10"/>
  <c r="F715" i="10"/>
  <c r="H715" i="10" s="1"/>
  <c r="M716" i="10"/>
  <c r="L716" i="10"/>
  <c r="K716" i="10"/>
  <c r="F718" i="10"/>
  <c r="H718" i="10" s="1"/>
  <c r="G718" i="10"/>
  <c r="G723" i="10"/>
  <c r="F723" i="10"/>
  <c r="H723" i="10" s="1"/>
  <c r="M724" i="10"/>
  <c r="L724" i="10"/>
  <c r="K724" i="10"/>
  <c r="F726" i="10"/>
  <c r="H726" i="10" s="1"/>
  <c r="G726" i="10"/>
  <c r="G731" i="10"/>
  <c r="F731" i="10"/>
  <c r="H731" i="10" s="1"/>
  <c r="M732" i="10"/>
  <c r="L732" i="10"/>
  <c r="K732" i="10"/>
  <c r="F734" i="10"/>
  <c r="H734" i="10" s="1"/>
  <c r="G734" i="10"/>
  <c r="G739" i="10"/>
  <c r="F739" i="10"/>
  <c r="H739" i="10" s="1"/>
  <c r="M740" i="10"/>
  <c r="L740" i="10"/>
  <c r="K740" i="10"/>
  <c r="F742" i="10"/>
  <c r="H742" i="10" s="1"/>
  <c r="G742" i="10"/>
  <c r="G747" i="10"/>
  <c r="F747" i="10"/>
  <c r="H747" i="10" s="1"/>
  <c r="M748" i="10"/>
  <c r="L748" i="10"/>
  <c r="K748" i="10"/>
  <c r="F750" i="10"/>
  <c r="H750" i="10" s="1"/>
  <c r="G750" i="10"/>
  <c r="F755" i="10"/>
  <c r="H755" i="10" s="1"/>
  <c r="G755" i="10"/>
  <c r="K596" i="10"/>
  <c r="K598" i="10"/>
  <c r="K600" i="10"/>
  <c r="K602" i="10"/>
  <c r="K604" i="10"/>
  <c r="K606" i="10"/>
  <c r="K608" i="10"/>
  <c r="K610" i="10"/>
  <c r="K612" i="10"/>
  <c r="K614" i="10"/>
  <c r="K616" i="10"/>
  <c r="K618" i="10"/>
  <c r="K620" i="10"/>
  <c r="K622" i="10"/>
  <c r="K624" i="10"/>
  <c r="K626" i="10"/>
  <c r="K628" i="10"/>
  <c r="K630" i="10"/>
  <c r="K632" i="10"/>
  <c r="K634" i="10"/>
  <c r="K636" i="10"/>
  <c r="K638" i="10"/>
  <c r="K640" i="10"/>
  <c r="K642" i="10"/>
  <c r="K644" i="10"/>
  <c r="K646" i="10"/>
  <c r="K648" i="10"/>
  <c r="K650" i="10"/>
  <c r="K652" i="10"/>
  <c r="K654" i="10"/>
  <c r="K656" i="10"/>
  <c r="K658" i="10"/>
  <c r="K660" i="10"/>
  <c r="K662" i="10"/>
  <c r="K664" i="10"/>
  <c r="K666" i="10"/>
  <c r="K668" i="10"/>
  <c r="K670" i="10"/>
  <c r="K672" i="10"/>
  <c r="K674" i="10"/>
  <c r="K676" i="10"/>
  <c r="K678" i="10"/>
  <c r="K680" i="10"/>
  <c r="K682" i="10"/>
  <c r="K684" i="10"/>
  <c r="K686" i="10"/>
  <c r="K688" i="10"/>
  <c r="K690" i="10"/>
  <c r="L691" i="10"/>
  <c r="M691" i="10"/>
  <c r="M694" i="10"/>
  <c r="L696" i="10"/>
  <c r="K697" i="10"/>
  <c r="L699" i="10"/>
  <c r="M699" i="10"/>
  <c r="M702" i="10"/>
  <c r="L704" i="10"/>
  <c r="L706" i="10"/>
  <c r="L708" i="10"/>
  <c r="L710" i="10"/>
  <c r="L712" i="10"/>
  <c r="L713" i="10"/>
  <c r="K713" i="10"/>
  <c r="M713" i="10"/>
  <c r="G717" i="10"/>
  <c r="F717" i="10"/>
  <c r="H717" i="10" s="1"/>
  <c r="M718" i="10"/>
  <c r="L718" i="10"/>
  <c r="K718" i="10"/>
  <c r="F720" i="10"/>
  <c r="H720" i="10" s="1"/>
  <c r="G720" i="10"/>
  <c r="G725" i="10"/>
  <c r="F725" i="10"/>
  <c r="H725" i="10" s="1"/>
  <c r="M726" i="10"/>
  <c r="L726" i="10"/>
  <c r="K726" i="10"/>
  <c r="F728" i="10"/>
  <c r="H728" i="10" s="1"/>
  <c r="G728" i="10"/>
  <c r="G733" i="10"/>
  <c r="F733" i="10"/>
  <c r="H733" i="10" s="1"/>
  <c r="M734" i="10"/>
  <c r="L734" i="10"/>
  <c r="K734" i="10"/>
  <c r="F736" i="10"/>
  <c r="H736" i="10" s="1"/>
  <c r="G736" i="10"/>
  <c r="G741" i="10"/>
  <c r="F741" i="10"/>
  <c r="H741" i="10" s="1"/>
  <c r="M742" i="10"/>
  <c r="L742" i="10"/>
  <c r="K742" i="10"/>
  <c r="F744" i="10"/>
  <c r="H744" i="10" s="1"/>
  <c r="G744" i="10"/>
  <c r="G749" i="10"/>
  <c r="F749" i="10"/>
  <c r="H749" i="10" s="1"/>
  <c r="L750" i="10"/>
  <c r="K750" i="10"/>
  <c r="M750" i="10"/>
  <c r="K691" i="10"/>
  <c r="L693" i="10"/>
  <c r="M693" i="10"/>
  <c r="M696" i="10"/>
  <c r="L698" i="10"/>
  <c r="K699" i="10"/>
  <c r="L701" i="10"/>
  <c r="M701" i="10"/>
  <c r="M704" i="10"/>
  <c r="M706" i="10"/>
  <c r="M708" i="10"/>
  <c r="M710" i="10"/>
  <c r="F714" i="10"/>
  <c r="H714" i="10" s="1"/>
  <c r="G714" i="10"/>
  <c r="G719" i="10"/>
  <c r="F719" i="10"/>
  <c r="H719" i="10" s="1"/>
  <c r="M720" i="10"/>
  <c r="L720" i="10"/>
  <c r="K720" i="10"/>
  <c r="F722" i="10"/>
  <c r="H722" i="10" s="1"/>
  <c r="G722" i="10"/>
  <c r="G727" i="10"/>
  <c r="F727" i="10"/>
  <c r="H727" i="10" s="1"/>
  <c r="M728" i="10"/>
  <c r="L728" i="10"/>
  <c r="K728" i="10"/>
  <c r="F730" i="10"/>
  <c r="H730" i="10" s="1"/>
  <c r="G730" i="10"/>
  <c r="G735" i="10"/>
  <c r="F735" i="10"/>
  <c r="H735" i="10" s="1"/>
  <c r="M736" i="10"/>
  <c r="L736" i="10"/>
  <c r="K736" i="10"/>
  <c r="F738" i="10"/>
  <c r="H738" i="10" s="1"/>
  <c r="G738" i="10"/>
  <c r="G743" i="10"/>
  <c r="F743" i="10"/>
  <c r="H743" i="10" s="1"/>
  <c r="M744" i="10"/>
  <c r="L744" i="10"/>
  <c r="K744" i="10"/>
  <c r="F746" i="10"/>
  <c r="H746" i="10" s="1"/>
  <c r="G746" i="10"/>
  <c r="F751" i="10"/>
  <c r="H751" i="10" s="1"/>
  <c r="G751" i="10"/>
  <c r="L752" i="10"/>
  <c r="K752" i="10"/>
  <c r="M752" i="10"/>
  <c r="L778" i="10"/>
  <c r="K778" i="10"/>
  <c r="M778" i="10"/>
  <c r="M715" i="10"/>
  <c r="M717" i="10"/>
  <c r="M719" i="10"/>
  <c r="M721" i="10"/>
  <c r="M723" i="10"/>
  <c r="M725" i="10"/>
  <c r="M727" i="10"/>
  <c r="M729" i="10"/>
  <c r="M731" i="10"/>
  <c r="M733" i="10"/>
  <c r="M735" i="10"/>
  <c r="M737" i="10"/>
  <c r="M739" i="10"/>
  <c r="M741" i="10"/>
  <c r="M743" i="10"/>
  <c r="M745" i="10"/>
  <c r="M747" i="10"/>
  <c r="M749" i="10"/>
  <c r="M751" i="10"/>
  <c r="G752" i="10"/>
  <c r="M753" i="10"/>
  <c r="G754" i="10"/>
  <c r="M755" i="10"/>
  <c r="G756" i="10"/>
  <c r="M756" i="10"/>
  <c r="M757" i="10"/>
  <c r="G758" i="10"/>
  <c r="M758" i="10"/>
  <c r="M759" i="10"/>
  <c r="G760" i="10"/>
  <c r="M760" i="10"/>
  <c r="L780" i="10"/>
  <c r="K780" i="10"/>
  <c r="L782" i="10"/>
  <c r="K782" i="10"/>
  <c r="L783" i="10"/>
  <c r="M783" i="10"/>
  <c r="M784" i="10"/>
  <c r="L784" i="10"/>
  <c r="K784" i="10"/>
  <c r="G791" i="10"/>
  <c r="F791" i="10"/>
  <c r="H791" i="10" s="1"/>
  <c r="L793" i="10"/>
  <c r="K793" i="10"/>
  <c r="M793" i="10"/>
  <c r="G799" i="10"/>
  <c r="F799" i="10"/>
  <c r="H799" i="10" s="1"/>
  <c r="G803" i="10"/>
  <c r="F803" i="10"/>
  <c r="H803" i="10" s="1"/>
  <c r="G807" i="10"/>
  <c r="F807" i="10"/>
  <c r="H807" i="10" s="1"/>
  <c r="G811" i="10"/>
  <c r="F811" i="10"/>
  <c r="H811" i="10" s="1"/>
  <c r="G815" i="10"/>
  <c r="F815" i="10"/>
  <c r="H815" i="10" s="1"/>
  <c r="G819" i="10"/>
  <c r="F819" i="10"/>
  <c r="H819" i="10" s="1"/>
  <c r="G823" i="10"/>
  <c r="F823" i="10"/>
  <c r="H823" i="10" s="1"/>
  <c r="G827" i="10"/>
  <c r="F827" i="10"/>
  <c r="H827" i="10" s="1"/>
  <c r="L830" i="10"/>
  <c r="M830" i="10"/>
  <c r="K830" i="10"/>
  <c r="F833" i="10"/>
  <c r="H833" i="10" s="1"/>
  <c r="G833" i="10"/>
  <c r="M780" i="10"/>
  <c r="M782" i="10"/>
  <c r="K783" i="10"/>
  <c r="G785" i="10"/>
  <c r="F785" i="10"/>
  <c r="H785" i="10" s="1"/>
  <c r="M786" i="10"/>
  <c r="L786" i="10"/>
  <c r="K786" i="10"/>
  <c r="G789" i="10"/>
  <c r="F789" i="10"/>
  <c r="H789" i="10" s="1"/>
  <c r="L791" i="10"/>
  <c r="K791" i="10"/>
  <c r="M791" i="10"/>
  <c r="G797" i="10"/>
  <c r="F797" i="10"/>
  <c r="H797" i="10" s="1"/>
  <c r="F831" i="10"/>
  <c r="H831" i="10" s="1"/>
  <c r="G831" i="10"/>
  <c r="K715" i="10"/>
  <c r="K717" i="10"/>
  <c r="K719" i="10"/>
  <c r="K721" i="10"/>
  <c r="K723" i="10"/>
  <c r="K725" i="10"/>
  <c r="K727" i="10"/>
  <c r="K729" i="10"/>
  <c r="K731" i="10"/>
  <c r="K733" i="10"/>
  <c r="K735" i="10"/>
  <c r="K737" i="10"/>
  <c r="K739" i="10"/>
  <c r="K741" i="10"/>
  <c r="K743" i="10"/>
  <c r="K745" i="10"/>
  <c r="K747" i="10"/>
  <c r="K749" i="10"/>
  <c r="K751" i="10"/>
  <c r="K753" i="10"/>
  <c r="L785" i="10"/>
  <c r="K785" i="10"/>
  <c r="M785" i="10"/>
  <c r="G787" i="10"/>
  <c r="F787" i="10"/>
  <c r="H787" i="10" s="1"/>
  <c r="L789" i="10"/>
  <c r="K789" i="10"/>
  <c r="M789" i="10"/>
  <c r="G795" i="10"/>
  <c r="F795" i="10"/>
  <c r="H795" i="10" s="1"/>
  <c r="L797" i="10"/>
  <c r="K797" i="10"/>
  <c r="M797" i="10"/>
  <c r="G801" i="10"/>
  <c r="F801" i="10"/>
  <c r="H801" i="10" s="1"/>
  <c r="G805" i="10"/>
  <c r="F805" i="10"/>
  <c r="H805" i="10" s="1"/>
  <c r="G809" i="10"/>
  <c r="F809" i="10"/>
  <c r="H809" i="10" s="1"/>
  <c r="G813" i="10"/>
  <c r="F813" i="10"/>
  <c r="H813" i="10" s="1"/>
  <c r="G817" i="10"/>
  <c r="F817" i="10"/>
  <c r="H817" i="10" s="1"/>
  <c r="G821" i="10"/>
  <c r="F821" i="10"/>
  <c r="H821" i="10" s="1"/>
  <c r="G825" i="10"/>
  <c r="F825" i="10"/>
  <c r="H825" i="10" s="1"/>
  <c r="F829" i="10"/>
  <c r="H829" i="10" s="1"/>
  <c r="G829" i="10"/>
  <c r="L834" i="10"/>
  <c r="M834" i="10"/>
  <c r="K834" i="10"/>
  <c r="L836" i="10"/>
  <c r="M836" i="10"/>
  <c r="K836" i="10"/>
  <c r="L838" i="10"/>
  <c r="M838" i="10"/>
  <c r="K838" i="10"/>
  <c r="L840" i="10"/>
  <c r="M840" i="10"/>
  <c r="K840" i="10"/>
  <c r="K756" i="10"/>
  <c r="G757" i="10"/>
  <c r="K758" i="10"/>
  <c r="G759" i="10"/>
  <c r="K760" i="10"/>
  <c r="G761" i="10"/>
  <c r="G763" i="10"/>
  <c r="G765" i="10"/>
  <c r="G767" i="10"/>
  <c r="G769" i="10"/>
  <c r="G771" i="10"/>
  <c r="G773" i="10"/>
  <c r="G775" i="10"/>
  <c r="G777" i="10"/>
  <c r="L777" i="10"/>
  <c r="G779" i="10"/>
  <c r="L779" i="10"/>
  <c r="G781" i="10"/>
  <c r="L781" i="10"/>
  <c r="G783" i="10"/>
  <c r="L787" i="10"/>
  <c r="K787" i="10"/>
  <c r="M787" i="10"/>
  <c r="G793" i="10"/>
  <c r="F793" i="10"/>
  <c r="H793" i="10" s="1"/>
  <c r="L795" i="10"/>
  <c r="K795" i="10"/>
  <c r="M795" i="10"/>
  <c r="L832" i="10"/>
  <c r="M832" i="10"/>
  <c r="K832" i="10"/>
  <c r="F835" i="10"/>
  <c r="H835" i="10" s="1"/>
  <c r="G835" i="10"/>
  <c r="F837" i="10"/>
  <c r="H837" i="10" s="1"/>
  <c r="G837" i="10"/>
  <c r="F839" i="10"/>
  <c r="H839" i="10" s="1"/>
  <c r="G839" i="10"/>
  <c r="F841" i="10"/>
  <c r="H841" i="10" s="1"/>
  <c r="G841" i="10"/>
  <c r="L842" i="10"/>
  <c r="M842" i="10"/>
  <c r="K842" i="10"/>
  <c r="G784" i="10"/>
  <c r="G786" i="10"/>
  <c r="K788" i="10"/>
  <c r="K790" i="10"/>
  <c r="K792" i="10"/>
  <c r="K794" i="10"/>
  <c r="K796" i="10"/>
  <c r="K798" i="10"/>
  <c r="K800" i="10"/>
  <c r="K802" i="10"/>
  <c r="K804" i="10"/>
  <c r="K806" i="10"/>
  <c r="K808" i="10"/>
  <c r="K810" i="10"/>
  <c r="K812" i="10"/>
  <c r="K814" i="10"/>
  <c r="K816" i="10"/>
  <c r="K818" i="10"/>
  <c r="K820" i="10"/>
  <c r="K822" i="10"/>
  <c r="K824" i="10"/>
  <c r="K826" i="10"/>
  <c r="K828" i="10"/>
  <c r="K829" i="10"/>
  <c r="K831" i="10"/>
  <c r="K833" i="10"/>
  <c r="K835" i="10"/>
  <c r="K837" i="10"/>
  <c r="K839" i="10"/>
  <c r="F843" i="10"/>
  <c r="H843" i="10" s="1"/>
  <c r="L788" i="10"/>
  <c r="L790" i="10"/>
  <c r="L792" i="10"/>
  <c r="L794" i="10"/>
  <c r="L796" i="10"/>
  <c r="L798" i="10"/>
  <c r="L800" i="10"/>
  <c r="L802" i="10"/>
  <c r="L804" i="10"/>
  <c r="L806" i="10"/>
  <c r="L808" i="10"/>
  <c r="L810" i="10"/>
  <c r="L812" i="10"/>
  <c r="L814" i="10"/>
  <c r="L816" i="10"/>
  <c r="L818" i="10"/>
  <c r="L820" i="10"/>
  <c r="L822" i="10"/>
  <c r="L824" i="10"/>
  <c r="L826" i="10"/>
  <c r="L828" i="10"/>
  <c r="L829" i="10"/>
  <c r="L831" i="10"/>
  <c r="L833" i="10"/>
  <c r="K844" i="10"/>
  <c r="L844" i="10"/>
  <c r="K846" i="10"/>
  <c r="L846" i="10"/>
  <c r="K848" i="10"/>
  <c r="L848" i="10"/>
  <c r="K850" i="10"/>
  <c r="M850" i="10"/>
  <c r="L850" i="10"/>
  <c r="M851" i="10"/>
  <c r="K851" i="10"/>
  <c r="L851" i="10"/>
  <c r="K852" i="10"/>
  <c r="M852" i="10"/>
  <c r="L852" i="10"/>
  <c r="M853" i="10"/>
  <c r="K853" i="10"/>
  <c r="L853" i="10"/>
  <c r="K854" i="10"/>
  <c r="M854" i="10"/>
  <c r="L854" i="10"/>
  <c r="M855" i="10"/>
  <c r="K855" i="10"/>
  <c r="L855" i="10"/>
  <c r="K856" i="10"/>
  <c r="M856" i="10"/>
  <c r="L856" i="10"/>
  <c r="M857" i="10"/>
  <c r="K857" i="10"/>
  <c r="L857" i="10"/>
  <c r="K858" i="10"/>
  <c r="M858" i="10"/>
  <c r="L858" i="10"/>
  <c r="M859" i="10"/>
  <c r="K859" i="10"/>
  <c r="L859" i="10"/>
  <c r="K860" i="10"/>
  <c r="M860" i="10"/>
  <c r="L860" i="10"/>
  <c r="M861" i="10"/>
  <c r="K861" i="10"/>
  <c r="L861" i="10"/>
  <c r="K862" i="10"/>
  <c r="M862" i="10"/>
  <c r="L862" i="10"/>
  <c r="M863" i="10"/>
  <c r="K863" i="10"/>
  <c r="L863" i="10"/>
  <c r="K864" i="10"/>
  <c r="M864" i="10"/>
  <c r="L864" i="10"/>
  <c r="G844" i="10"/>
  <c r="F844" i="10"/>
  <c r="H844" i="10" s="1"/>
  <c r="G846" i="10"/>
  <c r="F846" i="10"/>
  <c r="H846" i="10" s="1"/>
  <c r="G848" i="10"/>
  <c r="F848" i="10"/>
  <c r="H848" i="10" s="1"/>
  <c r="G850" i="10"/>
  <c r="F850" i="10"/>
  <c r="H850" i="10" s="1"/>
  <c r="G851" i="10"/>
  <c r="F851" i="10"/>
  <c r="H851" i="10" s="1"/>
  <c r="G852" i="10"/>
  <c r="F852" i="10"/>
  <c r="H852" i="10" s="1"/>
  <c r="G853" i="10"/>
  <c r="F853" i="10"/>
  <c r="H853" i="10" s="1"/>
  <c r="G854" i="10"/>
  <c r="F854" i="10"/>
  <c r="H854" i="10" s="1"/>
  <c r="G855" i="10"/>
  <c r="F855" i="10"/>
  <c r="H855" i="10" s="1"/>
  <c r="G856" i="10"/>
  <c r="F856" i="10"/>
  <c r="H856" i="10" s="1"/>
  <c r="G857" i="10"/>
  <c r="F857" i="10"/>
  <c r="H857" i="10" s="1"/>
  <c r="G858" i="10"/>
  <c r="F858" i="10"/>
  <c r="H858" i="10" s="1"/>
  <c r="G859" i="10"/>
  <c r="F859" i="10"/>
  <c r="H859" i="10" s="1"/>
  <c r="G860" i="10"/>
  <c r="F860" i="10"/>
  <c r="H860" i="10" s="1"/>
  <c r="G861" i="10"/>
  <c r="F861" i="10"/>
  <c r="H861" i="10" s="1"/>
  <c r="G862" i="10"/>
  <c r="F862" i="10"/>
  <c r="H862" i="10" s="1"/>
  <c r="G863" i="10"/>
  <c r="F863" i="10"/>
  <c r="H863" i="10" s="1"/>
  <c r="G864" i="10"/>
  <c r="F864" i="10"/>
  <c r="H864" i="10" s="1"/>
  <c r="G865" i="10"/>
  <c r="F865" i="10"/>
  <c r="H865" i="10" s="1"/>
  <c r="G866" i="10"/>
  <c r="F866" i="10"/>
  <c r="H866" i="10" s="1"/>
  <c r="M843" i="10"/>
  <c r="K843" i="10"/>
  <c r="M845" i="10"/>
  <c r="K845" i="10"/>
  <c r="M847" i="10"/>
  <c r="K847" i="10"/>
  <c r="M849" i="10"/>
  <c r="K849" i="10"/>
  <c r="K866" i="10"/>
  <c r="M866" i="10"/>
  <c r="K868" i="10"/>
  <c r="M868" i="10"/>
  <c r="K870" i="10"/>
  <c r="M870" i="10"/>
  <c r="K872" i="10"/>
  <c r="M872" i="10"/>
  <c r="K874" i="10"/>
  <c r="M874" i="10"/>
  <c r="K876" i="10"/>
  <c r="M876" i="10"/>
  <c r="K878" i="10"/>
  <c r="M878" i="10"/>
  <c r="K880" i="10"/>
  <c r="M880" i="10"/>
  <c r="K882" i="10"/>
  <c r="M882" i="10"/>
  <c r="K884" i="10"/>
  <c r="M884" i="10"/>
  <c r="K886" i="10"/>
  <c r="M886" i="10"/>
  <c r="K888" i="10"/>
  <c r="M888" i="10"/>
  <c r="F891" i="10"/>
  <c r="H891" i="10" s="1"/>
  <c r="G891" i="10"/>
  <c r="L892" i="10"/>
  <c r="K892" i="10"/>
  <c r="M892" i="10"/>
  <c r="F895" i="10"/>
  <c r="H895" i="10" s="1"/>
  <c r="G895" i="10"/>
  <c r="G896" i="10"/>
  <c r="F896" i="10"/>
  <c r="H896" i="10" s="1"/>
  <c r="F903" i="10"/>
  <c r="H903" i="10" s="1"/>
  <c r="G903" i="10"/>
  <c r="G904" i="10"/>
  <c r="F904" i="10"/>
  <c r="H904" i="10" s="1"/>
  <c r="L866" i="10"/>
  <c r="F868" i="10"/>
  <c r="H868" i="10" s="1"/>
  <c r="L868" i="10"/>
  <c r="F870" i="10"/>
  <c r="H870" i="10" s="1"/>
  <c r="L870" i="10"/>
  <c r="F872" i="10"/>
  <c r="H872" i="10" s="1"/>
  <c r="L872" i="10"/>
  <c r="F874" i="10"/>
  <c r="H874" i="10" s="1"/>
  <c r="L874" i="10"/>
  <c r="F876" i="10"/>
  <c r="H876" i="10" s="1"/>
  <c r="L876" i="10"/>
  <c r="F878" i="10"/>
  <c r="H878" i="10" s="1"/>
  <c r="L878" i="10"/>
  <c r="F880" i="10"/>
  <c r="H880" i="10" s="1"/>
  <c r="L880" i="10"/>
  <c r="F882" i="10"/>
  <c r="H882" i="10" s="1"/>
  <c r="L882" i="10"/>
  <c r="F884" i="10"/>
  <c r="H884" i="10" s="1"/>
  <c r="L884" i="10"/>
  <c r="F886" i="10"/>
  <c r="H886" i="10" s="1"/>
  <c r="L886" i="10"/>
  <c r="F888" i="10"/>
  <c r="H888" i="10" s="1"/>
  <c r="L888" i="10"/>
  <c r="F890" i="10"/>
  <c r="H890" i="10" s="1"/>
  <c r="F893" i="10"/>
  <c r="H893" i="10" s="1"/>
  <c r="G893" i="10"/>
  <c r="G894" i="10"/>
  <c r="F894" i="10"/>
  <c r="H894" i="10" s="1"/>
  <c r="F901" i="10"/>
  <c r="H901" i="10" s="1"/>
  <c r="G901" i="10"/>
  <c r="G902" i="10"/>
  <c r="F902" i="10"/>
  <c r="H902" i="10" s="1"/>
  <c r="M865" i="10"/>
  <c r="K865" i="10"/>
  <c r="M867" i="10"/>
  <c r="K867" i="10"/>
  <c r="M869" i="10"/>
  <c r="K869" i="10"/>
  <c r="M871" i="10"/>
  <c r="K871" i="10"/>
  <c r="M873" i="10"/>
  <c r="K873" i="10"/>
  <c r="M875" i="10"/>
  <c r="K875" i="10"/>
  <c r="M877" i="10"/>
  <c r="K877" i="10"/>
  <c r="M879" i="10"/>
  <c r="K879" i="10"/>
  <c r="M881" i="10"/>
  <c r="K881" i="10"/>
  <c r="M883" i="10"/>
  <c r="K883" i="10"/>
  <c r="M885" i="10"/>
  <c r="K885" i="10"/>
  <c r="M887" i="10"/>
  <c r="K887" i="10"/>
  <c r="M889" i="10"/>
  <c r="K889" i="10"/>
  <c r="F892" i="10"/>
  <c r="H892" i="10" s="1"/>
  <c r="F899" i="10"/>
  <c r="H899" i="10" s="1"/>
  <c r="G899" i="10"/>
  <c r="G900" i="10"/>
  <c r="F900" i="10"/>
  <c r="H900" i="10" s="1"/>
  <c r="L865" i="10"/>
  <c r="F867" i="10"/>
  <c r="H867" i="10" s="1"/>
  <c r="L867" i="10"/>
  <c r="F869" i="10"/>
  <c r="H869" i="10" s="1"/>
  <c r="L869" i="10"/>
  <c r="F871" i="10"/>
  <c r="H871" i="10" s="1"/>
  <c r="L871" i="10"/>
  <c r="F873" i="10"/>
  <c r="H873" i="10" s="1"/>
  <c r="L873" i="10"/>
  <c r="F875" i="10"/>
  <c r="H875" i="10" s="1"/>
  <c r="L875" i="10"/>
  <c r="F877" i="10"/>
  <c r="H877" i="10" s="1"/>
  <c r="L877" i="10"/>
  <c r="F879" i="10"/>
  <c r="H879" i="10" s="1"/>
  <c r="L879" i="10"/>
  <c r="F881" i="10"/>
  <c r="H881" i="10" s="1"/>
  <c r="L881" i="10"/>
  <c r="F883" i="10"/>
  <c r="H883" i="10" s="1"/>
  <c r="L883" i="10"/>
  <c r="F885" i="10"/>
  <c r="H885" i="10" s="1"/>
  <c r="L885" i="10"/>
  <c r="F887" i="10"/>
  <c r="H887" i="10" s="1"/>
  <c r="L887" i="10"/>
  <c r="F889" i="10"/>
  <c r="H889" i="10" s="1"/>
  <c r="L890" i="10"/>
  <c r="K890" i="10"/>
  <c r="M890" i="10"/>
  <c r="F897" i="10"/>
  <c r="H897" i="10" s="1"/>
  <c r="G897" i="10"/>
  <c r="G898" i="10"/>
  <c r="F898" i="10"/>
  <c r="H898" i="10" s="1"/>
  <c r="F905" i="10"/>
  <c r="H905" i="10" s="1"/>
  <c r="G905" i="10"/>
  <c r="G906" i="10"/>
  <c r="F906" i="10"/>
  <c r="H906" i="10" s="1"/>
  <c r="K891" i="10"/>
  <c r="K893" i="10"/>
  <c r="M894" i="10"/>
  <c r="K895" i="10"/>
  <c r="M896" i="10"/>
  <c r="K897" i="10"/>
  <c r="M898" i="10"/>
  <c r="K899" i="10"/>
  <c r="M900" i="10"/>
  <c r="K901" i="10"/>
  <c r="M902" i="10"/>
  <c r="K903" i="10"/>
  <c r="M904" i="10"/>
  <c r="K905" i="10"/>
  <c r="K910" i="10"/>
  <c r="G911" i="10"/>
  <c r="K912" i="10"/>
  <c r="G913" i="10"/>
  <c r="K914" i="10"/>
  <c r="G915" i="10"/>
  <c r="K916" i="10"/>
  <c r="G917" i="10"/>
  <c r="K918" i="10"/>
  <c r="G919" i="10"/>
  <c r="K920" i="10"/>
  <c r="G921" i="10"/>
  <c r="K922" i="10"/>
  <c r="G923" i="10"/>
  <c r="K924" i="10"/>
  <c r="G925" i="10"/>
  <c r="K926" i="10"/>
  <c r="G927" i="10"/>
  <c r="K928" i="10"/>
  <c r="G929" i="10"/>
  <c r="K930" i="10"/>
  <c r="G931" i="10"/>
  <c r="K932" i="10"/>
  <c r="G933" i="10"/>
  <c r="K934" i="10"/>
  <c r="G935" i="10"/>
  <c r="K936" i="10"/>
  <c r="G937" i="10"/>
  <c r="K938" i="10"/>
  <c r="G939" i="10"/>
  <c r="K940" i="10"/>
  <c r="G941" i="10"/>
  <c r="K942" i="10"/>
  <c r="G944" i="10"/>
  <c r="F944" i="10"/>
  <c r="H944" i="10" s="1"/>
  <c r="M946" i="10"/>
  <c r="L946" i="10"/>
  <c r="K946" i="10"/>
  <c r="K947" i="10"/>
  <c r="M947" i="10"/>
  <c r="L947" i="10"/>
  <c r="M954" i="10"/>
  <c r="L954" i="10"/>
  <c r="K954" i="10"/>
  <c r="K955" i="10"/>
  <c r="M955" i="10"/>
  <c r="L955" i="10"/>
  <c r="M962" i="10"/>
  <c r="L962" i="10"/>
  <c r="K962" i="10"/>
  <c r="K963" i="10"/>
  <c r="M963" i="10"/>
  <c r="L963" i="10"/>
  <c r="M970" i="10"/>
  <c r="L970" i="10"/>
  <c r="K970" i="10"/>
  <c r="K971" i="10"/>
  <c r="M971" i="10"/>
  <c r="L971" i="10"/>
  <c r="M978" i="10"/>
  <c r="L978" i="10"/>
  <c r="K978" i="10"/>
  <c r="K979" i="10"/>
  <c r="M979" i="10"/>
  <c r="L979" i="10"/>
  <c r="M910" i="10"/>
  <c r="M912" i="10"/>
  <c r="M914" i="10"/>
  <c r="M916" i="10"/>
  <c r="M918" i="10"/>
  <c r="M920" i="10"/>
  <c r="M922" i="10"/>
  <c r="M924" i="10"/>
  <c r="M926" i="10"/>
  <c r="M928" i="10"/>
  <c r="M930" i="10"/>
  <c r="M932" i="10"/>
  <c r="M934" i="10"/>
  <c r="M936" i="10"/>
  <c r="M938" i="10"/>
  <c r="M940" i="10"/>
  <c r="M942" i="10"/>
  <c r="M943" i="10"/>
  <c r="L943" i="10"/>
  <c r="M944" i="10"/>
  <c r="L944" i="10"/>
  <c r="K944" i="10"/>
  <c r="K945" i="10"/>
  <c r="M945" i="10"/>
  <c r="L945" i="10"/>
  <c r="M952" i="10"/>
  <c r="L952" i="10"/>
  <c r="K952" i="10"/>
  <c r="K953" i="10"/>
  <c r="M953" i="10"/>
  <c r="L953" i="10"/>
  <c r="M960" i="10"/>
  <c r="L960" i="10"/>
  <c r="K960" i="10"/>
  <c r="K961" i="10"/>
  <c r="M961" i="10"/>
  <c r="L961" i="10"/>
  <c r="M968" i="10"/>
  <c r="L968" i="10"/>
  <c r="K968" i="10"/>
  <c r="K969" i="10"/>
  <c r="M969" i="10"/>
  <c r="L969" i="10"/>
  <c r="M976" i="10"/>
  <c r="L976" i="10"/>
  <c r="K976" i="10"/>
  <c r="K977" i="10"/>
  <c r="M977" i="10"/>
  <c r="L977" i="10"/>
  <c r="K894" i="10"/>
  <c r="K896" i="10"/>
  <c r="K898" i="10"/>
  <c r="K900" i="10"/>
  <c r="K902" i="10"/>
  <c r="K904" i="10"/>
  <c r="F907" i="10"/>
  <c r="H907" i="10" s="1"/>
  <c r="K907" i="10"/>
  <c r="G908" i="10"/>
  <c r="F909" i="10"/>
  <c r="H909" i="10" s="1"/>
  <c r="K909" i="10"/>
  <c r="G910" i="10"/>
  <c r="K911" i="10"/>
  <c r="G912" i="10"/>
  <c r="K913" i="10"/>
  <c r="G914" i="10"/>
  <c r="K915" i="10"/>
  <c r="G916" i="10"/>
  <c r="K917" i="10"/>
  <c r="G918" i="10"/>
  <c r="K919" i="10"/>
  <c r="G920" i="10"/>
  <c r="K921" i="10"/>
  <c r="G922" i="10"/>
  <c r="K923" i="10"/>
  <c r="G924" i="10"/>
  <c r="K925" i="10"/>
  <c r="G926" i="10"/>
  <c r="K927" i="10"/>
  <c r="G928" i="10"/>
  <c r="K929" i="10"/>
  <c r="G930" i="10"/>
  <c r="K931" i="10"/>
  <c r="G932" i="10"/>
  <c r="K933" i="10"/>
  <c r="G934" i="10"/>
  <c r="K935" i="10"/>
  <c r="G936" i="10"/>
  <c r="K937" i="10"/>
  <c r="G938" i="10"/>
  <c r="K939" i="10"/>
  <c r="G940" i="10"/>
  <c r="K941" i="10"/>
  <c r="G942" i="10"/>
  <c r="K943" i="10"/>
  <c r="M950" i="10"/>
  <c r="L950" i="10"/>
  <c r="K950" i="10"/>
  <c r="K951" i="10"/>
  <c r="M951" i="10"/>
  <c r="L951" i="10"/>
  <c r="M958" i="10"/>
  <c r="L958" i="10"/>
  <c r="K958" i="10"/>
  <c r="K959" i="10"/>
  <c r="M959" i="10"/>
  <c r="L959" i="10"/>
  <c r="M966" i="10"/>
  <c r="L966" i="10"/>
  <c r="K966" i="10"/>
  <c r="K967" i="10"/>
  <c r="M967" i="10"/>
  <c r="L967" i="10"/>
  <c r="M974" i="10"/>
  <c r="L974" i="10"/>
  <c r="K974" i="10"/>
  <c r="K975" i="10"/>
  <c r="M975" i="10"/>
  <c r="L975" i="10"/>
  <c r="M907" i="10"/>
  <c r="M909" i="10"/>
  <c r="M911" i="10"/>
  <c r="M913" i="10"/>
  <c r="M915" i="10"/>
  <c r="M917" i="10"/>
  <c r="M919" i="10"/>
  <c r="M921" i="10"/>
  <c r="M923" i="10"/>
  <c r="M925" i="10"/>
  <c r="M927" i="10"/>
  <c r="M929" i="10"/>
  <c r="M931" i="10"/>
  <c r="M933" i="10"/>
  <c r="M935" i="10"/>
  <c r="M937" i="10"/>
  <c r="M939" i="10"/>
  <c r="M941" i="10"/>
  <c r="M948" i="10"/>
  <c r="L948" i="10"/>
  <c r="K948" i="10"/>
  <c r="K949" i="10"/>
  <c r="M949" i="10"/>
  <c r="L949" i="10"/>
  <c r="M956" i="10"/>
  <c r="L956" i="10"/>
  <c r="K956" i="10"/>
  <c r="K957" i="10"/>
  <c r="M957" i="10"/>
  <c r="L957" i="10"/>
  <c r="M964" i="10"/>
  <c r="L964" i="10"/>
  <c r="K964" i="10"/>
  <c r="K965" i="10"/>
  <c r="M965" i="10"/>
  <c r="L965" i="10"/>
  <c r="M972" i="10"/>
  <c r="L972" i="10"/>
  <c r="K972" i="10"/>
  <c r="K973" i="10"/>
  <c r="M973" i="10"/>
  <c r="L973" i="10"/>
  <c r="F946" i="10"/>
  <c r="H946" i="10" s="1"/>
  <c r="F948" i="10"/>
  <c r="H948" i="10" s="1"/>
  <c r="F950" i="10"/>
  <c r="H950" i="10" s="1"/>
  <c r="F952" i="10"/>
  <c r="H952" i="10" s="1"/>
  <c r="F954" i="10"/>
  <c r="H954" i="10" s="1"/>
  <c r="F956" i="10"/>
  <c r="H956" i="10" s="1"/>
  <c r="F958" i="10"/>
  <c r="H958" i="10" s="1"/>
  <c r="F960" i="10"/>
  <c r="H960" i="10" s="1"/>
  <c r="F962" i="10"/>
  <c r="H962" i="10" s="1"/>
  <c r="F964" i="10"/>
  <c r="H964" i="10" s="1"/>
  <c r="F966" i="10"/>
  <c r="H966" i="10" s="1"/>
  <c r="F968" i="10"/>
  <c r="H968" i="10" s="1"/>
  <c r="F970" i="10"/>
  <c r="H970" i="10" s="1"/>
  <c r="F972" i="10"/>
  <c r="H972" i="10" s="1"/>
  <c r="F974" i="10"/>
  <c r="H974" i="10" s="1"/>
  <c r="F976" i="10"/>
  <c r="H976" i="10" s="1"/>
  <c r="F978" i="10"/>
  <c r="H978" i="10" s="1"/>
  <c r="K980" i="10"/>
  <c r="F981" i="10"/>
  <c r="H981" i="10" s="1"/>
  <c r="L981" i="10"/>
  <c r="K982" i="10"/>
  <c r="F983" i="10"/>
  <c r="H983" i="10" s="1"/>
  <c r="F985" i="10"/>
  <c r="H985" i="10" s="1"/>
  <c r="F987" i="10"/>
  <c r="H987" i="10" s="1"/>
  <c r="F989" i="10"/>
  <c r="H989" i="10" s="1"/>
  <c r="F991" i="10"/>
  <c r="H991" i="10" s="1"/>
  <c r="F993" i="10"/>
  <c r="H993" i="10" s="1"/>
  <c r="F995" i="10"/>
  <c r="H995" i="10" s="1"/>
  <c r="F999" i="10"/>
  <c r="H999" i="10" s="1"/>
  <c r="G1002" i="10"/>
  <c r="F1002" i="10"/>
  <c r="H1002" i="10" s="1"/>
  <c r="K1003" i="10"/>
  <c r="M1003" i="10"/>
  <c r="L1003" i="10"/>
  <c r="L1007" i="10"/>
  <c r="M1007" i="10"/>
  <c r="K1007" i="10"/>
  <c r="F1010" i="10"/>
  <c r="H1010" i="10" s="1"/>
  <c r="G1010" i="10"/>
  <c r="L980" i="10"/>
  <c r="M981" i="10"/>
  <c r="L982" i="10"/>
  <c r="M984" i="10"/>
  <c r="K984" i="10"/>
  <c r="M986" i="10"/>
  <c r="K986" i="10"/>
  <c r="M988" i="10"/>
  <c r="K988" i="10"/>
  <c r="M990" i="10"/>
  <c r="K990" i="10"/>
  <c r="M992" i="10"/>
  <c r="K992" i="10"/>
  <c r="M994" i="10"/>
  <c r="K994" i="10"/>
  <c r="G996" i="10"/>
  <c r="F996" i="10"/>
  <c r="H996" i="10" s="1"/>
  <c r="K997" i="10"/>
  <c r="M997" i="10"/>
  <c r="L997" i="10"/>
  <c r="F1001" i="10"/>
  <c r="H1001" i="10" s="1"/>
  <c r="G1004" i="10"/>
  <c r="F1004" i="10"/>
  <c r="H1004" i="10" s="1"/>
  <c r="K1005" i="10"/>
  <c r="M1005" i="10"/>
  <c r="L1005" i="10"/>
  <c r="F1008" i="10"/>
  <c r="H1008" i="10" s="1"/>
  <c r="G1008" i="10"/>
  <c r="F984" i="10"/>
  <c r="H984" i="10" s="1"/>
  <c r="L984" i="10"/>
  <c r="F986" i="10"/>
  <c r="H986" i="10" s="1"/>
  <c r="L986" i="10"/>
  <c r="F988" i="10"/>
  <c r="H988" i="10" s="1"/>
  <c r="L988" i="10"/>
  <c r="F990" i="10"/>
  <c r="H990" i="10" s="1"/>
  <c r="L990" i="10"/>
  <c r="F992" i="10"/>
  <c r="H992" i="10" s="1"/>
  <c r="L992" i="10"/>
  <c r="F994" i="10"/>
  <c r="H994" i="10" s="1"/>
  <c r="L994" i="10"/>
  <c r="G998" i="10"/>
  <c r="F998" i="10"/>
  <c r="H998" i="10" s="1"/>
  <c r="K999" i="10"/>
  <c r="M999" i="10"/>
  <c r="L999" i="10"/>
  <c r="F1003" i="10"/>
  <c r="H1003" i="10" s="1"/>
  <c r="F1006" i="10"/>
  <c r="H1006" i="10" s="1"/>
  <c r="G1006" i="10"/>
  <c r="K1008" i="10"/>
  <c r="M1008" i="10"/>
  <c r="L1008" i="10"/>
  <c r="L1011" i="10"/>
  <c r="M1011" i="10"/>
  <c r="K1011" i="10"/>
  <c r="K983" i="10"/>
  <c r="M983" i="10"/>
  <c r="K985" i="10"/>
  <c r="M985" i="10"/>
  <c r="K987" i="10"/>
  <c r="M987" i="10"/>
  <c r="K989" i="10"/>
  <c r="M989" i="10"/>
  <c r="K991" i="10"/>
  <c r="M991" i="10"/>
  <c r="K993" i="10"/>
  <c r="M993" i="10"/>
  <c r="K995" i="10"/>
  <c r="M995" i="10"/>
  <c r="G1000" i="10"/>
  <c r="F1000" i="10"/>
  <c r="H1000" i="10" s="1"/>
  <c r="K1001" i="10"/>
  <c r="M1001" i="10"/>
  <c r="L1001" i="10"/>
  <c r="K1006" i="10"/>
  <c r="M1006" i="10"/>
  <c r="L1006" i="10"/>
  <c r="L1009" i="10"/>
  <c r="M1009" i="10"/>
  <c r="K1009" i="10"/>
  <c r="F1012" i="10"/>
  <c r="H1012" i="10" s="1"/>
  <c r="G1012" i="10"/>
  <c r="L1010" i="10"/>
  <c r="L1012" i="10"/>
  <c r="M1013" i="10"/>
  <c r="M1015" i="10"/>
  <c r="M1017" i="10"/>
  <c r="M1019" i="10"/>
  <c r="M1021" i="10"/>
  <c r="M1023" i="10"/>
  <c r="M1025" i="10"/>
  <c r="M1027" i="10"/>
  <c r="M1028" i="10"/>
  <c r="L1028" i="10"/>
  <c r="L1029" i="10"/>
  <c r="K1029" i="10"/>
  <c r="G1031" i="10"/>
  <c r="F1031" i="10"/>
  <c r="H1031" i="10" s="1"/>
  <c r="M1036" i="10"/>
  <c r="L1036" i="10"/>
  <c r="L1037" i="10"/>
  <c r="K1037" i="10"/>
  <c r="G1039" i="10"/>
  <c r="F1039" i="10"/>
  <c r="H1039" i="10" s="1"/>
  <c r="M1043" i="10"/>
  <c r="L1043" i="10"/>
  <c r="K1043" i="10"/>
  <c r="L1044" i="10"/>
  <c r="M1044" i="10"/>
  <c r="K1044" i="10"/>
  <c r="L1048" i="10"/>
  <c r="M1048" i="10"/>
  <c r="K1048" i="10"/>
  <c r="L1052" i="10"/>
  <c r="M1052" i="10"/>
  <c r="K1052" i="10"/>
  <c r="K996" i="10"/>
  <c r="K998" i="10"/>
  <c r="K1000" i="10"/>
  <c r="K1002" i="10"/>
  <c r="K1004" i="10"/>
  <c r="M1010" i="10"/>
  <c r="M1012" i="10"/>
  <c r="K1014" i="10"/>
  <c r="G1015" i="10"/>
  <c r="K1016" i="10"/>
  <c r="G1017" i="10"/>
  <c r="K1018" i="10"/>
  <c r="G1019" i="10"/>
  <c r="K1020" i="10"/>
  <c r="G1021" i="10"/>
  <c r="K1022" i="10"/>
  <c r="G1023" i="10"/>
  <c r="K1024" i="10"/>
  <c r="G1025" i="10"/>
  <c r="K1026" i="10"/>
  <c r="G1027" i="10"/>
  <c r="M1030" i="10"/>
  <c r="L1030" i="10"/>
  <c r="L1031" i="10"/>
  <c r="K1031" i="10"/>
  <c r="G1033" i="10"/>
  <c r="F1033" i="10"/>
  <c r="H1033" i="10" s="1"/>
  <c r="K1036" i="10"/>
  <c r="M1037" i="10"/>
  <c r="M1038" i="10"/>
  <c r="L1038" i="10"/>
  <c r="L1039" i="10"/>
  <c r="K1039" i="10"/>
  <c r="G1041" i="10"/>
  <c r="F1041" i="10"/>
  <c r="H1041" i="10" s="1"/>
  <c r="F1045" i="10"/>
  <c r="H1045" i="10" s="1"/>
  <c r="G1045" i="10"/>
  <c r="F1049" i="10"/>
  <c r="H1049" i="10" s="1"/>
  <c r="G1049" i="10"/>
  <c r="F1053" i="10"/>
  <c r="H1053" i="10" s="1"/>
  <c r="G1053" i="10"/>
  <c r="L1056" i="10"/>
  <c r="M1056" i="10"/>
  <c r="K1056" i="10"/>
  <c r="M1032" i="10"/>
  <c r="L1032" i="10"/>
  <c r="L1033" i="10"/>
  <c r="K1033" i="10"/>
  <c r="G1035" i="10"/>
  <c r="F1035" i="10"/>
  <c r="H1035" i="10" s="1"/>
  <c r="M1040" i="10"/>
  <c r="L1040" i="10"/>
  <c r="M1041" i="10"/>
  <c r="L1041" i="10"/>
  <c r="K1041" i="10"/>
  <c r="L1042" i="10"/>
  <c r="M1042" i="10"/>
  <c r="K1042" i="10"/>
  <c r="L1046" i="10"/>
  <c r="M1046" i="10"/>
  <c r="K1046" i="10"/>
  <c r="L1050" i="10"/>
  <c r="M1050" i="10"/>
  <c r="K1050" i="10"/>
  <c r="L1054" i="10"/>
  <c r="M1054" i="10"/>
  <c r="K1054" i="10"/>
  <c r="K1013" i="10"/>
  <c r="G1014" i="10"/>
  <c r="K1015" i="10"/>
  <c r="G1016" i="10"/>
  <c r="K1017" i="10"/>
  <c r="G1018" i="10"/>
  <c r="K1019" i="10"/>
  <c r="G1020" i="10"/>
  <c r="K1021" i="10"/>
  <c r="G1022" i="10"/>
  <c r="K1023" i="10"/>
  <c r="G1024" i="10"/>
  <c r="K1025" i="10"/>
  <c r="G1026" i="10"/>
  <c r="K1027" i="10"/>
  <c r="G1028" i="10"/>
  <c r="G1029" i="10"/>
  <c r="F1029" i="10"/>
  <c r="H1029" i="10" s="1"/>
  <c r="K1032" i="10"/>
  <c r="M1033" i="10"/>
  <c r="M1034" i="10"/>
  <c r="L1034" i="10"/>
  <c r="L1035" i="10"/>
  <c r="K1035" i="10"/>
  <c r="G1037" i="10"/>
  <c r="F1037" i="10"/>
  <c r="H1037" i="10" s="1"/>
  <c r="K1040" i="10"/>
  <c r="F1043" i="10"/>
  <c r="H1043" i="10" s="1"/>
  <c r="G1043" i="10"/>
  <c r="F1047" i="10"/>
  <c r="H1047" i="10" s="1"/>
  <c r="G1047" i="10"/>
  <c r="F1051" i="10"/>
  <c r="H1051" i="10" s="1"/>
  <c r="G1051" i="10"/>
  <c r="F1055" i="10"/>
  <c r="H1055" i="10" s="1"/>
  <c r="G1055" i="10"/>
  <c r="L1058" i="10"/>
  <c r="K1058" i="10"/>
  <c r="M1058" i="10"/>
  <c r="K1045" i="10"/>
  <c r="K1047" i="10"/>
  <c r="K1049" i="10"/>
  <c r="K1051" i="10"/>
  <c r="K1053" i="10"/>
  <c r="K1055" i="10"/>
  <c r="G1063" i="10"/>
  <c r="F1063" i="10"/>
  <c r="H1063" i="10" s="1"/>
  <c r="M1064" i="10"/>
  <c r="L1064" i="10"/>
  <c r="K1064" i="10"/>
  <c r="K1067" i="10"/>
  <c r="M1067" i="10"/>
  <c r="G1071" i="10"/>
  <c r="F1071" i="10"/>
  <c r="H1071" i="10" s="1"/>
  <c r="M1072" i="10"/>
  <c r="L1072" i="10"/>
  <c r="K1072" i="10"/>
  <c r="K1075" i="10"/>
  <c r="M1075" i="10"/>
  <c r="G1079" i="10"/>
  <c r="F1079" i="10"/>
  <c r="H1079" i="10" s="1"/>
  <c r="M1080" i="10"/>
  <c r="L1080" i="10"/>
  <c r="K1080" i="10"/>
  <c r="L1045" i="10"/>
  <c r="L1047" i="10"/>
  <c r="L1049" i="10"/>
  <c r="L1051" i="10"/>
  <c r="L1053" i="10"/>
  <c r="K1061" i="10"/>
  <c r="M1061" i="10"/>
  <c r="G1065" i="10"/>
  <c r="F1065" i="10"/>
  <c r="H1065" i="10" s="1"/>
  <c r="M1066" i="10"/>
  <c r="L1066" i="10"/>
  <c r="K1066" i="10"/>
  <c r="K1069" i="10"/>
  <c r="M1069" i="10"/>
  <c r="G1073" i="10"/>
  <c r="F1073" i="10"/>
  <c r="H1073" i="10" s="1"/>
  <c r="M1074" i="10"/>
  <c r="L1074" i="10"/>
  <c r="K1074" i="10"/>
  <c r="K1077" i="10"/>
  <c r="M1077" i="10"/>
  <c r="G1081" i="10"/>
  <c r="F1081" i="10"/>
  <c r="H1081" i="10" s="1"/>
  <c r="M1082" i="10"/>
  <c r="L1082" i="10"/>
  <c r="K1082" i="10"/>
  <c r="M1060" i="10"/>
  <c r="L1060" i="10"/>
  <c r="K1060" i="10"/>
  <c r="L1061" i="10"/>
  <c r="K1063" i="10"/>
  <c r="M1063" i="10"/>
  <c r="G1067" i="10"/>
  <c r="F1067" i="10"/>
  <c r="H1067" i="10" s="1"/>
  <c r="M1068" i="10"/>
  <c r="L1068" i="10"/>
  <c r="K1068" i="10"/>
  <c r="L1069" i="10"/>
  <c r="K1071" i="10"/>
  <c r="M1071" i="10"/>
  <c r="G1075" i="10"/>
  <c r="F1075" i="10"/>
  <c r="H1075" i="10" s="1"/>
  <c r="M1076" i="10"/>
  <c r="L1076" i="10"/>
  <c r="K1076" i="10"/>
  <c r="L1077" i="10"/>
  <c r="K1079" i="10"/>
  <c r="M1079" i="10"/>
  <c r="G1061" i="10"/>
  <c r="F1061" i="10"/>
  <c r="H1061" i="10" s="1"/>
  <c r="M1062" i="10"/>
  <c r="L1062" i="10"/>
  <c r="K1062" i="10"/>
  <c r="L1063" i="10"/>
  <c r="K1065" i="10"/>
  <c r="M1065" i="10"/>
  <c r="G1069" i="10"/>
  <c r="F1069" i="10"/>
  <c r="H1069" i="10" s="1"/>
  <c r="M1070" i="10"/>
  <c r="L1070" i="10"/>
  <c r="K1070" i="10"/>
  <c r="L1071" i="10"/>
  <c r="K1073" i="10"/>
  <c r="M1073" i="10"/>
  <c r="G1077" i="10"/>
  <c r="F1077" i="10"/>
  <c r="H1077" i="10" s="1"/>
  <c r="M1078" i="10"/>
  <c r="L1078" i="10"/>
  <c r="K1078" i="10"/>
  <c r="L1079" i="10"/>
  <c r="K1081" i="10"/>
  <c r="M1081" i="10"/>
  <c r="G1083" i="10" l="1"/>
  <c r="H1083" i="10"/>
  <c r="F1083" i="10"/>
  <c r="M1083" i="10"/>
  <c r="K1083" i="10"/>
  <c r="G5" i="5" l="1"/>
  <c r="D5" i="5"/>
  <c r="Q13" i="3"/>
  <c r="T13" i="3"/>
  <c r="T12" i="3"/>
  <c r="Q12" i="3"/>
  <c r="N14" i="3"/>
  <c r="N13" i="3"/>
  <c r="B20" i="5"/>
  <c r="B19" i="5"/>
  <c r="K10" i="3" l="1"/>
  <c r="K9" i="3"/>
  <c r="K8" i="3"/>
  <c r="B10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3" i="3"/>
  <c r="K4" i="3" s="1"/>
  <c r="K6" i="3" s="1"/>
  <c r="B21" i="4"/>
  <c r="B20" i="4"/>
  <c r="T5" i="3" l="1"/>
  <c r="Q5" i="3"/>
  <c r="B6" i="5"/>
  <c r="B11" i="5" s="1"/>
  <c r="B12" i="5" s="1"/>
  <c r="G9" i="7"/>
  <c r="N5" i="3"/>
  <c r="G22" i="6"/>
  <c r="H2" i="5"/>
  <c r="H3" i="5" s="1"/>
  <c r="E2" i="5"/>
  <c r="E3" i="5" s="1"/>
  <c r="B14" i="4"/>
  <c r="B11" i="4"/>
  <c r="B12" i="4"/>
  <c r="H19" i="6" l="1"/>
  <c r="Q6" i="3"/>
  <c r="M6" i="7"/>
  <c r="M7" i="7" s="1"/>
  <c r="H6" i="7"/>
  <c r="H7" i="7" s="1"/>
  <c r="N9" i="3"/>
  <c r="N6" i="3"/>
  <c r="N7" i="3"/>
  <c r="R19" i="6"/>
  <c r="T6" i="3"/>
  <c r="H25" i="6" s="1"/>
  <c r="I28" i="6" s="1"/>
  <c r="J31" i="6" s="1"/>
  <c r="B13" i="5"/>
  <c r="B14" i="5" s="1"/>
  <c r="H8" i="5"/>
  <c r="H9" i="5" s="1"/>
  <c r="E8" i="5"/>
  <c r="E9" i="5" s="1"/>
  <c r="B15" i="4"/>
  <c r="B17" i="4" s="1"/>
  <c r="W5" i="6"/>
  <c r="B13" i="4"/>
  <c r="B16" i="4" s="1"/>
  <c r="K34" i="6" l="1"/>
  <c r="J32" i="6"/>
  <c r="N10" i="3"/>
  <c r="N12" i="3" s="1"/>
  <c r="N8" i="3"/>
  <c r="N11" i="3" s="1"/>
  <c r="M12" i="7"/>
  <c r="M13" i="7" s="1"/>
  <c r="Q7" i="3"/>
  <c r="Q8" i="3" s="1"/>
  <c r="S16" i="6"/>
  <c r="S22" i="6"/>
  <c r="T25" i="6" s="1"/>
  <c r="U28" i="6" s="1"/>
  <c r="V31" i="6" s="1"/>
  <c r="W34" i="6" s="1"/>
  <c r="W35" i="6" s="1"/>
  <c r="H12" i="7"/>
  <c r="H13" i="7" s="1"/>
  <c r="L10" i="7"/>
  <c r="R25" i="6"/>
  <c r="S28" i="6" s="1"/>
  <c r="T31" i="6" s="1"/>
  <c r="U34" i="6" s="1"/>
  <c r="V37" i="6" s="1"/>
  <c r="W40" i="6" s="1"/>
  <c r="W41" i="6" s="1"/>
  <c r="T7" i="3"/>
  <c r="G10" i="7"/>
  <c r="Q10" i="3" s="1"/>
  <c r="I16" i="6"/>
  <c r="I22" i="6"/>
  <c r="J25" i="6" s="1"/>
  <c r="K28" i="6" s="1"/>
  <c r="D6" i="5"/>
  <c r="B15" i="5" s="1"/>
  <c r="G6" i="5"/>
  <c r="B16" i="5" s="1"/>
  <c r="Q11" i="3"/>
  <c r="C1080" i="1"/>
  <c r="F9" i="1"/>
  <c r="F8" i="1"/>
  <c r="F7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3" i="1"/>
  <c r="T8" i="3" l="1"/>
  <c r="U11" i="6"/>
  <c r="K29" i="6"/>
  <c r="L31" i="6"/>
  <c r="V38" i="6"/>
  <c r="T19" i="6"/>
  <c r="U22" i="6" s="1"/>
  <c r="V25" i="6" s="1"/>
  <c r="W28" i="6" s="1"/>
  <c r="W29" i="6" s="1"/>
  <c r="V32" i="6" s="1"/>
  <c r="U35" i="6" s="1"/>
  <c r="T13" i="6"/>
  <c r="J19" i="6"/>
  <c r="K22" i="6" s="1"/>
  <c r="L25" i="6" s="1"/>
  <c r="J13" i="6"/>
  <c r="F4" i="1"/>
  <c r="F6" i="1" s="1"/>
  <c r="U17" i="6"/>
  <c r="K35" i="6"/>
  <c r="L37" i="6"/>
  <c r="U16" i="6" l="1"/>
  <c r="V19" i="6" s="1"/>
  <c r="W22" i="6" s="1"/>
  <c r="W23" i="6" s="1"/>
  <c r="V26" i="6" s="1"/>
  <c r="U10" i="6"/>
  <c r="L38" i="6"/>
  <c r="M40" i="6"/>
  <c r="M41" i="6" s="1"/>
  <c r="K10" i="6"/>
  <c r="K16" i="6"/>
  <c r="L19" i="6" s="1"/>
  <c r="M22" i="6" s="1"/>
  <c r="M23" i="6" s="1"/>
  <c r="L26" i="6"/>
  <c r="M28" i="6"/>
  <c r="M29" i="6" s="1"/>
  <c r="L32" i="6"/>
  <c r="M34" i="6"/>
  <c r="M35" i="6" s="1"/>
  <c r="U29" i="6" l="1"/>
  <c r="T32" i="6" s="1"/>
  <c r="U23" i="6"/>
  <c r="V13" i="6"/>
  <c r="W16" i="6" s="1"/>
  <c r="W17" i="6" s="1"/>
  <c r="V7" i="6"/>
  <c r="L13" i="6"/>
  <c r="M16" i="6" s="1"/>
  <c r="M17" i="6" s="1"/>
  <c r="L20" i="6" s="1"/>
  <c r="K23" i="6" s="1"/>
  <c r="J26" i="6" s="1"/>
  <c r="I29" i="6" s="1"/>
  <c r="L7" i="6"/>
  <c r="W4" i="6" l="1"/>
  <c r="W10" i="6"/>
  <c r="W11" i="6" s="1"/>
  <c r="M4" i="6"/>
  <c r="M5" i="6" s="1"/>
  <c r="M10" i="6"/>
  <c r="M11" i="6" s="1"/>
  <c r="L14" i="6" s="1"/>
  <c r="K17" i="6" s="1"/>
  <c r="J20" i="6" s="1"/>
  <c r="I23" i="6" s="1"/>
  <c r="H26" i="6" s="1"/>
  <c r="T26" i="6"/>
  <c r="S29" i="6" s="1"/>
  <c r="T20" i="6"/>
  <c r="L8" i="6" l="1"/>
  <c r="K11" i="6" s="1"/>
  <c r="J14" i="6" s="1"/>
  <c r="I17" i="6" s="1"/>
  <c r="H20" i="6" s="1"/>
  <c r="G23" i="6" s="1"/>
  <c r="T10" i="3" s="1"/>
  <c r="S23" i="6"/>
  <c r="R26" i="6" s="1"/>
  <c r="S17" i="6"/>
  <c r="R20" i="6" s="1"/>
  <c r="Q23" i="6" s="1"/>
  <c r="T11" i="3" s="1"/>
</calcChain>
</file>

<file path=xl/sharedStrings.xml><?xml version="1.0" encoding="utf-8"?>
<sst xmlns="http://schemas.openxmlformats.org/spreadsheetml/2006/main" count="196" uniqueCount="85">
  <si>
    <t>Date</t>
  </si>
  <si>
    <t>Value</t>
  </si>
  <si>
    <t>%Change</t>
  </si>
  <si>
    <t>-</t>
  </si>
  <si>
    <t>STD</t>
  </si>
  <si>
    <t>Trading days</t>
  </si>
  <si>
    <t>Volatility</t>
  </si>
  <si>
    <t>Variables</t>
  </si>
  <si>
    <t>Price average</t>
  </si>
  <si>
    <t>Price min</t>
  </si>
  <si>
    <t>Price max</t>
  </si>
  <si>
    <t>Open</t>
  </si>
  <si>
    <t>High</t>
  </si>
  <si>
    <t>Low</t>
  </si>
  <si>
    <t>Close</t>
  </si>
  <si>
    <t>Adj Close</t>
  </si>
  <si>
    <t>Volume</t>
  </si>
  <si>
    <t>d1</t>
  </si>
  <si>
    <t>d2</t>
  </si>
  <si>
    <t>N(d1)</t>
  </si>
  <si>
    <t>N(-d1)</t>
  </si>
  <si>
    <t>N(d2)</t>
  </si>
  <si>
    <t>N(-d2)</t>
  </si>
  <si>
    <t>Call option price</t>
  </si>
  <si>
    <t>Put option price</t>
  </si>
  <si>
    <t>Parameters</t>
  </si>
  <si>
    <t>Time(T)</t>
  </si>
  <si>
    <t>Volatility (sigma)</t>
  </si>
  <si>
    <t>Risk free rate ( r )</t>
  </si>
  <si>
    <t>Current Stock price (s)</t>
  </si>
  <si>
    <t>Exercise price (k)</t>
  </si>
  <si>
    <t>Black Sholes Model</t>
  </si>
  <si>
    <t>Values</t>
  </si>
  <si>
    <t>Parameter</t>
  </si>
  <si>
    <t>Upward movement (u)</t>
  </si>
  <si>
    <t>Downward movement(d)</t>
  </si>
  <si>
    <t>Probability of increase (Pu)</t>
  </si>
  <si>
    <t>Probability of decrease (Pd)</t>
  </si>
  <si>
    <t>Call option</t>
  </si>
  <si>
    <t>t1</t>
  </si>
  <si>
    <t>t2</t>
  </si>
  <si>
    <t>t3</t>
  </si>
  <si>
    <t>t4</t>
  </si>
  <si>
    <t>t5</t>
  </si>
  <si>
    <t>t6</t>
  </si>
  <si>
    <t>t0</t>
  </si>
  <si>
    <t>Periods</t>
  </si>
  <si>
    <t>Binomial Option Model (Call)</t>
  </si>
  <si>
    <t>Binomial Option Model (put)</t>
  </si>
  <si>
    <t>Binomial Model(multiple)</t>
  </si>
  <si>
    <t>Binomial Model(single)</t>
  </si>
  <si>
    <t>Call option price (VBA)</t>
  </si>
  <si>
    <t>Put option price(VBA)</t>
  </si>
  <si>
    <t>NOTE</t>
  </si>
  <si>
    <r>
      <t xml:space="preserve">Above line: </t>
    </r>
    <r>
      <rPr>
        <sz val="11"/>
        <color theme="1"/>
        <rFont val="Calibri"/>
        <family val="2"/>
        <scheme val="minor"/>
      </rPr>
      <t>Underlying asset price</t>
    </r>
  </si>
  <si>
    <r>
      <t xml:space="preserve">Below line: </t>
    </r>
    <r>
      <rPr>
        <sz val="11"/>
        <color theme="1"/>
        <rFont val="Calibri"/>
        <family val="2"/>
        <scheme val="minor"/>
      </rPr>
      <t>Option price</t>
    </r>
  </si>
  <si>
    <t>Input Parameters</t>
  </si>
  <si>
    <t>Calculated Parameters</t>
  </si>
  <si>
    <t>Calculated Parameters (VBA)</t>
  </si>
  <si>
    <t xml:space="preserve">Put option price </t>
  </si>
  <si>
    <t>Put option</t>
  </si>
  <si>
    <t>Put Option Tree</t>
  </si>
  <si>
    <t>Call Option Tree</t>
  </si>
  <si>
    <t>Binomial Option Pricing Model</t>
  </si>
  <si>
    <t>Black-Scholes Model</t>
  </si>
  <si>
    <t>period</t>
  </si>
  <si>
    <t>Current stock price(s)</t>
  </si>
  <si>
    <t>volatility (sigma)</t>
  </si>
  <si>
    <t>Time to expiry (T)</t>
  </si>
  <si>
    <t>Exercise price (K)</t>
  </si>
  <si>
    <t>NOTE:</t>
  </si>
  <si>
    <t>For as the period (n) increases, binomial option price approaches the value option using Black Sholes model</t>
  </si>
  <si>
    <t>Vale</t>
  </si>
  <si>
    <t>forecast (20 days MA)</t>
  </si>
  <si>
    <t xml:space="preserve">error </t>
  </si>
  <si>
    <t>ABS(error)</t>
  </si>
  <si>
    <t>Squared Error</t>
  </si>
  <si>
    <t>Percent Error</t>
  </si>
  <si>
    <t>forecast (50 days MA)</t>
  </si>
  <si>
    <t>error</t>
  </si>
  <si>
    <t>BIAS</t>
  </si>
  <si>
    <t>MAD</t>
  </si>
  <si>
    <t>MSE</t>
  </si>
  <si>
    <t>MAPE</t>
  </si>
  <si>
    <t>Forecasting Using 20-days MA and 50-days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</si>
</sst>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"/>
    <numFmt numFmtId="166" formatCode="0.0%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4"/>
      <color rgb="FF87746A"/>
      <name val="Calibri-Bold"/>
    </font>
    <font>
      <sz val="10"/>
      <name val="Arial"/>
      <family val="2"/>
    </font>
    <font>
      <b/>
      <sz val="10"/>
      <color indexed="63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3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/>
  </cellStyleXfs>
  <cellXfs count="13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/>
    <xf numFmtId="0" fontId="16" fillId="0" borderId="0" xfId="0" applyFont="1"/>
    <xf numFmtId="10" fontId="16" fillId="0" borderId="0" xfId="1" applyNumberFormat="1" applyFont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10" fontId="16" fillId="0" borderId="15" xfId="1" applyNumberFormat="1" applyFont="1" applyBorder="1"/>
    <xf numFmtId="2" fontId="0" fillId="0" borderId="0" xfId="0" applyNumberFormat="1"/>
    <xf numFmtId="4" fontId="0" fillId="0" borderId="0" xfId="0" applyNumberFormat="1" applyAlignment="1">
      <alignment horizontal="center"/>
    </xf>
    <xf numFmtId="4" fontId="0" fillId="0" borderId="0" xfId="0" applyNumberFormat="1" applyBorder="1"/>
    <xf numFmtId="164" fontId="16" fillId="0" borderId="11" xfId="0" applyNumberFormat="1" applyFont="1" applyBorder="1"/>
    <xf numFmtId="165" fontId="16" fillId="0" borderId="0" xfId="0" applyNumberFormat="1" applyFont="1"/>
    <xf numFmtId="165" fontId="0" fillId="0" borderId="0" xfId="0" applyNumberFormat="1"/>
    <xf numFmtId="164" fontId="16" fillId="0" borderId="0" xfId="0" applyNumberFormat="1" applyFont="1"/>
    <xf numFmtId="164" fontId="0" fillId="0" borderId="0" xfId="0" applyNumberFormat="1"/>
    <xf numFmtId="164" fontId="0" fillId="0" borderId="11" xfId="0" applyNumberFormat="1" applyFont="1" applyBorder="1"/>
    <xf numFmtId="0" fontId="0" fillId="0" borderId="11" xfId="0" applyFont="1" applyBorder="1"/>
    <xf numFmtId="10" fontId="1" fillId="0" borderId="15" xfId="1" applyNumberFormat="1" applyFont="1" applyBorder="1"/>
    <xf numFmtId="0" fontId="0" fillId="0" borderId="0" xfId="0" applyFont="1" applyBorder="1"/>
    <xf numFmtId="10" fontId="1" fillId="0" borderId="0" xfId="1" applyNumberFormat="1" applyFont="1" applyBorder="1"/>
    <xf numFmtId="0" fontId="0" fillId="0" borderId="0" xfId="0" applyFont="1"/>
    <xf numFmtId="0" fontId="16" fillId="33" borderId="16" xfId="0" applyFont="1" applyFill="1" applyBorder="1"/>
    <xf numFmtId="0" fontId="16" fillId="0" borderId="16" xfId="0" applyFont="1" applyBorder="1"/>
    <xf numFmtId="0" fontId="16" fillId="0" borderId="0" xfId="0" applyFont="1" applyAlignment="1">
      <alignment horizontal="center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0" borderId="0" xfId="0" applyFill="1" applyBorder="1"/>
    <xf numFmtId="0" fontId="18" fillId="0" borderId="0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/>
    <xf numFmtId="0" fontId="16" fillId="34" borderId="0" xfId="0" applyFont="1" applyFill="1" applyBorder="1" applyAlignment="1">
      <alignment horizontal="center"/>
    </xf>
    <xf numFmtId="0" fontId="18" fillId="34" borderId="0" xfId="0" applyFont="1" applyFill="1" applyBorder="1" applyAlignment="1">
      <alignment horizontal="center"/>
    </xf>
    <xf numFmtId="0" fontId="16" fillId="36" borderId="0" xfId="0" applyFont="1" applyFill="1" applyBorder="1" applyAlignment="1">
      <alignment horizontal="center"/>
    </xf>
    <xf numFmtId="0" fontId="18" fillId="36" borderId="0" xfId="0" applyFont="1" applyFill="1" applyBorder="1" applyAlignment="1">
      <alignment horizontal="center"/>
    </xf>
    <xf numFmtId="0" fontId="16" fillId="34" borderId="17" xfId="0" applyFont="1" applyFill="1" applyBorder="1" applyAlignment="1">
      <alignment horizontal="center"/>
    </xf>
    <xf numFmtId="0" fontId="16" fillId="36" borderId="17" xfId="0" applyFont="1" applyFill="1" applyBorder="1" applyAlignment="1">
      <alignment horizontal="center"/>
    </xf>
    <xf numFmtId="166" fontId="0" fillId="0" borderId="0" xfId="1" applyNumberFormat="1" applyFont="1"/>
    <xf numFmtId="4" fontId="18" fillId="34" borderId="0" xfId="0" applyNumberFormat="1" applyFont="1" applyFill="1" applyBorder="1" applyAlignment="1">
      <alignment horizontal="center"/>
    </xf>
    <xf numFmtId="4" fontId="18" fillId="36" borderId="23" xfId="0" applyNumberFormat="1" applyFont="1" applyFill="1" applyBorder="1" applyAlignment="1">
      <alignment horizontal="center"/>
    </xf>
    <xf numFmtId="4" fontId="0" fillId="0" borderId="0" xfId="0" applyNumberFormat="1" applyFill="1"/>
    <xf numFmtId="4" fontId="18" fillId="0" borderId="0" xfId="0" applyNumberFormat="1" applyFont="1" applyFill="1" applyBorder="1" applyAlignment="1">
      <alignment horizontal="center"/>
    </xf>
    <xf numFmtId="4" fontId="19" fillId="36" borderId="18" xfId="0" applyNumberFormat="1" applyFont="1" applyFill="1" applyBorder="1" applyAlignment="1">
      <alignment horizontal="center"/>
    </xf>
    <xf numFmtId="4" fontId="18" fillId="36" borderId="21" xfId="0" applyNumberFormat="1" applyFont="1" applyFill="1" applyBorder="1" applyAlignment="1">
      <alignment horizontal="center"/>
    </xf>
    <xf numFmtId="4" fontId="18" fillId="34" borderId="23" xfId="0" applyNumberFormat="1" applyFont="1" applyFill="1" applyBorder="1" applyAlignment="1">
      <alignment horizontal="center"/>
    </xf>
    <xf numFmtId="4" fontId="19" fillId="34" borderId="20" xfId="0" applyNumberFormat="1" applyFont="1" applyFill="1" applyBorder="1" applyAlignment="1">
      <alignment horizontal="center"/>
    </xf>
    <xf numFmtId="4" fontId="18" fillId="36" borderId="22" xfId="0" applyNumberFormat="1" applyFont="1" applyFill="1" applyBorder="1" applyAlignment="1">
      <alignment horizontal="center"/>
    </xf>
    <xf numFmtId="4" fontId="19" fillId="36" borderId="19" xfId="0" applyNumberFormat="1" applyFont="1" applyFill="1" applyBorder="1" applyAlignment="1">
      <alignment horizontal="center"/>
    </xf>
    <xf numFmtId="4" fontId="16" fillId="34" borderId="0" xfId="0" applyNumberFormat="1" applyFont="1" applyFill="1" applyBorder="1" applyAlignment="1">
      <alignment horizontal="center"/>
    </xf>
    <xf numFmtId="4" fontId="16" fillId="36" borderId="0" xfId="0" applyNumberFormat="1" applyFont="1" applyFill="1" applyBorder="1" applyAlignment="1">
      <alignment horizontal="center"/>
    </xf>
    <xf numFmtId="4" fontId="16" fillId="34" borderId="21" xfId="0" applyNumberFormat="1" applyFont="1" applyFill="1" applyBorder="1" applyAlignment="1">
      <alignment horizontal="center"/>
    </xf>
    <xf numFmtId="4" fontId="16" fillId="0" borderId="0" xfId="0" applyNumberFormat="1" applyFont="1" applyFill="1" applyBorder="1" applyAlignment="1">
      <alignment horizontal="center"/>
    </xf>
    <xf numFmtId="4" fontId="16" fillId="34" borderId="0" xfId="0" applyNumberFormat="1" applyFont="1" applyFill="1" applyBorder="1" applyAlignment="1">
      <alignment horizontal="left"/>
    </xf>
    <xf numFmtId="4" fontId="18" fillId="36" borderId="0" xfId="0" applyNumberFormat="1" applyFont="1" applyFill="1" applyBorder="1" applyAlignment="1">
      <alignment horizontal="center"/>
    </xf>
    <xf numFmtId="4" fontId="18" fillId="34" borderId="24" xfId="0" applyNumberFormat="1" applyFont="1" applyFill="1" applyBorder="1" applyAlignment="1">
      <alignment horizontal="center"/>
    </xf>
    <xf numFmtId="4" fontId="18" fillId="34" borderId="22" xfId="0" applyNumberFormat="1" applyFont="1" applyFill="1" applyBorder="1" applyAlignment="1">
      <alignment horizontal="center"/>
    </xf>
    <xf numFmtId="4" fontId="19" fillId="34" borderId="18" xfId="0" applyNumberFormat="1" applyFont="1" applyFill="1" applyBorder="1" applyAlignment="1">
      <alignment horizontal="center"/>
    </xf>
    <xf numFmtId="4" fontId="18" fillId="34" borderId="21" xfId="0" applyNumberFormat="1" applyFont="1" applyFill="1" applyBorder="1" applyAlignment="1">
      <alignment horizontal="center"/>
    </xf>
    <xf numFmtId="4" fontId="18" fillId="36" borderId="24" xfId="0" applyNumberFormat="1" applyFont="1" applyFill="1" applyBorder="1" applyAlignment="1">
      <alignment horizontal="center"/>
    </xf>
    <xf numFmtId="4" fontId="18" fillId="36" borderId="26" xfId="0" applyNumberFormat="1" applyFont="1" applyFill="1" applyBorder="1" applyAlignment="1">
      <alignment horizontal="center"/>
    </xf>
    <xf numFmtId="4" fontId="18" fillId="34" borderId="25" xfId="0" applyNumberFormat="1" applyFont="1" applyFill="1" applyBorder="1" applyAlignment="1">
      <alignment horizontal="center"/>
    </xf>
    <xf numFmtId="4" fontId="18" fillId="36" borderId="25" xfId="0" applyNumberFormat="1" applyFont="1" applyFill="1" applyBorder="1" applyAlignment="1">
      <alignment horizontal="center"/>
    </xf>
    <xf numFmtId="4" fontId="19" fillId="36" borderId="20" xfId="0" applyNumberFormat="1" applyFont="1" applyFill="1" applyBorder="1" applyAlignment="1">
      <alignment horizontal="center"/>
    </xf>
    <xf numFmtId="4" fontId="18" fillId="34" borderId="26" xfId="0" applyNumberFormat="1" applyFont="1" applyFill="1" applyBorder="1" applyAlignment="1">
      <alignment horizontal="center"/>
    </xf>
    <xf numFmtId="4" fontId="0" fillId="0" borderId="0" xfId="0" applyNumberFormat="1" applyFill="1" applyBorder="1"/>
    <xf numFmtId="4" fontId="19" fillId="34" borderId="19" xfId="0" applyNumberFormat="1" applyFont="1" applyFill="1" applyBorder="1" applyAlignment="1">
      <alignment horizontal="center"/>
    </xf>
    <xf numFmtId="4" fontId="0" fillId="34" borderId="0" xfId="0" applyNumberFormat="1" applyFill="1" applyBorder="1" applyAlignment="1">
      <alignment horizontal="center"/>
    </xf>
    <xf numFmtId="4" fontId="0" fillId="36" borderId="0" xfId="0" applyNumberFormat="1" applyFill="1" applyBorder="1" applyAlignment="1">
      <alignment horizontal="center"/>
    </xf>
    <xf numFmtId="4" fontId="0" fillId="34" borderId="21" xfId="0" applyNumberFormat="1" applyFill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0" fillId="34" borderId="0" xfId="0" applyNumberFormat="1" applyFill="1" applyAlignment="1">
      <alignment horizontal="center"/>
    </xf>
    <xf numFmtId="4" fontId="0" fillId="36" borderId="0" xfId="0" applyNumberFormat="1" applyFill="1" applyAlignment="1">
      <alignment horizontal="center"/>
    </xf>
    <xf numFmtId="0" fontId="0" fillId="0" borderId="0" xfId="0" applyAlignment="1"/>
    <xf numFmtId="0" fontId="16" fillId="0" borderId="0" xfId="0" applyFont="1" applyAlignment="1">
      <alignment horizontal="left"/>
    </xf>
    <xf numFmtId="164" fontId="16" fillId="33" borderId="16" xfId="0" applyNumberFormat="1" applyFont="1" applyFill="1" applyBorder="1"/>
    <xf numFmtId="166" fontId="16" fillId="0" borderId="0" xfId="1" applyNumberFormat="1" applyFont="1"/>
    <xf numFmtId="10" fontId="16" fillId="0" borderId="16" xfId="0" applyNumberFormat="1" applyFont="1" applyBorder="1"/>
    <xf numFmtId="1" fontId="16" fillId="0" borderId="0" xfId="1" applyNumberFormat="1" applyFont="1"/>
    <xf numFmtId="164" fontId="16" fillId="0" borderId="16" xfId="0" applyNumberFormat="1" applyFont="1" applyBorder="1"/>
    <xf numFmtId="0" fontId="16" fillId="0" borderId="0" xfId="0" applyNumberFormat="1" applyFont="1"/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35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6" fillId="34" borderId="23" xfId="0" applyFont="1" applyFill="1" applyBorder="1" applyAlignment="1">
      <alignment horizontal="center"/>
    </xf>
    <xf numFmtId="0" fontId="18" fillId="34" borderId="0" xfId="0" applyFont="1" applyFill="1" applyBorder="1" applyAlignment="1">
      <alignment horizontal="center"/>
    </xf>
    <xf numFmtId="0" fontId="19" fillId="36" borderId="0" xfId="0" applyFont="1" applyFill="1" applyBorder="1" applyAlignment="1">
      <alignment horizontal="center"/>
    </xf>
    <xf numFmtId="0" fontId="16" fillId="36" borderId="0" xfId="0" applyFont="1" applyFill="1" applyAlignment="1">
      <alignment horizontal="center"/>
    </xf>
    <xf numFmtId="0" fontId="18" fillId="34" borderId="0" xfId="0" applyFont="1" applyFill="1" applyBorder="1" applyAlignment="1">
      <alignment horizontal="left"/>
    </xf>
    <xf numFmtId="0" fontId="19" fillId="36" borderId="0" xfId="0" applyFont="1" applyFill="1" applyBorder="1" applyAlignment="1">
      <alignment horizontal="left"/>
    </xf>
    <xf numFmtId="0" fontId="22" fillId="0" borderId="0" xfId="43" applyFont="1"/>
    <xf numFmtId="0" fontId="21" fillId="0" borderId="0" xfId="43"/>
    <xf numFmtId="2" fontId="21" fillId="0" borderId="0" xfId="43" applyNumberFormat="1"/>
    <xf numFmtId="0" fontId="23" fillId="0" borderId="0" xfId="43" applyFont="1"/>
    <xf numFmtId="0" fontId="24" fillId="38" borderId="29" xfId="43" applyFont="1" applyFill="1" applyBorder="1" applyAlignment="1">
      <alignment horizontal="center"/>
    </xf>
    <xf numFmtId="2" fontId="24" fillId="38" borderId="29" xfId="43" applyNumberFormat="1" applyFont="1" applyFill="1" applyBorder="1" applyAlignment="1">
      <alignment horizontal="center"/>
    </xf>
    <xf numFmtId="0" fontId="24" fillId="38" borderId="30" xfId="43" applyFont="1" applyFill="1" applyBorder="1" applyAlignment="1">
      <alignment horizontal="center"/>
    </xf>
    <xf numFmtId="0" fontId="25" fillId="38" borderId="29" xfId="43" applyFont="1" applyFill="1" applyBorder="1" applyAlignment="1">
      <alignment horizontal="center"/>
    </xf>
    <xf numFmtId="14" fontId="25" fillId="37" borderId="31" xfId="43" applyNumberFormat="1" applyFont="1" applyFill="1" applyBorder="1"/>
    <xf numFmtId="4" fontId="25" fillId="37" borderId="28" xfId="43" applyNumberFormat="1" applyFont="1" applyFill="1" applyBorder="1" applyAlignment="1">
      <alignment horizontal="center"/>
    </xf>
    <xf numFmtId="2" fontId="25" fillId="36" borderId="29" xfId="43" applyNumberFormat="1" applyFont="1" applyFill="1" applyBorder="1" applyAlignment="1">
      <alignment horizontal="center"/>
    </xf>
    <xf numFmtId="2" fontId="25" fillId="39" borderId="29" xfId="43" applyNumberFormat="1" applyFont="1" applyFill="1" applyBorder="1" applyAlignment="1">
      <alignment horizontal="center"/>
    </xf>
    <xf numFmtId="2" fontId="25" fillId="39" borderId="30" xfId="43" applyNumberFormat="1" applyFont="1" applyFill="1" applyBorder="1" applyAlignment="1">
      <alignment horizontal="center"/>
    </xf>
    <xf numFmtId="0" fontId="25" fillId="38" borderId="32" xfId="43" applyFont="1" applyFill="1" applyBorder="1" applyAlignment="1">
      <alignment horizontal="center"/>
    </xf>
    <xf numFmtId="14" fontId="25" fillId="33" borderId="31" xfId="43" applyNumberFormat="1" applyFont="1" applyFill="1" applyBorder="1"/>
    <xf numFmtId="4" fontId="25" fillId="33" borderId="28" xfId="43" applyNumberFormat="1" applyFont="1" applyFill="1" applyBorder="1" applyAlignment="1">
      <alignment horizontal="center"/>
    </xf>
    <xf numFmtId="2" fontId="25" fillId="36" borderId="32" xfId="43" applyNumberFormat="1" applyFont="1" applyFill="1" applyBorder="1" applyAlignment="1">
      <alignment horizontal="center"/>
    </xf>
    <xf numFmtId="2" fontId="25" fillId="39" borderId="32" xfId="43" applyNumberFormat="1" applyFont="1" applyFill="1" applyBorder="1" applyAlignment="1">
      <alignment horizontal="center"/>
    </xf>
    <xf numFmtId="2" fontId="25" fillId="39" borderId="33" xfId="43" applyNumberFormat="1" applyFont="1" applyFill="1" applyBorder="1" applyAlignment="1">
      <alignment horizontal="center"/>
    </xf>
    <xf numFmtId="0" fontId="25" fillId="38" borderId="34" xfId="43" applyFont="1" applyFill="1" applyBorder="1" applyAlignment="1">
      <alignment horizontal="center"/>
    </xf>
    <xf numFmtId="14" fontId="25" fillId="37" borderId="35" xfId="43" applyNumberFormat="1" applyFont="1" applyFill="1" applyBorder="1"/>
    <xf numFmtId="4" fontId="25" fillId="37" borderId="27" xfId="43" applyNumberFormat="1" applyFont="1" applyFill="1" applyBorder="1" applyAlignment="1">
      <alignment horizontal="center"/>
    </xf>
    <xf numFmtId="2" fontId="25" fillId="36" borderId="34" xfId="43" applyNumberFormat="1" applyFont="1" applyFill="1" applyBorder="1" applyAlignment="1">
      <alignment horizontal="center"/>
    </xf>
    <xf numFmtId="2" fontId="26" fillId="0" borderId="15" xfId="43" applyNumberFormat="1" applyFont="1" applyBorder="1" applyAlignment="1">
      <alignment horizontal="center"/>
    </xf>
    <xf numFmtId="2" fontId="26" fillId="0" borderId="36" xfId="43" applyNumberFormat="1" applyFont="1" applyBorder="1" applyAlignment="1">
      <alignment horizontal="center"/>
    </xf>
    <xf numFmtId="2" fontId="26" fillId="0" borderId="14" xfId="43" applyNumberFormat="1" applyFont="1" applyBorder="1" applyAlignment="1">
      <alignment horizontal="center"/>
    </xf>
    <xf numFmtId="0" fontId="26" fillId="0" borderId="13" xfId="43" applyFont="1" applyBorder="1" applyAlignment="1">
      <alignment horizontal="center"/>
    </xf>
    <xf numFmtId="0" fontId="26" fillId="0" borderId="37" xfId="43" applyFont="1" applyBorder="1" applyAlignment="1">
      <alignment horizontal="center"/>
    </xf>
    <xf numFmtId="0" fontId="26" fillId="0" borderId="12" xfId="43" applyFont="1" applyFill="1" applyBorder="1" applyAlignment="1">
      <alignment horizontal="center"/>
    </xf>
    <xf numFmtId="2" fontId="26" fillId="0" borderId="37" xfId="43" applyNumberFormat="1" applyFont="1" applyBorder="1" applyAlignment="1">
      <alignment horizontal="center"/>
    </xf>
    <xf numFmtId="0" fontId="27" fillId="0" borderId="0" xfId="43" applyFont="1"/>
    <xf numFmtId="0" fontId="28" fillId="0" borderId="0" xfId="43" applyFont="1" applyAlignment="1">
      <alignment horizontal="center" vertical="center"/>
    </xf>
    <xf numFmtId="0" fontId="28" fillId="0" borderId="38" xfId="43" applyFont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46F73F44-30AE-414C-85DA-6E684B64B894}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9">
    <dxf>
      <numFmt numFmtId="19" formatCode="m/d/yyyy"/>
    </dxf>
    <dxf>
      <numFmt numFmtId="4" formatCode="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19" formatCode="m/d/yyyy"/>
    </dxf>
    <dxf>
      <font>
        <b/>
      </font>
      <numFmt numFmtId="0" formatCode="General"/>
    </dxf>
    <dxf>
      <font>
        <b/>
      </font>
    </dxf>
    <dxf>
      <font>
        <b/>
      </font>
      <numFmt numFmtId="0" formatCode="General"/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m/d/yyyy"/>
    </dxf>
    <dxf>
      <font>
        <b/>
      </font>
      <numFmt numFmtId="164" formatCode="0.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64" formatCode="0.000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  <numFmt numFmtId="164" formatCode="0.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effectLst/>
              </a:rPr>
              <a:t>Cushing, OK WTI Spot Price FOB, Daily (Jan</a:t>
            </a:r>
            <a:r>
              <a:rPr lang="en-GB" b="1" i="0" baseline="0">
                <a:effectLst/>
              </a:rPr>
              <a:t> 2014 - Apr 2018)</a:t>
            </a:r>
            <a:endParaRPr lang="en-GB" b="1" i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'WTI CRUDE OIL SPOT PRICE  '!$B$1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2261532376946034E-3"/>
                  <c:y val="-0.212620246949500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'WTI CRUDE OIL SPOT PRICE  '!$A$2:$A$1080</c:f>
              <c:numCache>
                <c:formatCode>m/d/yyyy</c:formatCode>
                <c:ptCount val="1079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  <c:pt idx="125">
                  <c:v>41822</c:v>
                </c:pt>
                <c:pt idx="126">
                  <c:v>41823</c:v>
                </c:pt>
                <c:pt idx="127">
                  <c:v>41827</c:v>
                </c:pt>
                <c:pt idx="128">
                  <c:v>41828</c:v>
                </c:pt>
                <c:pt idx="129">
                  <c:v>41829</c:v>
                </c:pt>
                <c:pt idx="130">
                  <c:v>41830</c:v>
                </c:pt>
                <c:pt idx="131">
                  <c:v>41831</c:v>
                </c:pt>
                <c:pt idx="132">
                  <c:v>41834</c:v>
                </c:pt>
                <c:pt idx="133">
                  <c:v>41835</c:v>
                </c:pt>
                <c:pt idx="134">
                  <c:v>41836</c:v>
                </c:pt>
                <c:pt idx="135">
                  <c:v>41837</c:v>
                </c:pt>
                <c:pt idx="136">
                  <c:v>41838</c:v>
                </c:pt>
                <c:pt idx="137">
                  <c:v>41841</c:v>
                </c:pt>
                <c:pt idx="138">
                  <c:v>41842</c:v>
                </c:pt>
                <c:pt idx="139">
                  <c:v>41843</c:v>
                </c:pt>
                <c:pt idx="140">
                  <c:v>41844</c:v>
                </c:pt>
                <c:pt idx="141">
                  <c:v>41845</c:v>
                </c:pt>
                <c:pt idx="142">
                  <c:v>41848</c:v>
                </c:pt>
                <c:pt idx="143">
                  <c:v>41849</c:v>
                </c:pt>
                <c:pt idx="144">
                  <c:v>41850</c:v>
                </c:pt>
                <c:pt idx="145">
                  <c:v>41851</c:v>
                </c:pt>
                <c:pt idx="146">
                  <c:v>41852</c:v>
                </c:pt>
                <c:pt idx="147">
                  <c:v>41855</c:v>
                </c:pt>
                <c:pt idx="148">
                  <c:v>41856</c:v>
                </c:pt>
                <c:pt idx="149">
                  <c:v>41857</c:v>
                </c:pt>
                <c:pt idx="150">
                  <c:v>41858</c:v>
                </c:pt>
                <c:pt idx="151">
                  <c:v>41859</c:v>
                </c:pt>
                <c:pt idx="152">
                  <c:v>41862</c:v>
                </c:pt>
                <c:pt idx="153">
                  <c:v>41863</c:v>
                </c:pt>
                <c:pt idx="154">
                  <c:v>41864</c:v>
                </c:pt>
                <c:pt idx="155">
                  <c:v>41865</c:v>
                </c:pt>
                <c:pt idx="156">
                  <c:v>41866</c:v>
                </c:pt>
                <c:pt idx="157">
                  <c:v>41869</c:v>
                </c:pt>
                <c:pt idx="158">
                  <c:v>41870</c:v>
                </c:pt>
                <c:pt idx="159">
                  <c:v>41871</c:v>
                </c:pt>
                <c:pt idx="160">
                  <c:v>41872</c:v>
                </c:pt>
                <c:pt idx="161">
                  <c:v>41873</c:v>
                </c:pt>
                <c:pt idx="162">
                  <c:v>41876</c:v>
                </c:pt>
                <c:pt idx="163">
                  <c:v>41877</c:v>
                </c:pt>
                <c:pt idx="164">
                  <c:v>41878</c:v>
                </c:pt>
                <c:pt idx="165">
                  <c:v>41879</c:v>
                </c:pt>
                <c:pt idx="166">
                  <c:v>41880</c:v>
                </c:pt>
                <c:pt idx="167">
                  <c:v>41884</c:v>
                </c:pt>
                <c:pt idx="168">
                  <c:v>41885</c:v>
                </c:pt>
                <c:pt idx="169">
                  <c:v>41886</c:v>
                </c:pt>
                <c:pt idx="170">
                  <c:v>41887</c:v>
                </c:pt>
                <c:pt idx="171">
                  <c:v>41890</c:v>
                </c:pt>
                <c:pt idx="172">
                  <c:v>41891</c:v>
                </c:pt>
                <c:pt idx="173">
                  <c:v>41892</c:v>
                </c:pt>
                <c:pt idx="174">
                  <c:v>41893</c:v>
                </c:pt>
                <c:pt idx="175">
                  <c:v>41894</c:v>
                </c:pt>
                <c:pt idx="176">
                  <c:v>41897</c:v>
                </c:pt>
                <c:pt idx="177">
                  <c:v>41898</c:v>
                </c:pt>
                <c:pt idx="178">
                  <c:v>41899</c:v>
                </c:pt>
                <c:pt idx="179">
                  <c:v>41900</c:v>
                </c:pt>
                <c:pt idx="180">
                  <c:v>41901</c:v>
                </c:pt>
                <c:pt idx="181">
                  <c:v>41904</c:v>
                </c:pt>
                <c:pt idx="182">
                  <c:v>41905</c:v>
                </c:pt>
                <c:pt idx="183">
                  <c:v>41906</c:v>
                </c:pt>
                <c:pt idx="184">
                  <c:v>41907</c:v>
                </c:pt>
                <c:pt idx="185">
                  <c:v>41908</c:v>
                </c:pt>
                <c:pt idx="186">
                  <c:v>41911</c:v>
                </c:pt>
                <c:pt idx="187">
                  <c:v>41912</c:v>
                </c:pt>
                <c:pt idx="188">
                  <c:v>41913</c:v>
                </c:pt>
                <c:pt idx="189">
                  <c:v>41914</c:v>
                </c:pt>
                <c:pt idx="190">
                  <c:v>41915</c:v>
                </c:pt>
                <c:pt idx="191">
                  <c:v>41918</c:v>
                </c:pt>
                <c:pt idx="192">
                  <c:v>41919</c:v>
                </c:pt>
                <c:pt idx="193">
                  <c:v>41920</c:v>
                </c:pt>
                <c:pt idx="194">
                  <c:v>41921</c:v>
                </c:pt>
                <c:pt idx="195">
                  <c:v>41922</c:v>
                </c:pt>
                <c:pt idx="196">
                  <c:v>41925</c:v>
                </c:pt>
                <c:pt idx="197">
                  <c:v>41926</c:v>
                </c:pt>
                <c:pt idx="198">
                  <c:v>41927</c:v>
                </c:pt>
                <c:pt idx="199">
                  <c:v>41928</c:v>
                </c:pt>
                <c:pt idx="200">
                  <c:v>41929</c:v>
                </c:pt>
                <c:pt idx="201">
                  <c:v>41932</c:v>
                </c:pt>
                <c:pt idx="202">
                  <c:v>41933</c:v>
                </c:pt>
                <c:pt idx="203">
                  <c:v>41934</c:v>
                </c:pt>
                <c:pt idx="204">
                  <c:v>41935</c:v>
                </c:pt>
                <c:pt idx="205">
                  <c:v>41936</c:v>
                </c:pt>
                <c:pt idx="206">
                  <c:v>41939</c:v>
                </c:pt>
                <c:pt idx="207">
                  <c:v>41940</c:v>
                </c:pt>
                <c:pt idx="208">
                  <c:v>41941</c:v>
                </c:pt>
                <c:pt idx="209">
                  <c:v>41942</c:v>
                </c:pt>
                <c:pt idx="210">
                  <c:v>41943</c:v>
                </c:pt>
                <c:pt idx="211">
                  <c:v>41946</c:v>
                </c:pt>
                <c:pt idx="212">
                  <c:v>41947</c:v>
                </c:pt>
                <c:pt idx="213">
                  <c:v>41948</c:v>
                </c:pt>
                <c:pt idx="214">
                  <c:v>41949</c:v>
                </c:pt>
                <c:pt idx="215">
                  <c:v>41950</c:v>
                </c:pt>
                <c:pt idx="216">
                  <c:v>41953</c:v>
                </c:pt>
                <c:pt idx="217">
                  <c:v>41954</c:v>
                </c:pt>
                <c:pt idx="218">
                  <c:v>41955</c:v>
                </c:pt>
                <c:pt idx="219">
                  <c:v>41956</c:v>
                </c:pt>
                <c:pt idx="220">
                  <c:v>41957</c:v>
                </c:pt>
                <c:pt idx="221">
                  <c:v>41960</c:v>
                </c:pt>
                <c:pt idx="222">
                  <c:v>41961</c:v>
                </c:pt>
                <c:pt idx="223">
                  <c:v>41962</c:v>
                </c:pt>
                <c:pt idx="224">
                  <c:v>41963</c:v>
                </c:pt>
                <c:pt idx="225">
                  <c:v>41964</c:v>
                </c:pt>
                <c:pt idx="226">
                  <c:v>41967</c:v>
                </c:pt>
                <c:pt idx="227">
                  <c:v>41968</c:v>
                </c:pt>
                <c:pt idx="228">
                  <c:v>41969</c:v>
                </c:pt>
                <c:pt idx="229">
                  <c:v>41971</c:v>
                </c:pt>
                <c:pt idx="230">
                  <c:v>41974</c:v>
                </c:pt>
                <c:pt idx="231">
                  <c:v>41975</c:v>
                </c:pt>
                <c:pt idx="232">
                  <c:v>41976</c:v>
                </c:pt>
                <c:pt idx="233">
                  <c:v>41977</c:v>
                </c:pt>
                <c:pt idx="234">
                  <c:v>41978</c:v>
                </c:pt>
                <c:pt idx="235">
                  <c:v>41981</c:v>
                </c:pt>
                <c:pt idx="236">
                  <c:v>41982</c:v>
                </c:pt>
                <c:pt idx="237">
                  <c:v>41983</c:v>
                </c:pt>
                <c:pt idx="238">
                  <c:v>41984</c:v>
                </c:pt>
                <c:pt idx="239">
                  <c:v>41985</c:v>
                </c:pt>
                <c:pt idx="240">
                  <c:v>41988</c:v>
                </c:pt>
                <c:pt idx="241">
                  <c:v>41989</c:v>
                </c:pt>
                <c:pt idx="242">
                  <c:v>41990</c:v>
                </c:pt>
                <c:pt idx="243">
                  <c:v>41991</c:v>
                </c:pt>
                <c:pt idx="244">
                  <c:v>41992</c:v>
                </c:pt>
                <c:pt idx="245">
                  <c:v>41995</c:v>
                </c:pt>
                <c:pt idx="246">
                  <c:v>41996</c:v>
                </c:pt>
                <c:pt idx="247">
                  <c:v>41997</c:v>
                </c:pt>
                <c:pt idx="248">
                  <c:v>41999</c:v>
                </c:pt>
                <c:pt idx="249">
                  <c:v>42002</c:v>
                </c:pt>
                <c:pt idx="250">
                  <c:v>42003</c:v>
                </c:pt>
                <c:pt idx="251">
                  <c:v>42004</c:v>
                </c:pt>
                <c:pt idx="252">
                  <c:v>42005</c:v>
                </c:pt>
                <c:pt idx="253">
                  <c:v>42006</c:v>
                </c:pt>
                <c:pt idx="254">
                  <c:v>42009</c:v>
                </c:pt>
                <c:pt idx="255">
                  <c:v>42010</c:v>
                </c:pt>
                <c:pt idx="256">
                  <c:v>42011</c:v>
                </c:pt>
                <c:pt idx="257">
                  <c:v>42012</c:v>
                </c:pt>
                <c:pt idx="258">
                  <c:v>42013</c:v>
                </c:pt>
                <c:pt idx="259">
                  <c:v>42016</c:v>
                </c:pt>
                <c:pt idx="260">
                  <c:v>42017</c:v>
                </c:pt>
                <c:pt idx="261">
                  <c:v>42018</c:v>
                </c:pt>
                <c:pt idx="262">
                  <c:v>42019</c:v>
                </c:pt>
                <c:pt idx="263">
                  <c:v>42020</c:v>
                </c:pt>
                <c:pt idx="264">
                  <c:v>42024</c:v>
                </c:pt>
                <c:pt idx="265">
                  <c:v>42025</c:v>
                </c:pt>
                <c:pt idx="266">
                  <c:v>42026</c:v>
                </c:pt>
                <c:pt idx="267">
                  <c:v>42027</c:v>
                </c:pt>
                <c:pt idx="268">
                  <c:v>42030</c:v>
                </c:pt>
                <c:pt idx="269">
                  <c:v>42031</c:v>
                </c:pt>
                <c:pt idx="270">
                  <c:v>42032</c:v>
                </c:pt>
                <c:pt idx="271">
                  <c:v>42033</c:v>
                </c:pt>
                <c:pt idx="272">
                  <c:v>42034</c:v>
                </c:pt>
                <c:pt idx="273">
                  <c:v>42037</c:v>
                </c:pt>
                <c:pt idx="274">
                  <c:v>42038</c:v>
                </c:pt>
                <c:pt idx="275">
                  <c:v>42039</c:v>
                </c:pt>
                <c:pt idx="276">
                  <c:v>42040</c:v>
                </c:pt>
                <c:pt idx="277">
                  <c:v>42041</c:v>
                </c:pt>
                <c:pt idx="278">
                  <c:v>42044</c:v>
                </c:pt>
                <c:pt idx="279">
                  <c:v>42045</c:v>
                </c:pt>
                <c:pt idx="280">
                  <c:v>42046</c:v>
                </c:pt>
                <c:pt idx="281">
                  <c:v>42047</c:v>
                </c:pt>
                <c:pt idx="282">
                  <c:v>42048</c:v>
                </c:pt>
                <c:pt idx="283">
                  <c:v>42052</c:v>
                </c:pt>
                <c:pt idx="284">
                  <c:v>42053</c:v>
                </c:pt>
                <c:pt idx="285">
                  <c:v>42054</c:v>
                </c:pt>
                <c:pt idx="286">
                  <c:v>42055</c:v>
                </c:pt>
                <c:pt idx="287">
                  <c:v>42058</c:v>
                </c:pt>
                <c:pt idx="288">
                  <c:v>42059</c:v>
                </c:pt>
                <c:pt idx="289">
                  <c:v>42060</c:v>
                </c:pt>
                <c:pt idx="290">
                  <c:v>42061</c:v>
                </c:pt>
                <c:pt idx="291">
                  <c:v>42062</c:v>
                </c:pt>
                <c:pt idx="292">
                  <c:v>42065</c:v>
                </c:pt>
                <c:pt idx="293">
                  <c:v>42066</c:v>
                </c:pt>
                <c:pt idx="294">
                  <c:v>42067</c:v>
                </c:pt>
                <c:pt idx="295">
                  <c:v>42068</c:v>
                </c:pt>
                <c:pt idx="296">
                  <c:v>42069</c:v>
                </c:pt>
                <c:pt idx="297">
                  <c:v>42072</c:v>
                </c:pt>
                <c:pt idx="298">
                  <c:v>42073</c:v>
                </c:pt>
                <c:pt idx="299">
                  <c:v>42074</c:v>
                </c:pt>
                <c:pt idx="300">
                  <c:v>42075</c:v>
                </c:pt>
                <c:pt idx="301">
                  <c:v>42076</c:v>
                </c:pt>
                <c:pt idx="302">
                  <c:v>42079</c:v>
                </c:pt>
                <c:pt idx="303">
                  <c:v>42080</c:v>
                </c:pt>
                <c:pt idx="304">
                  <c:v>42081</c:v>
                </c:pt>
                <c:pt idx="305">
                  <c:v>42082</c:v>
                </c:pt>
                <c:pt idx="306">
                  <c:v>42083</c:v>
                </c:pt>
                <c:pt idx="307">
                  <c:v>42086</c:v>
                </c:pt>
                <c:pt idx="308">
                  <c:v>42087</c:v>
                </c:pt>
                <c:pt idx="309">
                  <c:v>42088</c:v>
                </c:pt>
                <c:pt idx="310">
                  <c:v>42089</c:v>
                </c:pt>
                <c:pt idx="311">
                  <c:v>42090</c:v>
                </c:pt>
                <c:pt idx="312">
                  <c:v>42093</c:v>
                </c:pt>
                <c:pt idx="313">
                  <c:v>42094</c:v>
                </c:pt>
                <c:pt idx="314">
                  <c:v>42095</c:v>
                </c:pt>
                <c:pt idx="315">
                  <c:v>42096</c:v>
                </c:pt>
                <c:pt idx="316">
                  <c:v>42097</c:v>
                </c:pt>
                <c:pt idx="317">
                  <c:v>42100</c:v>
                </c:pt>
                <c:pt idx="318">
                  <c:v>42101</c:v>
                </c:pt>
                <c:pt idx="319">
                  <c:v>42102</c:v>
                </c:pt>
                <c:pt idx="320">
                  <c:v>42103</c:v>
                </c:pt>
                <c:pt idx="321">
                  <c:v>42104</c:v>
                </c:pt>
                <c:pt idx="322">
                  <c:v>42107</c:v>
                </c:pt>
                <c:pt idx="323">
                  <c:v>42108</c:v>
                </c:pt>
                <c:pt idx="324">
                  <c:v>42109</c:v>
                </c:pt>
                <c:pt idx="325">
                  <c:v>42110</c:v>
                </c:pt>
                <c:pt idx="326">
                  <c:v>42111</c:v>
                </c:pt>
                <c:pt idx="327">
                  <c:v>42114</c:v>
                </c:pt>
                <c:pt idx="328">
                  <c:v>42115</c:v>
                </c:pt>
                <c:pt idx="329">
                  <c:v>42116</c:v>
                </c:pt>
                <c:pt idx="330">
                  <c:v>42117</c:v>
                </c:pt>
                <c:pt idx="331">
                  <c:v>42118</c:v>
                </c:pt>
                <c:pt idx="332">
                  <c:v>42121</c:v>
                </c:pt>
                <c:pt idx="333">
                  <c:v>42122</c:v>
                </c:pt>
                <c:pt idx="334">
                  <c:v>42123</c:v>
                </c:pt>
                <c:pt idx="335">
                  <c:v>42124</c:v>
                </c:pt>
                <c:pt idx="336">
                  <c:v>42125</c:v>
                </c:pt>
                <c:pt idx="337">
                  <c:v>42128</c:v>
                </c:pt>
                <c:pt idx="338">
                  <c:v>42129</c:v>
                </c:pt>
                <c:pt idx="339">
                  <c:v>42130</c:v>
                </c:pt>
                <c:pt idx="340">
                  <c:v>42131</c:v>
                </c:pt>
                <c:pt idx="341">
                  <c:v>42132</c:v>
                </c:pt>
                <c:pt idx="342">
                  <c:v>42135</c:v>
                </c:pt>
                <c:pt idx="343">
                  <c:v>42136</c:v>
                </c:pt>
                <c:pt idx="344">
                  <c:v>42137</c:v>
                </c:pt>
                <c:pt idx="345">
                  <c:v>42138</c:v>
                </c:pt>
                <c:pt idx="346">
                  <c:v>42139</c:v>
                </c:pt>
                <c:pt idx="347">
                  <c:v>42142</c:v>
                </c:pt>
                <c:pt idx="348">
                  <c:v>42143</c:v>
                </c:pt>
                <c:pt idx="349">
                  <c:v>42144</c:v>
                </c:pt>
                <c:pt idx="350">
                  <c:v>42145</c:v>
                </c:pt>
                <c:pt idx="351">
                  <c:v>42146</c:v>
                </c:pt>
                <c:pt idx="352">
                  <c:v>42149</c:v>
                </c:pt>
                <c:pt idx="353">
                  <c:v>42150</c:v>
                </c:pt>
                <c:pt idx="354">
                  <c:v>42151</c:v>
                </c:pt>
                <c:pt idx="355">
                  <c:v>42152</c:v>
                </c:pt>
                <c:pt idx="356">
                  <c:v>42153</c:v>
                </c:pt>
                <c:pt idx="357">
                  <c:v>42156</c:v>
                </c:pt>
                <c:pt idx="358">
                  <c:v>42157</c:v>
                </c:pt>
                <c:pt idx="359">
                  <c:v>42158</c:v>
                </c:pt>
                <c:pt idx="360">
                  <c:v>42159</c:v>
                </c:pt>
                <c:pt idx="361">
                  <c:v>42160</c:v>
                </c:pt>
                <c:pt idx="362">
                  <c:v>42163</c:v>
                </c:pt>
                <c:pt idx="363">
                  <c:v>42164</c:v>
                </c:pt>
                <c:pt idx="364">
                  <c:v>42165</c:v>
                </c:pt>
                <c:pt idx="365">
                  <c:v>42166</c:v>
                </c:pt>
                <c:pt idx="366">
                  <c:v>42167</c:v>
                </c:pt>
                <c:pt idx="367">
                  <c:v>42170</c:v>
                </c:pt>
                <c:pt idx="368">
                  <c:v>42171</c:v>
                </c:pt>
                <c:pt idx="369">
                  <c:v>42172</c:v>
                </c:pt>
                <c:pt idx="370">
                  <c:v>42173</c:v>
                </c:pt>
                <c:pt idx="371">
                  <c:v>42174</c:v>
                </c:pt>
                <c:pt idx="372">
                  <c:v>42177</c:v>
                </c:pt>
                <c:pt idx="373">
                  <c:v>42178</c:v>
                </c:pt>
                <c:pt idx="374">
                  <c:v>42179</c:v>
                </c:pt>
                <c:pt idx="375">
                  <c:v>42180</c:v>
                </c:pt>
                <c:pt idx="376">
                  <c:v>42181</c:v>
                </c:pt>
                <c:pt idx="377">
                  <c:v>42184</c:v>
                </c:pt>
                <c:pt idx="378">
                  <c:v>42185</c:v>
                </c:pt>
                <c:pt idx="379">
                  <c:v>42186</c:v>
                </c:pt>
                <c:pt idx="380">
                  <c:v>42187</c:v>
                </c:pt>
                <c:pt idx="381">
                  <c:v>42188</c:v>
                </c:pt>
                <c:pt idx="382">
                  <c:v>42191</c:v>
                </c:pt>
                <c:pt idx="383">
                  <c:v>42192</c:v>
                </c:pt>
                <c:pt idx="384">
                  <c:v>42193</c:v>
                </c:pt>
                <c:pt idx="385">
                  <c:v>42194</c:v>
                </c:pt>
                <c:pt idx="386">
                  <c:v>42195</c:v>
                </c:pt>
                <c:pt idx="387">
                  <c:v>42198</c:v>
                </c:pt>
                <c:pt idx="388">
                  <c:v>42199</c:v>
                </c:pt>
                <c:pt idx="389">
                  <c:v>42200</c:v>
                </c:pt>
                <c:pt idx="390">
                  <c:v>42201</c:v>
                </c:pt>
                <c:pt idx="391">
                  <c:v>42202</c:v>
                </c:pt>
                <c:pt idx="392">
                  <c:v>42205</c:v>
                </c:pt>
                <c:pt idx="393">
                  <c:v>42206</c:v>
                </c:pt>
                <c:pt idx="394">
                  <c:v>42207</c:v>
                </c:pt>
                <c:pt idx="395">
                  <c:v>42208</c:v>
                </c:pt>
                <c:pt idx="396">
                  <c:v>42209</c:v>
                </c:pt>
                <c:pt idx="397">
                  <c:v>42212</c:v>
                </c:pt>
                <c:pt idx="398">
                  <c:v>42213</c:v>
                </c:pt>
                <c:pt idx="399">
                  <c:v>42214</c:v>
                </c:pt>
                <c:pt idx="400">
                  <c:v>42215</c:v>
                </c:pt>
                <c:pt idx="401">
                  <c:v>42216</c:v>
                </c:pt>
                <c:pt idx="402">
                  <c:v>42219</c:v>
                </c:pt>
                <c:pt idx="403">
                  <c:v>42220</c:v>
                </c:pt>
                <c:pt idx="404">
                  <c:v>42221</c:v>
                </c:pt>
                <c:pt idx="405">
                  <c:v>42222</c:v>
                </c:pt>
                <c:pt idx="406">
                  <c:v>42223</c:v>
                </c:pt>
                <c:pt idx="407">
                  <c:v>42226</c:v>
                </c:pt>
                <c:pt idx="408">
                  <c:v>42227</c:v>
                </c:pt>
                <c:pt idx="409">
                  <c:v>42228</c:v>
                </c:pt>
                <c:pt idx="410">
                  <c:v>42229</c:v>
                </c:pt>
                <c:pt idx="411">
                  <c:v>42230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42240</c:v>
                </c:pt>
                <c:pt idx="418">
                  <c:v>42241</c:v>
                </c:pt>
                <c:pt idx="419">
                  <c:v>42242</c:v>
                </c:pt>
                <c:pt idx="420">
                  <c:v>42243</c:v>
                </c:pt>
                <c:pt idx="421">
                  <c:v>42244</c:v>
                </c:pt>
                <c:pt idx="422">
                  <c:v>42247</c:v>
                </c:pt>
                <c:pt idx="423">
                  <c:v>42248</c:v>
                </c:pt>
                <c:pt idx="424">
                  <c:v>42249</c:v>
                </c:pt>
                <c:pt idx="425">
                  <c:v>42250</c:v>
                </c:pt>
                <c:pt idx="426">
                  <c:v>42251</c:v>
                </c:pt>
                <c:pt idx="427">
                  <c:v>42254</c:v>
                </c:pt>
                <c:pt idx="428">
                  <c:v>42255</c:v>
                </c:pt>
                <c:pt idx="429">
                  <c:v>42256</c:v>
                </c:pt>
                <c:pt idx="430">
                  <c:v>42257</c:v>
                </c:pt>
                <c:pt idx="431">
                  <c:v>42258</c:v>
                </c:pt>
                <c:pt idx="432">
                  <c:v>42261</c:v>
                </c:pt>
                <c:pt idx="433">
                  <c:v>42262</c:v>
                </c:pt>
                <c:pt idx="434">
                  <c:v>42263</c:v>
                </c:pt>
                <c:pt idx="435">
                  <c:v>42264</c:v>
                </c:pt>
                <c:pt idx="436">
                  <c:v>42265</c:v>
                </c:pt>
                <c:pt idx="437">
                  <c:v>42268</c:v>
                </c:pt>
                <c:pt idx="438">
                  <c:v>42269</c:v>
                </c:pt>
                <c:pt idx="439">
                  <c:v>42270</c:v>
                </c:pt>
                <c:pt idx="440">
                  <c:v>42271</c:v>
                </c:pt>
                <c:pt idx="441">
                  <c:v>42272</c:v>
                </c:pt>
                <c:pt idx="442">
                  <c:v>42275</c:v>
                </c:pt>
                <c:pt idx="443">
                  <c:v>42276</c:v>
                </c:pt>
                <c:pt idx="444">
                  <c:v>42277</c:v>
                </c:pt>
                <c:pt idx="445">
                  <c:v>42278</c:v>
                </c:pt>
                <c:pt idx="446">
                  <c:v>42279</c:v>
                </c:pt>
                <c:pt idx="447">
                  <c:v>42282</c:v>
                </c:pt>
                <c:pt idx="448">
                  <c:v>42283</c:v>
                </c:pt>
                <c:pt idx="449">
                  <c:v>42284</c:v>
                </c:pt>
                <c:pt idx="450">
                  <c:v>42285</c:v>
                </c:pt>
                <c:pt idx="451">
                  <c:v>42286</c:v>
                </c:pt>
                <c:pt idx="452">
                  <c:v>42289</c:v>
                </c:pt>
                <c:pt idx="453">
                  <c:v>42290</c:v>
                </c:pt>
                <c:pt idx="454">
                  <c:v>42291</c:v>
                </c:pt>
                <c:pt idx="455">
                  <c:v>42292</c:v>
                </c:pt>
                <c:pt idx="456">
                  <c:v>42293</c:v>
                </c:pt>
                <c:pt idx="457">
                  <c:v>42296</c:v>
                </c:pt>
                <c:pt idx="458">
                  <c:v>42297</c:v>
                </c:pt>
                <c:pt idx="459">
                  <c:v>42298</c:v>
                </c:pt>
                <c:pt idx="460">
                  <c:v>42299</c:v>
                </c:pt>
                <c:pt idx="461">
                  <c:v>42300</c:v>
                </c:pt>
                <c:pt idx="462">
                  <c:v>42303</c:v>
                </c:pt>
                <c:pt idx="463">
                  <c:v>42304</c:v>
                </c:pt>
                <c:pt idx="464">
                  <c:v>42305</c:v>
                </c:pt>
                <c:pt idx="465">
                  <c:v>42306</c:v>
                </c:pt>
                <c:pt idx="466">
                  <c:v>42307</c:v>
                </c:pt>
                <c:pt idx="467">
                  <c:v>42310</c:v>
                </c:pt>
                <c:pt idx="468">
                  <c:v>42311</c:v>
                </c:pt>
                <c:pt idx="469">
                  <c:v>42312</c:v>
                </c:pt>
                <c:pt idx="470">
                  <c:v>42313</c:v>
                </c:pt>
                <c:pt idx="471">
                  <c:v>42314</c:v>
                </c:pt>
                <c:pt idx="472">
                  <c:v>42317</c:v>
                </c:pt>
                <c:pt idx="473">
                  <c:v>42318</c:v>
                </c:pt>
                <c:pt idx="474">
                  <c:v>42319</c:v>
                </c:pt>
                <c:pt idx="475">
                  <c:v>42320</c:v>
                </c:pt>
                <c:pt idx="476">
                  <c:v>42321</c:v>
                </c:pt>
                <c:pt idx="477">
                  <c:v>42324</c:v>
                </c:pt>
                <c:pt idx="478">
                  <c:v>42325</c:v>
                </c:pt>
                <c:pt idx="479">
                  <c:v>42326</c:v>
                </c:pt>
                <c:pt idx="480">
                  <c:v>42327</c:v>
                </c:pt>
                <c:pt idx="481">
                  <c:v>42328</c:v>
                </c:pt>
                <c:pt idx="482">
                  <c:v>42331</c:v>
                </c:pt>
                <c:pt idx="483">
                  <c:v>42332</c:v>
                </c:pt>
                <c:pt idx="484">
                  <c:v>42333</c:v>
                </c:pt>
                <c:pt idx="485">
                  <c:v>42334</c:v>
                </c:pt>
                <c:pt idx="486">
                  <c:v>42335</c:v>
                </c:pt>
                <c:pt idx="487">
                  <c:v>42338</c:v>
                </c:pt>
                <c:pt idx="488">
                  <c:v>42339</c:v>
                </c:pt>
                <c:pt idx="489">
                  <c:v>42340</c:v>
                </c:pt>
                <c:pt idx="490">
                  <c:v>42341</c:v>
                </c:pt>
                <c:pt idx="491">
                  <c:v>42342</c:v>
                </c:pt>
                <c:pt idx="492">
                  <c:v>42345</c:v>
                </c:pt>
                <c:pt idx="493">
                  <c:v>42346</c:v>
                </c:pt>
                <c:pt idx="494">
                  <c:v>42347</c:v>
                </c:pt>
                <c:pt idx="495">
                  <c:v>42348</c:v>
                </c:pt>
                <c:pt idx="496">
                  <c:v>42349</c:v>
                </c:pt>
                <c:pt idx="497">
                  <c:v>42352</c:v>
                </c:pt>
                <c:pt idx="498">
                  <c:v>42353</c:v>
                </c:pt>
                <c:pt idx="499">
                  <c:v>42354</c:v>
                </c:pt>
                <c:pt idx="500">
                  <c:v>42355</c:v>
                </c:pt>
                <c:pt idx="501">
                  <c:v>42356</c:v>
                </c:pt>
                <c:pt idx="502">
                  <c:v>42359</c:v>
                </c:pt>
                <c:pt idx="503">
                  <c:v>42360</c:v>
                </c:pt>
                <c:pt idx="504">
                  <c:v>42361</c:v>
                </c:pt>
                <c:pt idx="505">
                  <c:v>42362</c:v>
                </c:pt>
                <c:pt idx="506">
                  <c:v>42363</c:v>
                </c:pt>
                <c:pt idx="507">
                  <c:v>42366</c:v>
                </c:pt>
                <c:pt idx="508">
                  <c:v>42367</c:v>
                </c:pt>
                <c:pt idx="509">
                  <c:v>42368</c:v>
                </c:pt>
                <c:pt idx="510">
                  <c:v>42369</c:v>
                </c:pt>
                <c:pt idx="511">
                  <c:v>42370</c:v>
                </c:pt>
                <c:pt idx="512">
                  <c:v>42373</c:v>
                </c:pt>
                <c:pt idx="513">
                  <c:v>42374</c:v>
                </c:pt>
                <c:pt idx="514">
                  <c:v>42375</c:v>
                </c:pt>
                <c:pt idx="515">
                  <c:v>42376</c:v>
                </c:pt>
                <c:pt idx="516">
                  <c:v>42377</c:v>
                </c:pt>
                <c:pt idx="517">
                  <c:v>42380</c:v>
                </c:pt>
                <c:pt idx="518">
                  <c:v>42381</c:v>
                </c:pt>
                <c:pt idx="519">
                  <c:v>42382</c:v>
                </c:pt>
                <c:pt idx="520">
                  <c:v>42383</c:v>
                </c:pt>
                <c:pt idx="521">
                  <c:v>42384</c:v>
                </c:pt>
                <c:pt idx="522">
                  <c:v>42388</c:v>
                </c:pt>
                <c:pt idx="523">
                  <c:v>42389</c:v>
                </c:pt>
                <c:pt idx="524">
                  <c:v>42390</c:v>
                </c:pt>
                <c:pt idx="525">
                  <c:v>42391</c:v>
                </c:pt>
                <c:pt idx="526">
                  <c:v>42394</c:v>
                </c:pt>
                <c:pt idx="527">
                  <c:v>42395</c:v>
                </c:pt>
                <c:pt idx="528">
                  <c:v>42396</c:v>
                </c:pt>
                <c:pt idx="529">
                  <c:v>42397</c:v>
                </c:pt>
                <c:pt idx="530">
                  <c:v>42398</c:v>
                </c:pt>
                <c:pt idx="531">
                  <c:v>42401</c:v>
                </c:pt>
                <c:pt idx="532">
                  <c:v>42402</c:v>
                </c:pt>
                <c:pt idx="533">
                  <c:v>42403</c:v>
                </c:pt>
                <c:pt idx="534">
                  <c:v>42404</c:v>
                </c:pt>
                <c:pt idx="535">
                  <c:v>42405</c:v>
                </c:pt>
                <c:pt idx="536">
                  <c:v>42408</c:v>
                </c:pt>
                <c:pt idx="537">
                  <c:v>42409</c:v>
                </c:pt>
                <c:pt idx="538">
                  <c:v>42410</c:v>
                </c:pt>
                <c:pt idx="539">
                  <c:v>42411</c:v>
                </c:pt>
                <c:pt idx="540">
                  <c:v>42412</c:v>
                </c:pt>
                <c:pt idx="541">
                  <c:v>42416</c:v>
                </c:pt>
                <c:pt idx="542">
                  <c:v>42417</c:v>
                </c:pt>
                <c:pt idx="543">
                  <c:v>42418</c:v>
                </c:pt>
                <c:pt idx="544">
                  <c:v>42419</c:v>
                </c:pt>
                <c:pt idx="545">
                  <c:v>42422</c:v>
                </c:pt>
                <c:pt idx="546">
                  <c:v>42423</c:v>
                </c:pt>
                <c:pt idx="547">
                  <c:v>42424</c:v>
                </c:pt>
                <c:pt idx="548">
                  <c:v>42425</c:v>
                </c:pt>
                <c:pt idx="549">
                  <c:v>42426</c:v>
                </c:pt>
                <c:pt idx="550">
                  <c:v>42429</c:v>
                </c:pt>
                <c:pt idx="551">
                  <c:v>42430</c:v>
                </c:pt>
                <c:pt idx="552">
                  <c:v>42431</c:v>
                </c:pt>
                <c:pt idx="553">
                  <c:v>42432</c:v>
                </c:pt>
                <c:pt idx="554">
                  <c:v>42433</c:v>
                </c:pt>
                <c:pt idx="555">
                  <c:v>42436</c:v>
                </c:pt>
                <c:pt idx="556">
                  <c:v>42437</c:v>
                </c:pt>
                <c:pt idx="557">
                  <c:v>42438</c:v>
                </c:pt>
                <c:pt idx="558">
                  <c:v>42439</c:v>
                </c:pt>
                <c:pt idx="559">
                  <c:v>42440</c:v>
                </c:pt>
                <c:pt idx="560">
                  <c:v>42443</c:v>
                </c:pt>
                <c:pt idx="561">
                  <c:v>42444</c:v>
                </c:pt>
                <c:pt idx="562">
                  <c:v>42445</c:v>
                </c:pt>
                <c:pt idx="563">
                  <c:v>42446</c:v>
                </c:pt>
                <c:pt idx="564">
                  <c:v>42447</c:v>
                </c:pt>
                <c:pt idx="565">
                  <c:v>42450</c:v>
                </c:pt>
                <c:pt idx="566">
                  <c:v>42451</c:v>
                </c:pt>
                <c:pt idx="567">
                  <c:v>42452</c:v>
                </c:pt>
                <c:pt idx="568">
                  <c:v>42453</c:v>
                </c:pt>
                <c:pt idx="569">
                  <c:v>42457</c:v>
                </c:pt>
                <c:pt idx="570">
                  <c:v>42458</c:v>
                </c:pt>
                <c:pt idx="571">
                  <c:v>42459</c:v>
                </c:pt>
                <c:pt idx="572">
                  <c:v>42460</c:v>
                </c:pt>
                <c:pt idx="573">
                  <c:v>42461</c:v>
                </c:pt>
                <c:pt idx="574">
                  <c:v>42464</c:v>
                </c:pt>
                <c:pt idx="575">
                  <c:v>42465</c:v>
                </c:pt>
                <c:pt idx="576">
                  <c:v>42466</c:v>
                </c:pt>
                <c:pt idx="577">
                  <c:v>42467</c:v>
                </c:pt>
                <c:pt idx="578">
                  <c:v>42468</c:v>
                </c:pt>
                <c:pt idx="579">
                  <c:v>42471</c:v>
                </c:pt>
                <c:pt idx="580">
                  <c:v>42472</c:v>
                </c:pt>
                <c:pt idx="581">
                  <c:v>42473</c:v>
                </c:pt>
                <c:pt idx="582">
                  <c:v>42474</c:v>
                </c:pt>
                <c:pt idx="583">
                  <c:v>42475</c:v>
                </c:pt>
                <c:pt idx="584">
                  <c:v>42478</c:v>
                </c:pt>
                <c:pt idx="585">
                  <c:v>42479</c:v>
                </c:pt>
                <c:pt idx="586">
                  <c:v>42480</c:v>
                </c:pt>
                <c:pt idx="587">
                  <c:v>42481</c:v>
                </c:pt>
                <c:pt idx="588">
                  <c:v>42482</c:v>
                </c:pt>
                <c:pt idx="589">
                  <c:v>42485</c:v>
                </c:pt>
                <c:pt idx="590">
                  <c:v>42486</c:v>
                </c:pt>
                <c:pt idx="591">
                  <c:v>42487</c:v>
                </c:pt>
                <c:pt idx="592">
                  <c:v>42488</c:v>
                </c:pt>
                <c:pt idx="593">
                  <c:v>42489</c:v>
                </c:pt>
                <c:pt idx="594">
                  <c:v>42492</c:v>
                </c:pt>
                <c:pt idx="595">
                  <c:v>42493</c:v>
                </c:pt>
                <c:pt idx="596">
                  <c:v>42494</c:v>
                </c:pt>
                <c:pt idx="597">
                  <c:v>42495</c:v>
                </c:pt>
                <c:pt idx="598">
                  <c:v>42496</c:v>
                </c:pt>
                <c:pt idx="599">
                  <c:v>42499</c:v>
                </c:pt>
                <c:pt idx="600">
                  <c:v>42500</c:v>
                </c:pt>
                <c:pt idx="601">
                  <c:v>42501</c:v>
                </c:pt>
                <c:pt idx="602">
                  <c:v>42502</c:v>
                </c:pt>
                <c:pt idx="603">
                  <c:v>42503</c:v>
                </c:pt>
                <c:pt idx="604">
                  <c:v>42506</c:v>
                </c:pt>
                <c:pt idx="605">
                  <c:v>42507</c:v>
                </c:pt>
                <c:pt idx="606">
                  <c:v>42508</c:v>
                </c:pt>
                <c:pt idx="607">
                  <c:v>42509</c:v>
                </c:pt>
                <c:pt idx="608">
                  <c:v>42510</c:v>
                </c:pt>
                <c:pt idx="609">
                  <c:v>42513</c:v>
                </c:pt>
                <c:pt idx="610">
                  <c:v>42514</c:v>
                </c:pt>
                <c:pt idx="611">
                  <c:v>42515</c:v>
                </c:pt>
                <c:pt idx="612">
                  <c:v>42516</c:v>
                </c:pt>
                <c:pt idx="613">
                  <c:v>42517</c:v>
                </c:pt>
                <c:pt idx="614">
                  <c:v>42521</c:v>
                </c:pt>
                <c:pt idx="615">
                  <c:v>42522</c:v>
                </c:pt>
                <c:pt idx="616">
                  <c:v>42523</c:v>
                </c:pt>
                <c:pt idx="617">
                  <c:v>42524</c:v>
                </c:pt>
                <c:pt idx="618">
                  <c:v>42527</c:v>
                </c:pt>
                <c:pt idx="619">
                  <c:v>42528</c:v>
                </c:pt>
                <c:pt idx="620">
                  <c:v>42529</c:v>
                </c:pt>
                <c:pt idx="621">
                  <c:v>42530</c:v>
                </c:pt>
                <c:pt idx="622">
                  <c:v>42531</c:v>
                </c:pt>
                <c:pt idx="623">
                  <c:v>42534</c:v>
                </c:pt>
                <c:pt idx="624">
                  <c:v>42535</c:v>
                </c:pt>
                <c:pt idx="625">
                  <c:v>42536</c:v>
                </c:pt>
                <c:pt idx="626">
                  <c:v>42537</c:v>
                </c:pt>
                <c:pt idx="627">
                  <c:v>42538</c:v>
                </c:pt>
                <c:pt idx="628">
                  <c:v>42541</c:v>
                </c:pt>
                <c:pt idx="629">
                  <c:v>42542</c:v>
                </c:pt>
                <c:pt idx="630">
                  <c:v>42543</c:v>
                </c:pt>
                <c:pt idx="631">
                  <c:v>42544</c:v>
                </c:pt>
                <c:pt idx="632">
                  <c:v>42545</c:v>
                </c:pt>
                <c:pt idx="633">
                  <c:v>42548</c:v>
                </c:pt>
                <c:pt idx="634">
                  <c:v>42549</c:v>
                </c:pt>
                <c:pt idx="635">
                  <c:v>42550</c:v>
                </c:pt>
                <c:pt idx="636">
                  <c:v>42551</c:v>
                </c:pt>
                <c:pt idx="637">
                  <c:v>42552</c:v>
                </c:pt>
                <c:pt idx="638">
                  <c:v>42556</c:v>
                </c:pt>
                <c:pt idx="639">
                  <c:v>42557</c:v>
                </c:pt>
                <c:pt idx="640">
                  <c:v>42558</c:v>
                </c:pt>
                <c:pt idx="641">
                  <c:v>42559</c:v>
                </c:pt>
                <c:pt idx="642">
                  <c:v>42562</c:v>
                </c:pt>
                <c:pt idx="643">
                  <c:v>42563</c:v>
                </c:pt>
                <c:pt idx="644">
                  <c:v>42564</c:v>
                </c:pt>
                <c:pt idx="645">
                  <c:v>42565</c:v>
                </c:pt>
                <c:pt idx="646">
                  <c:v>42566</c:v>
                </c:pt>
                <c:pt idx="647">
                  <c:v>42569</c:v>
                </c:pt>
                <c:pt idx="648">
                  <c:v>42570</c:v>
                </c:pt>
                <c:pt idx="649">
                  <c:v>42571</c:v>
                </c:pt>
                <c:pt idx="650">
                  <c:v>42572</c:v>
                </c:pt>
                <c:pt idx="651">
                  <c:v>42573</c:v>
                </c:pt>
                <c:pt idx="652">
                  <c:v>42576</c:v>
                </c:pt>
                <c:pt idx="653">
                  <c:v>42577</c:v>
                </c:pt>
                <c:pt idx="654">
                  <c:v>42578</c:v>
                </c:pt>
                <c:pt idx="655">
                  <c:v>42579</c:v>
                </c:pt>
                <c:pt idx="656">
                  <c:v>42580</c:v>
                </c:pt>
                <c:pt idx="657">
                  <c:v>42583</c:v>
                </c:pt>
                <c:pt idx="658">
                  <c:v>42584</c:v>
                </c:pt>
                <c:pt idx="659">
                  <c:v>42585</c:v>
                </c:pt>
                <c:pt idx="660">
                  <c:v>42586</c:v>
                </c:pt>
                <c:pt idx="661">
                  <c:v>42587</c:v>
                </c:pt>
                <c:pt idx="662">
                  <c:v>42590</c:v>
                </c:pt>
                <c:pt idx="663">
                  <c:v>42591</c:v>
                </c:pt>
                <c:pt idx="664">
                  <c:v>42592</c:v>
                </c:pt>
                <c:pt idx="665">
                  <c:v>42593</c:v>
                </c:pt>
                <c:pt idx="666">
                  <c:v>42594</c:v>
                </c:pt>
                <c:pt idx="667">
                  <c:v>42597</c:v>
                </c:pt>
                <c:pt idx="668">
                  <c:v>42598</c:v>
                </c:pt>
                <c:pt idx="669">
                  <c:v>42599</c:v>
                </c:pt>
                <c:pt idx="670">
                  <c:v>42600</c:v>
                </c:pt>
                <c:pt idx="671">
                  <c:v>42601</c:v>
                </c:pt>
                <c:pt idx="672">
                  <c:v>42604</c:v>
                </c:pt>
                <c:pt idx="673">
                  <c:v>42605</c:v>
                </c:pt>
                <c:pt idx="674">
                  <c:v>42606</c:v>
                </c:pt>
                <c:pt idx="675">
                  <c:v>42607</c:v>
                </c:pt>
                <c:pt idx="676">
                  <c:v>42608</c:v>
                </c:pt>
                <c:pt idx="677">
                  <c:v>42611</c:v>
                </c:pt>
                <c:pt idx="678">
                  <c:v>42612</c:v>
                </c:pt>
                <c:pt idx="679">
                  <c:v>42613</c:v>
                </c:pt>
                <c:pt idx="680">
                  <c:v>42614</c:v>
                </c:pt>
                <c:pt idx="681">
                  <c:v>42615</c:v>
                </c:pt>
                <c:pt idx="682">
                  <c:v>42618</c:v>
                </c:pt>
                <c:pt idx="683">
                  <c:v>42619</c:v>
                </c:pt>
                <c:pt idx="684">
                  <c:v>42620</c:v>
                </c:pt>
                <c:pt idx="685">
                  <c:v>42621</c:v>
                </c:pt>
                <c:pt idx="686">
                  <c:v>42622</c:v>
                </c:pt>
                <c:pt idx="687">
                  <c:v>42625</c:v>
                </c:pt>
                <c:pt idx="688">
                  <c:v>42626</c:v>
                </c:pt>
                <c:pt idx="689">
                  <c:v>42627</c:v>
                </c:pt>
                <c:pt idx="690">
                  <c:v>42628</c:v>
                </c:pt>
                <c:pt idx="691">
                  <c:v>42629</c:v>
                </c:pt>
                <c:pt idx="692">
                  <c:v>42632</c:v>
                </c:pt>
                <c:pt idx="693">
                  <c:v>42633</c:v>
                </c:pt>
                <c:pt idx="694">
                  <c:v>42634</c:v>
                </c:pt>
                <c:pt idx="695">
                  <c:v>42635</c:v>
                </c:pt>
                <c:pt idx="696">
                  <c:v>42636</c:v>
                </c:pt>
                <c:pt idx="697">
                  <c:v>42639</c:v>
                </c:pt>
                <c:pt idx="698">
                  <c:v>42640</c:v>
                </c:pt>
                <c:pt idx="699">
                  <c:v>42641</c:v>
                </c:pt>
                <c:pt idx="700">
                  <c:v>42642</c:v>
                </c:pt>
                <c:pt idx="701">
                  <c:v>42643</c:v>
                </c:pt>
                <c:pt idx="702">
                  <c:v>42646</c:v>
                </c:pt>
                <c:pt idx="703">
                  <c:v>42647</c:v>
                </c:pt>
                <c:pt idx="704">
                  <c:v>42648</c:v>
                </c:pt>
                <c:pt idx="705">
                  <c:v>42649</c:v>
                </c:pt>
                <c:pt idx="706">
                  <c:v>42650</c:v>
                </c:pt>
                <c:pt idx="707">
                  <c:v>42653</c:v>
                </c:pt>
                <c:pt idx="708">
                  <c:v>42654</c:v>
                </c:pt>
                <c:pt idx="709">
                  <c:v>42655</c:v>
                </c:pt>
                <c:pt idx="710">
                  <c:v>42656</c:v>
                </c:pt>
                <c:pt idx="711">
                  <c:v>42657</c:v>
                </c:pt>
                <c:pt idx="712">
                  <c:v>42660</c:v>
                </c:pt>
                <c:pt idx="713">
                  <c:v>42661</c:v>
                </c:pt>
                <c:pt idx="714">
                  <c:v>42662</c:v>
                </c:pt>
                <c:pt idx="715">
                  <c:v>42663</c:v>
                </c:pt>
                <c:pt idx="716">
                  <c:v>42664</c:v>
                </c:pt>
                <c:pt idx="717">
                  <c:v>42667</c:v>
                </c:pt>
                <c:pt idx="718">
                  <c:v>42668</c:v>
                </c:pt>
                <c:pt idx="719">
                  <c:v>42669</c:v>
                </c:pt>
                <c:pt idx="720">
                  <c:v>42670</c:v>
                </c:pt>
                <c:pt idx="721">
                  <c:v>42671</c:v>
                </c:pt>
                <c:pt idx="722">
                  <c:v>42674</c:v>
                </c:pt>
                <c:pt idx="723">
                  <c:v>42675</c:v>
                </c:pt>
                <c:pt idx="724">
                  <c:v>42676</c:v>
                </c:pt>
                <c:pt idx="725">
                  <c:v>42677</c:v>
                </c:pt>
                <c:pt idx="726">
                  <c:v>42678</c:v>
                </c:pt>
                <c:pt idx="727">
                  <c:v>42681</c:v>
                </c:pt>
                <c:pt idx="728">
                  <c:v>42682</c:v>
                </c:pt>
                <c:pt idx="729">
                  <c:v>42683</c:v>
                </c:pt>
                <c:pt idx="730">
                  <c:v>42684</c:v>
                </c:pt>
                <c:pt idx="731">
                  <c:v>42685</c:v>
                </c:pt>
                <c:pt idx="732">
                  <c:v>42688</c:v>
                </c:pt>
                <c:pt idx="733">
                  <c:v>42689</c:v>
                </c:pt>
                <c:pt idx="734">
                  <c:v>42690</c:v>
                </c:pt>
                <c:pt idx="735">
                  <c:v>42691</c:v>
                </c:pt>
                <c:pt idx="736">
                  <c:v>42692</c:v>
                </c:pt>
                <c:pt idx="737">
                  <c:v>42695</c:v>
                </c:pt>
                <c:pt idx="738">
                  <c:v>42696</c:v>
                </c:pt>
                <c:pt idx="739">
                  <c:v>42697</c:v>
                </c:pt>
                <c:pt idx="740">
                  <c:v>42698</c:v>
                </c:pt>
                <c:pt idx="741">
                  <c:v>42699</c:v>
                </c:pt>
                <c:pt idx="742">
                  <c:v>42702</c:v>
                </c:pt>
                <c:pt idx="743">
                  <c:v>42703</c:v>
                </c:pt>
                <c:pt idx="744">
                  <c:v>42704</c:v>
                </c:pt>
                <c:pt idx="745">
                  <c:v>42705</c:v>
                </c:pt>
                <c:pt idx="746">
                  <c:v>42706</c:v>
                </c:pt>
                <c:pt idx="747">
                  <c:v>42709</c:v>
                </c:pt>
                <c:pt idx="748">
                  <c:v>42710</c:v>
                </c:pt>
                <c:pt idx="749">
                  <c:v>42711</c:v>
                </c:pt>
                <c:pt idx="750">
                  <c:v>42712</c:v>
                </c:pt>
                <c:pt idx="751">
                  <c:v>42713</c:v>
                </c:pt>
                <c:pt idx="752">
                  <c:v>42716</c:v>
                </c:pt>
                <c:pt idx="753">
                  <c:v>42717</c:v>
                </c:pt>
                <c:pt idx="754">
                  <c:v>42718</c:v>
                </c:pt>
                <c:pt idx="755">
                  <c:v>42719</c:v>
                </c:pt>
                <c:pt idx="756">
                  <c:v>42720</c:v>
                </c:pt>
                <c:pt idx="757">
                  <c:v>42723</c:v>
                </c:pt>
                <c:pt idx="758">
                  <c:v>42724</c:v>
                </c:pt>
                <c:pt idx="759">
                  <c:v>42725</c:v>
                </c:pt>
                <c:pt idx="760">
                  <c:v>42726</c:v>
                </c:pt>
                <c:pt idx="761">
                  <c:v>42727</c:v>
                </c:pt>
                <c:pt idx="762">
                  <c:v>42731</c:v>
                </c:pt>
                <c:pt idx="763">
                  <c:v>42732</c:v>
                </c:pt>
                <c:pt idx="764">
                  <c:v>42733</c:v>
                </c:pt>
                <c:pt idx="765">
                  <c:v>42734</c:v>
                </c:pt>
                <c:pt idx="766">
                  <c:v>42738</c:v>
                </c:pt>
                <c:pt idx="767">
                  <c:v>42739</c:v>
                </c:pt>
                <c:pt idx="768">
                  <c:v>42740</c:v>
                </c:pt>
                <c:pt idx="769">
                  <c:v>42741</c:v>
                </c:pt>
                <c:pt idx="770">
                  <c:v>42744</c:v>
                </c:pt>
                <c:pt idx="771">
                  <c:v>42745</c:v>
                </c:pt>
                <c:pt idx="772">
                  <c:v>42746</c:v>
                </c:pt>
                <c:pt idx="773">
                  <c:v>42747</c:v>
                </c:pt>
                <c:pt idx="774">
                  <c:v>42748</c:v>
                </c:pt>
                <c:pt idx="775">
                  <c:v>42752</c:v>
                </c:pt>
                <c:pt idx="776">
                  <c:v>42753</c:v>
                </c:pt>
                <c:pt idx="777">
                  <c:v>42754</c:v>
                </c:pt>
                <c:pt idx="778">
                  <c:v>42755</c:v>
                </c:pt>
                <c:pt idx="779">
                  <c:v>42758</c:v>
                </c:pt>
                <c:pt idx="780">
                  <c:v>42759</c:v>
                </c:pt>
                <c:pt idx="781">
                  <c:v>42760</c:v>
                </c:pt>
                <c:pt idx="782">
                  <c:v>42761</c:v>
                </c:pt>
                <c:pt idx="783">
                  <c:v>42762</c:v>
                </c:pt>
                <c:pt idx="784">
                  <c:v>42765</c:v>
                </c:pt>
                <c:pt idx="785">
                  <c:v>42766</c:v>
                </c:pt>
                <c:pt idx="786">
                  <c:v>42767</c:v>
                </c:pt>
                <c:pt idx="787">
                  <c:v>42768</c:v>
                </c:pt>
                <c:pt idx="788">
                  <c:v>42769</c:v>
                </c:pt>
                <c:pt idx="789">
                  <c:v>42772</c:v>
                </c:pt>
                <c:pt idx="790">
                  <c:v>42773</c:v>
                </c:pt>
                <c:pt idx="791">
                  <c:v>42774</c:v>
                </c:pt>
                <c:pt idx="792">
                  <c:v>42775</c:v>
                </c:pt>
                <c:pt idx="793">
                  <c:v>42776</c:v>
                </c:pt>
                <c:pt idx="794">
                  <c:v>42779</c:v>
                </c:pt>
                <c:pt idx="795">
                  <c:v>42780</c:v>
                </c:pt>
                <c:pt idx="796">
                  <c:v>42781</c:v>
                </c:pt>
                <c:pt idx="797">
                  <c:v>42782</c:v>
                </c:pt>
                <c:pt idx="798">
                  <c:v>42783</c:v>
                </c:pt>
                <c:pt idx="799">
                  <c:v>42787</c:v>
                </c:pt>
                <c:pt idx="800">
                  <c:v>42788</c:v>
                </c:pt>
                <c:pt idx="801">
                  <c:v>42789</c:v>
                </c:pt>
                <c:pt idx="802">
                  <c:v>42790</c:v>
                </c:pt>
                <c:pt idx="803">
                  <c:v>42793</c:v>
                </c:pt>
                <c:pt idx="804">
                  <c:v>42794</c:v>
                </c:pt>
                <c:pt idx="805">
                  <c:v>42795</c:v>
                </c:pt>
                <c:pt idx="806">
                  <c:v>42796</c:v>
                </c:pt>
                <c:pt idx="807">
                  <c:v>42797</c:v>
                </c:pt>
                <c:pt idx="808">
                  <c:v>42800</c:v>
                </c:pt>
                <c:pt idx="809">
                  <c:v>42801</c:v>
                </c:pt>
                <c:pt idx="810">
                  <c:v>42802</c:v>
                </c:pt>
                <c:pt idx="811">
                  <c:v>42803</c:v>
                </c:pt>
                <c:pt idx="812">
                  <c:v>42804</c:v>
                </c:pt>
                <c:pt idx="813">
                  <c:v>42807</c:v>
                </c:pt>
                <c:pt idx="814">
                  <c:v>42808</c:v>
                </c:pt>
                <c:pt idx="815">
                  <c:v>42809</c:v>
                </c:pt>
                <c:pt idx="816">
                  <c:v>42810</c:v>
                </c:pt>
                <c:pt idx="817">
                  <c:v>42811</c:v>
                </c:pt>
                <c:pt idx="818">
                  <c:v>42814</c:v>
                </c:pt>
                <c:pt idx="819">
                  <c:v>42815</c:v>
                </c:pt>
                <c:pt idx="820">
                  <c:v>42816</c:v>
                </c:pt>
                <c:pt idx="821">
                  <c:v>42817</c:v>
                </c:pt>
                <c:pt idx="822">
                  <c:v>42818</c:v>
                </c:pt>
                <c:pt idx="823">
                  <c:v>42821</c:v>
                </c:pt>
                <c:pt idx="824">
                  <c:v>42822</c:v>
                </c:pt>
                <c:pt idx="825">
                  <c:v>42823</c:v>
                </c:pt>
                <c:pt idx="826">
                  <c:v>42824</c:v>
                </c:pt>
                <c:pt idx="827">
                  <c:v>42825</c:v>
                </c:pt>
                <c:pt idx="828">
                  <c:v>42828</c:v>
                </c:pt>
                <c:pt idx="829">
                  <c:v>42829</c:v>
                </c:pt>
                <c:pt idx="830">
                  <c:v>42830</c:v>
                </c:pt>
                <c:pt idx="831">
                  <c:v>42831</c:v>
                </c:pt>
                <c:pt idx="832">
                  <c:v>42832</c:v>
                </c:pt>
                <c:pt idx="833">
                  <c:v>42835</c:v>
                </c:pt>
                <c:pt idx="834">
                  <c:v>42836</c:v>
                </c:pt>
                <c:pt idx="835">
                  <c:v>42837</c:v>
                </c:pt>
                <c:pt idx="836">
                  <c:v>42838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42849</c:v>
                </c:pt>
                <c:pt idx="843">
                  <c:v>42850</c:v>
                </c:pt>
                <c:pt idx="844">
                  <c:v>42851</c:v>
                </c:pt>
                <c:pt idx="845">
                  <c:v>42852</c:v>
                </c:pt>
                <c:pt idx="846">
                  <c:v>42853</c:v>
                </c:pt>
                <c:pt idx="847">
                  <c:v>42856</c:v>
                </c:pt>
                <c:pt idx="848">
                  <c:v>42857</c:v>
                </c:pt>
                <c:pt idx="849">
                  <c:v>42858</c:v>
                </c:pt>
                <c:pt idx="850">
                  <c:v>42859</c:v>
                </c:pt>
                <c:pt idx="851">
                  <c:v>42860</c:v>
                </c:pt>
                <c:pt idx="852">
                  <c:v>42863</c:v>
                </c:pt>
                <c:pt idx="853">
                  <c:v>42864</c:v>
                </c:pt>
                <c:pt idx="854">
                  <c:v>42865</c:v>
                </c:pt>
                <c:pt idx="855">
                  <c:v>42866</c:v>
                </c:pt>
                <c:pt idx="856">
                  <c:v>42867</c:v>
                </c:pt>
                <c:pt idx="857">
                  <c:v>42870</c:v>
                </c:pt>
                <c:pt idx="858">
                  <c:v>42871</c:v>
                </c:pt>
                <c:pt idx="859">
                  <c:v>42872</c:v>
                </c:pt>
                <c:pt idx="860">
                  <c:v>42873</c:v>
                </c:pt>
                <c:pt idx="861">
                  <c:v>42874</c:v>
                </c:pt>
                <c:pt idx="862">
                  <c:v>42877</c:v>
                </c:pt>
                <c:pt idx="863">
                  <c:v>42878</c:v>
                </c:pt>
                <c:pt idx="864">
                  <c:v>42879</c:v>
                </c:pt>
                <c:pt idx="865">
                  <c:v>42880</c:v>
                </c:pt>
                <c:pt idx="866">
                  <c:v>42881</c:v>
                </c:pt>
                <c:pt idx="867">
                  <c:v>42885</c:v>
                </c:pt>
                <c:pt idx="868">
                  <c:v>42886</c:v>
                </c:pt>
                <c:pt idx="869">
                  <c:v>42887</c:v>
                </c:pt>
                <c:pt idx="870">
                  <c:v>42888</c:v>
                </c:pt>
                <c:pt idx="871">
                  <c:v>42891</c:v>
                </c:pt>
                <c:pt idx="872">
                  <c:v>42892</c:v>
                </c:pt>
                <c:pt idx="873">
                  <c:v>42893</c:v>
                </c:pt>
                <c:pt idx="874">
                  <c:v>42894</c:v>
                </c:pt>
                <c:pt idx="875">
                  <c:v>42895</c:v>
                </c:pt>
                <c:pt idx="876">
                  <c:v>42898</c:v>
                </c:pt>
                <c:pt idx="877">
                  <c:v>42899</c:v>
                </c:pt>
                <c:pt idx="878">
                  <c:v>42900</c:v>
                </c:pt>
                <c:pt idx="879">
                  <c:v>42901</c:v>
                </c:pt>
                <c:pt idx="880">
                  <c:v>42902</c:v>
                </c:pt>
                <c:pt idx="881">
                  <c:v>42905</c:v>
                </c:pt>
                <c:pt idx="882">
                  <c:v>42906</c:v>
                </c:pt>
                <c:pt idx="883">
                  <c:v>42907</c:v>
                </c:pt>
                <c:pt idx="884">
                  <c:v>42908</c:v>
                </c:pt>
                <c:pt idx="885">
                  <c:v>42909</c:v>
                </c:pt>
                <c:pt idx="886">
                  <c:v>42912</c:v>
                </c:pt>
                <c:pt idx="887">
                  <c:v>42913</c:v>
                </c:pt>
                <c:pt idx="888">
                  <c:v>42914</c:v>
                </c:pt>
                <c:pt idx="889">
                  <c:v>42915</c:v>
                </c:pt>
                <c:pt idx="890">
                  <c:v>42916</c:v>
                </c:pt>
                <c:pt idx="891">
                  <c:v>42919</c:v>
                </c:pt>
                <c:pt idx="892">
                  <c:v>42921</c:v>
                </c:pt>
                <c:pt idx="893">
                  <c:v>42922</c:v>
                </c:pt>
                <c:pt idx="894">
                  <c:v>42923</c:v>
                </c:pt>
                <c:pt idx="895">
                  <c:v>42926</c:v>
                </c:pt>
                <c:pt idx="896">
                  <c:v>42927</c:v>
                </c:pt>
                <c:pt idx="897">
                  <c:v>42928</c:v>
                </c:pt>
                <c:pt idx="898">
                  <c:v>42929</c:v>
                </c:pt>
                <c:pt idx="899">
                  <c:v>42930</c:v>
                </c:pt>
                <c:pt idx="900">
                  <c:v>42933</c:v>
                </c:pt>
                <c:pt idx="901">
                  <c:v>42934</c:v>
                </c:pt>
                <c:pt idx="902">
                  <c:v>42935</c:v>
                </c:pt>
                <c:pt idx="903">
                  <c:v>42936</c:v>
                </c:pt>
                <c:pt idx="904">
                  <c:v>42937</c:v>
                </c:pt>
                <c:pt idx="905">
                  <c:v>42940</c:v>
                </c:pt>
                <c:pt idx="906">
                  <c:v>42941</c:v>
                </c:pt>
                <c:pt idx="907">
                  <c:v>42942</c:v>
                </c:pt>
                <c:pt idx="908">
                  <c:v>42943</c:v>
                </c:pt>
                <c:pt idx="909">
                  <c:v>42944</c:v>
                </c:pt>
                <c:pt idx="910">
                  <c:v>42947</c:v>
                </c:pt>
                <c:pt idx="911">
                  <c:v>42948</c:v>
                </c:pt>
                <c:pt idx="912">
                  <c:v>42949</c:v>
                </c:pt>
                <c:pt idx="913">
                  <c:v>42950</c:v>
                </c:pt>
                <c:pt idx="914">
                  <c:v>42951</c:v>
                </c:pt>
                <c:pt idx="915">
                  <c:v>42954</c:v>
                </c:pt>
                <c:pt idx="916">
                  <c:v>42955</c:v>
                </c:pt>
                <c:pt idx="917">
                  <c:v>42956</c:v>
                </c:pt>
                <c:pt idx="918">
                  <c:v>42957</c:v>
                </c:pt>
                <c:pt idx="919">
                  <c:v>42958</c:v>
                </c:pt>
                <c:pt idx="920">
                  <c:v>42961</c:v>
                </c:pt>
                <c:pt idx="921">
                  <c:v>42962</c:v>
                </c:pt>
                <c:pt idx="922">
                  <c:v>42963</c:v>
                </c:pt>
                <c:pt idx="923">
                  <c:v>42964</c:v>
                </c:pt>
                <c:pt idx="924">
                  <c:v>42965</c:v>
                </c:pt>
                <c:pt idx="925">
                  <c:v>42968</c:v>
                </c:pt>
                <c:pt idx="926">
                  <c:v>42969</c:v>
                </c:pt>
                <c:pt idx="927">
                  <c:v>42970</c:v>
                </c:pt>
                <c:pt idx="928">
                  <c:v>42971</c:v>
                </c:pt>
                <c:pt idx="929">
                  <c:v>42972</c:v>
                </c:pt>
                <c:pt idx="930">
                  <c:v>42975</c:v>
                </c:pt>
                <c:pt idx="931">
                  <c:v>42976</c:v>
                </c:pt>
                <c:pt idx="932">
                  <c:v>42977</c:v>
                </c:pt>
                <c:pt idx="933">
                  <c:v>42978</c:v>
                </c:pt>
                <c:pt idx="934">
                  <c:v>42979</c:v>
                </c:pt>
                <c:pt idx="935">
                  <c:v>42983</c:v>
                </c:pt>
                <c:pt idx="936">
                  <c:v>42984</c:v>
                </c:pt>
                <c:pt idx="937">
                  <c:v>42985</c:v>
                </c:pt>
                <c:pt idx="938">
                  <c:v>42986</c:v>
                </c:pt>
                <c:pt idx="939">
                  <c:v>42989</c:v>
                </c:pt>
                <c:pt idx="940">
                  <c:v>42990</c:v>
                </c:pt>
                <c:pt idx="941">
                  <c:v>42991</c:v>
                </c:pt>
                <c:pt idx="942">
                  <c:v>42992</c:v>
                </c:pt>
                <c:pt idx="943">
                  <c:v>42993</c:v>
                </c:pt>
                <c:pt idx="944">
                  <c:v>42996</c:v>
                </c:pt>
                <c:pt idx="945">
                  <c:v>42997</c:v>
                </c:pt>
                <c:pt idx="946">
                  <c:v>42998</c:v>
                </c:pt>
                <c:pt idx="947">
                  <c:v>42999</c:v>
                </c:pt>
                <c:pt idx="948">
                  <c:v>43000</c:v>
                </c:pt>
                <c:pt idx="949">
                  <c:v>43003</c:v>
                </c:pt>
                <c:pt idx="950">
                  <c:v>43004</c:v>
                </c:pt>
                <c:pt idx="951">
                  <c:v>43005</c:v>
                </c:pt>
                <c:pt idx="952">
                  <c:v>43006</c:v>
                </c:pt>
                <c:pt idx="953">
                  <c:v>43007</c:v>
                </c:pt>
                <c:pt idx="954">
                  <c:v>43010</c:v>
                </c:pt>
                <c:pt idx="955">
                  <c:v>43011</c:v>
                </c:pt>
                <c:pt idx="956">
                  <c:v>43012</c:v>
                </c:pt>
                <c:pt idx="957">
                  <c:v>43013</c:v>
                </c:pt>
                <c:pt idx="958">
                  <c:v>43014</c:v>
                </c:pt>
                <c:pt idx="959">
                  <c:v>43017</c:v>
                </c:pt>
                <c:pt idx="960">
                  <c:v>43018</c:v>
                </c:pt>
                <c:pt idx="961">
                  <c:v>43019</c:v>
                </c:pt>
                <c:pt idx="962">
                  <c:v>43020</c:v>
                </c:pt>
                <c:pt idx="963">
                  <c:v>43021</c:v>
                </c:pt>
                <c:pt idx="964">
                  <c:v>43024</c:v>
                </c:pt>
                <c:pt idx="965">
                  <c:v>43025</c:v>
                </c:pt>
                <c:pt idx="966">
                  <c:v>43026</c:v>
                </c:pt>
                <c:pt idx="967">
                  <c:v>43027</c:v>
                </c:pt>
                <c:pt idx="968">
                  <c:v>43028</c:v>
                </c:pt>
                <c:pt idx="969">
                  <c:v>43031</c:v>
                </c:pt>
                <c:pt idx="970">
                  <c:v>43032</c:v>
                </c:pt>
                <c:pt idx="971">
                  <c:v>43033</c:v>
                </c:pt>
                <c:pt idx="972">
                  <c:v>43034</c:v>
                </c:pt>
                <c:pt idx="973">
                  <c:v>43035</c:v>
                </c:pt>
                <c:pt idx="974">
                  <c:v>43038</c:v>
                </c:pt>
                <c:pt idx="975">
                  <c:v>43039</c:v>
                </c:pt>
                <c:pt idx="976">
                  <c:v>43040</c:v>
                </c:pt>
                <c:pt idx="977">
                  <c:v>43041</c:v>
                </c:pt>
                <c:pt idx="978">
                  <c:v>43042</c:v>
                </c:pt>
                <c:pt idx="979">
                  <c:v>43045</c:v>
                </c:pt>
                <c:pt idx="980">
                  <c:v>43046</c:v>
                </c:pt>
                <c:pt idx="981">
                  <c:v>43047</c:v>
                </c:pt>
                <c:pt idx="982">
                  <c:v>43048</c:v>
                </c:pt>
                <c:pt idx="983">
                  <c:v>43049</c:v>
                </c:pt>
                <c:pt idx="984">
                  <c:v>43052</c:v>
                </c:pt>
                <c:pt idx="985">
                  <c:v>43053</c:v>
                </c:pt>
                <c:pt idx="986">
                  <c:v>43054</c:v>
                </c:pt>
                <c:pt idx="987">
                  <c:v>43055</c:v>
                </c:pt>
                <c:pt idx="988">
                  <c:v>43056</c:v>
                </c:pt>
                <c:pt idx="989">
                  <c:v>43059</c:v>
                </c:pt>
                <c:pt idx="990">
                  <c:v>43060</c:v>
                </c:pt>
                <c:pt idx="991">
                  <c:v>43061</c:v>
                </c:pt>
                <c:pt idx="992">
                  <c:v>43063</c:v>
                </c:pt>
                <c:pt idx="993">
                  <c:v>43066</c:v>
                </c:pt>
                <c:pt idx="994">
                  <c:v>43067</c:v>
                </c:pt>
                <c:pt idx="995">
                  <c:v>43068</c:v>
                </c:pt>
                <c:pt idx="996">
                  <c:v>43069</c:v>
                </c:pt>
                <c:pt idx="997">
                  <c:v>43070</c:v>
                </c:pt>
                <c:pt idx="998">
                  <c:v>43073</c:v>
                </c:pt>
                <c:pt idx="999">
                  <c:v>43074</c:v>
                </c:pt>
                <c:pt idx="1000">
                  <c:v>43075</c:v>
                </c:pt>
                <c:pt idx="1001">
                  <c:v>43076</c:v>
                </c:pt>
                <c:pt idx="1002">
                  <c:v>43077</c:v>
                </c:pt>
                <c:pt idx="1003">
                  <c:v>43080</c:v>
                </c:pt>
                <c:pt idx="1004">
                  <c:v>43081</c:v>
                </c:pt>
                <c:pt idx="1005">
                  <c:v>43082</c:v>
                </c:pt>
                <c:pt idx="1006">
                  <c:v>43083</c:v>
                </c:pt>
                <c:pt idx="1007">
                  <c:v>43084</c:v>
                </c:pt>
                <c:pt idx="1008">
                  <c:v>43087</c:v>
                </c:pt>
                <c:pt idx="1009">
                  <c:v>43088</c:v>
                </c:pt>
                <c:pt idx="1010">
                  <c:v>43089</c:v>
                </c:pt>
                <c:pt idx="1011">
                  <c:v>43090</c:v>
                </c:pt>
                <c:pt idx="1012">
                  <c:v>43091</c:v>
                </c:pt>
                <c:pt idx="1013">
                  <c:v>43095</c:v>
                </c:pt>
                <c:pt idx="1014">
                  <c:v>43096</c:v>
                </c:pt>
                <c:pt idx="1015">
                  <c:v>43097</c:v>
                </c:pt>
                <c:pt idx="1016">
                  <c:v>43098</c:v>
                </c:pt>
                <c:pt idx="1017">
                  <c:v>43102</c:v>
                </c:pt>
                <c:pt idx="1018">
                  <c:v>43103</c:v>
                </c:pt>
                <c:pt idx="1019">
                  <c:v>43104</c:v>
                </c:pt>
                <c:pt idx="1020">
                  <c:v>43105</c:v>
                </c:pt>
                <c:pt idx="1021">
                  <c:v>43108</c:v>
                </c:pt>
                <c:pt idx="1022">
                  <c:v>43109</c:v>
                </c:pt>
                <c:pt idx="1023">
                  <c:v>43110</c:v>
                </c:pt>
                <c:pt idx="1024">
                  <c:v>43111</c:v>
                </c:pt>
                <c:pt idx="1025">
                  <c:v>43112</c:v>
                </c:pt>
                <c:pt idx="1026">
                  <c:v>43116</c:v>
                </c:pt>
                <c:pt idx="1027">
                  <c:v>43117</c:v>
                </c:pt>
                <c:pt idx="1028">
                  <c:v>43118</c:v>
                </c:pt>
                <c:pt idx="1029">
                  <c:v>43119</c:v>
                </c:pt>
                <c:pt idx="1030">
                  <c:v>43122</c:v>
                </c:pt>
                <c:pt idx="1031">
                  <c:v>43123</c:v>
                </c:pt>
                <c:pt idx="1032">
                  <c:v>43124</c:v>
                </c:pt>
                <c:pt idx="1033">
                  <c:v>43125</c:v>
                </c:pt>
                <c:pt idx="1034">
                  <c:v>43126</c:v>
                </c:pt>
                <c:pt idx="1035">
                  <c:v>43129</c:v>
                </c:pt>
                <c:pt idx="1036">
                  <c:v>43130</c:v>
                </c:pt>
                <c:pt idx="1037">
                  <c:v>43131</c:v>
                </c:pt>
                <c:pt idx="1038">
                  <c:v>43132</c:v>
                </c:pt>
                <c:pt idx="1039">
                  <c:v>43133</c:v>
                </c:pt>
                <c:pt idx="1040">
                  <c:v>43136</c:v>
                </c:pt>
                <c:pt idx="1041">
                  <c:v>43137</c:v>
                </c:pt>
                <c:pt idx="1042">
                  <c:v>43138</c:v>
                </c:pt>
                <c:pt idx="1043">
                  <c:v>43139</c:v>
                </c:pt>
                <c:pt idx="1044">
                  <c:v>43140</c:v>
                </c:pt>
                <c:pt idx="1045">
                  <c:v>43143</c:v>
                </c:pt>
                <c:pt idx="1046">
                  <c:v>43144</c:v>
                </c:pt>
                <c:pt idx="1047">
                  <c:v>43145</c:v>
                </c:pt>
                <c:pt idx="1048">
                  <c:v>43146</c:v>
                </c:pt>
                <c:pt idx="1049">
                  <c:v>43147</c:v>
                </c:pt>
                <c:pt idx="1050">
                  <c:v>43151</c:v>
                </c:pt>
                <c:pt idx="1051">
                  <c:v>43152</c:v>
                </c:pt>
                <c:pt idx="1052">
                  <c:v>43153</c:v>
                </c:pt>
                <c:pt idx="1053">
                  <c:v>43154</c:v>
                </c:pt>
                <c:pt idx="1054">
                  <c:v>43157</c:v>
                </c:pt>
                <c:pt idx="1055">
                  <c:v>43158</c:v>
                </c:pt>
                <c:pt idx="1056">
                  <c:v>43159</c:v>
                </c:pt>
                <c:pt idx="1057">
                  <c:v>43160</c:v>
                </c:pt>
                <c:pt idx="1058">
                  <c:v>43161</c:v>
                </c:pt>
                <c:pt idx="1059">
                  <c:v>43164</c:v>
                </c:pt>
                <c:pt idx="1060">
                  <c:v>43165</c:v>
                </c:pt>
                <c:pt idx="1061">
                  <c:v>43166</c:v>
                </c:pt>
                <c:pt idx="1062">
                  <c:v>43167</c:v>
                </c:pt>
                <c:pt idx="1063">
                  <c:v>43168</c:v>
                </c:pt>
                <c:pt idx="1064">
                  <c:v>43171</c:v>
                </c:pt>
                <c:pt idx="1065">
                  <c:v>43172</c:v>
                </c:pt>
                <c:pt idx="1066">
                  <c:v>43173</c:v>
                </c:pt>
                <c:pt idx="1067">
                  <c:v>43174</c:v>
                </c:pt>
                <c:pt idx="1068">
                  <c:v>43175</c:v>
                </c:pt>
                <c:pt idx="1069">
                  <c:v>43178</c:v>
                </c:pt>
                <c:pt idx="1070">
                  <c:v>43179</c:v>
                </c:pt>
                <c:pt idx="1071">
                  <c:v>43180</c:v>
                </c:pt>
                <c:pt idx="1072">
                  <c:v>43181</c:v>
                </c:pt>
                <c:pt idx="1073">
                  <c:v>43182</c:v>
                </c:pt>
                <c:pt idx="1074">
                  <c:v>43185</c:v>
                </c:pt>
                <c:pt idx="1075">
                  <c:v>43186</c:v>
                </c:pt>
                <c:pt idx="1076">
                  <c:v>43187</c:v>
                </c:pt>
                <c:pt idx="1077">
                  <c:v>43188</c:v>
                </c:pt>
                <c:pt idx="1078">
                  <c:v>43192</c:v>
                </c:pt>
              </c:numCache>
            </c:numRef>
          </c:cat>
          <c:val>
            <c:numRef>
              <c:f>'WTI CRUDE OIL SPOT PRICE  '!$B$2:$B$1080</c:f>
              <c:numCache>
                <c:formatCode>#,##0.00</c:formatCode>
                <c:ptCount val="1079"/>
                <c:pt idx="0">
                  <c:v>95.14</c:v>
                </c:pt>
                <c:pt idx="1">
                  <c:v>93.66</c:v>
                </c:pt>
                <c:pt idx="2">
                  <c:v>93.12</c:v>
                </c:pt>
                <c:pt idx="3">
                  <c:v>93.31</c:v>
                </c:pt>
                <c:pt idx="4">
                  <c:v>91.9</c:v>
                </c:pt>
                <c:pt idx="5">
                  <c:v>91.36</c:v>
                </c:pt>
                <c:pt idx="6">
                  <c:v>92.39</c:v>
                </c:pt>
                <c:pt idx="7">
                  <c:v>91.45</c:v>
                </c:pt>
                <c:pt idx="8">
                  <c:v>92.15</c:v>
                </c:pt>
                <c:pt idx="9">
                  <c:v>93.78</c:v>
                </c:pt>
                <c:pt idx="10">
                  <c:v>93.54</c:v>
                </c:pt>
                <c:pt idx="11">
                  <c:v>93.96</c:v>
                </c:pt>
                <c:pt idx="12">
                  <c:v>94.51</c:v>
                </c:pt>
                <c:pt idx="13">
                  <c:v>96.35</c:v>
                </c:pt>
                <c:pt idx="14">
                  <c:v>97.23</c:v>
                </c:pt>
                <c:pt idx="15">
                  <c:v>96.66</c:v>
                </c:pt>
                <c:pt idx="16">
                  <c:v>95.82</c:v>
                </c:pt>
                <c:pt idx="17">
                  <c:v>97.49</c:v>
                </c:pt>
                <c:pt idx="18">
                  <c:v>97.34</c:v>
                </c:pt>
                <c:pt idx="19">
                  <c:v>98.25</c:v>
                </c:pt>
                <c:pt idx="20">
                  <c:v>97.55</c:v>
                </c:pt>
                <c:pt idx="21">
                  <c:v>96.44</c:v>
                </c:pt>
                <c:pt idx="22">
                  <c:v>97.24</c:v>
                </c:pt>
                <c:pt idx="23">
                  <c:v>97.4</c:v>
                </c:pt>
                <c:pt idx="24">
                  <c:v>97.84</c:v>
                </c:pt>
                <c:pt idx="25">
                  <c:v>99.98</c:v>
                </c:pt>
                <c:pt idx="26">
                  <c:v>100.12</c:v>
                </c:pt>
                <c:pt idx="27">
                  <c:v>99.96</c:v>
                </c:pt>
                <c:pt idx="28">
                  <c:v>100.38</c:v>
                </c:pt>
                <c:pt idx="29">
                  <c:v>100.27</c:v>
                </c:pt>
                <c:pt idx="30">
                  <c:v>100.31</c:v>
                </c:pt>
                <c:pt idx="31">
                  <c:v>102.54</c:v>
                </c:pt>
                <c:pt idx="32">
                  <c:v>103.46</c:v>
                </c:pt>
                <c:pt idx="33">
                  <c:v>103.2</c:v>
                </c:pt>
                <c:pt idx="34">
                  <c:v>102.53</c:v>
                </c:pt>
                <c:pt idx="35">
                  <c:v>103.17</c:v>
                </c:pt>
                <c:pt idx="36">
                  <c:v>102.2</c:v>
                </c:pt>
                <c:pt idx="37">
                  <c:v>102.93</c:v>
                </c:pt>
                <c:pt idx="38">
                  <c:v>102.68</c:v>
                </c:pt>
                <c:pt idx="39">
                  <c:v>102.88</c:v>
                </c:pt>
                <c:pt idx="40">
                  <c:v>105.34</c:v>
                </c:pt>
                <c:pt idx="41">
                  <c:v>103.64</c:v>
                </c:pt>
                <c:pt idx="42">
                  <c:v>101.75</c:v>
                </c:pt>
                <c:pt idx="43">
                  <c:v>101.82</c:v>
                </c:pt>
                <c:pt idx="44">
                  <c:v>102.82</c:v>
                </c:pt>
                <c:pt idx="45">
                  <c:v>101.39</c:v>
                </c:pt>
                <c:pt idx="46">
                  <c:v>100.29</c:v>
                </c:pt>
                <c:pt idx="47">
                  <c:v>98.29</c:v>
                </c:pt>
                <c:pt idx="48">
                  <c:v>98.57</c:v>
                </c:pt>
                <c:pt idx="49">
                  <c:v>99.23</c:v>
                </c:pt>
                <c:pt idx="50">
                  <c:v>98.43</c:v>
                </c:pt>
                <c:pt idx="51">
                  <c:v>100.08</c:v>
                </c:pt>
                <c:pt idx="52">
                  <c:v>100.71</c:v>
                </c:pt>
                <c:pt idx="53">
                  <c:v>99.68</c:v>
                </c:pt>
                <c:pt idx="54">
                  <c:v>99.97</c:v>
                </c:pt>
                <c:pt idx="55">
                  <c:v>100.05</c:v>
                </c:pt>
                <c:pt idx="56">
                  <c:v>99.66</c:v>
                </c:pt>
                <c:pt idx="57">
                  <c:v>100.61</c:v>
                </c:pt>
                <c:pt idx="58">
                  <c:v>101.25</c:v>
                </c:pt>
                <c:pt idx="59">
                  <c:v>101.73</c:v>
                </c:pt>
                <c:pt idx="60">
                  <c:v>101.57</c:v>
                </c:pt>
                <c:pt idx="61">
                  <c:v>99.69</c:v>
                </c:pt>
                <c:pt idx="62">
                  <c:v>99.6</c:v>
                </c:pt>
                <c:pt idx="63">
                  <c:v>100.29</c:v>
                </c:pt>
                <c:pt idx="64">
                  <c:v>101.16</c:v>
                </c:pt>
                <c:pt idx="65">
                  <c:v>100.43</c:v>
                </c:pt>
                <c:pt idx="66">
                  <c:v>102.57</c:v>
                </c:pt>
                <c:pt idx="67">
                  <c:v>103.55</c:v>
                </c:pt>
                <c:pt idx="68">
                  <c:v>103.37</c:v>
                </c:pt>
                <c:pt idx="69">
                  <c:v>103.68</c:v>
                </c:pt>
                <c:pt idx="70">
                  <c:v>104.05</c:v>
                </c:pt>
                <c:pt idx="71">
                  <c:v>103.7</c:v>
                </c:pt>
                <c:pt idx="72">
                  <c:v>103.71</c:v>
                </c:pt>
                <c:pt idx="73">
                  <c:v>104.33</c:v>
                </c:pt>
                <c:pt idx="74">
                  <c:v>104.35</c:v>
                </c:pt>
                <c:pt idx="75">
                  <c:v>101.69</c:v>
                </c:pt>
                <c:pt idx="76">
                  <c:v>101.47</c:v>
                </c:pt>
                <c:pt idx="77">
                  <c:v>102.2</c:v>
                </c:pt>
                <c:pt idx="78">
                  <c:v>100.85</c:v>
                </c:pt>
                <c:pt idx="79">
                  <c:v>101.13</c:v>
                </c:pt>
                <c:pt idx="80">
                  <c:v>101.56</c:v>
                </c:pt>
                <c:pt idx="81">
                  <c:v>100.07</c:v>
                </c:pt>
                <c:pt idx="82">
                  <c:v>99.69</c:v>
                </c:pt>
                <c:pt idx="83">
                  <c:v>100.09</c:v>
                </c:pt>
                <c:pt idx="84">
                  <c:v>99.74</c:v>
                </c:pt>
                <c:pt idx="85">
                  <c:v>99.81</c:v>
                </c:pt>
                <c:pt idx="86">
                  <c:v>101.06</c:v>
                </c:pt>
                <c:pt idx="87">
                  <c:v>100.52</c:v>
                </c:pt>
                <c:pt idx="88">
                  <c:v>100.32</c:v>
                </c:pt>
                <c:pt idx="89">
                  <c:v>100.89</c:v>
                </c:pt>
                <c:pt idx="90">
                  <c:v>102.01</c:v>
                </c:pt>
                <c:pt idx="91">
                  <c:v>102.63</c:v>
                </c:pt>
                <c:pt idx="92">
                  <c:v>101.74</c:v>
                </c:pt>
                <c:pt idx="93">
                  <c:v>102.31</c:v>
                </c:pt>
                <c:pt idx="94">
                  <c:v>102.95</c:v>
                </c:pt>
                <c:pt idx="95">
                  <c:v>102.8</c:v>
                </c:pt>
                <c:pt idx="96">
                  <c:v>104.31</c:v>
                </c:pt>
                <c:pt idx="97">
                  <c:v>104.03</c:v>
                </c:pt>
                <c:pt idx="98">
                  <c:v>105.01</c:v>
                </c:pt>
                <c:pt idx="99">
                  <c:v>104.78</c:v>
                </c:pt>
                <c:pt idx="100">
                  <c:v>103.37</c:v>
                </c:pt>
                <c:pt idx="101">
                  <c:v>104.26</c:v>
                </c:pt>
                <c:pt idx="102">
                  <c:v>103.4</c:v>
                </c:pt>
                <c:pt idx="103">
                  <c:v>103.07</c:v>
                </c:pt>
                <c:pt idx="104">
                  <c:v>103.34</c:v>
                </c:pt>
                <c:pt idx="105">
                  <c:v>103.27</c:v>
                </c:pt>
                <c:pt idx="106">
                  <c:v>103.17</c:v>
                </c:pt>
                <c:pt idx="107">
                  <c:v>103.32</c:v>
                </c:pt>
                <c:pt idx="108">
                  <c:v>105.09</c:v>
                </c:pt>
                <c:pt idx="109">
                  <c:v>105.02</c:v>
                </c:pt>
                <c:pt idx="110">
                  <c:v>105.04</c:v>
                </c:pt>
                <c:pt idx="111">
                  <c:v>107.2</c:v>
                </c:pt>
                <c:pt idx="112">
                  <c:v>107.49</c:v>
                </c:pt>
                <c:pt idx="113">
                  <c:v>107.52</c:v>
                </c:pt>
                <c:pt idx="114">
                  <c:v>106.95</c:v>
                </c:pt>
                <c:pt idx="115">
                  <c:v>106.64</c:v>
                </c:pt>
                <c:pt idx="116">
                  <c:v>107.08</c:v>
                </c:pt>
                <c:pt idx="117">
                  <c:v>107.95</c:v>
                </c:pt>
                <c:pt idx="118">
                  <c:v>106.83</c:v>
                </c:pt>
                <c:pt idx="119">
                  <c:v>106.64</c:v>
                </c:pt>
                <c:pt idx="120">
                  <c:v>107.04</c:v>
                </c:pt>
                <c:pt idx="121">
                  <c:v>106.49</c:v>
                </c:pt>
                <c:pt idx="122">
                  <c:v>106.46</c:v>
                </c:pt>
                <c:pt idx="123">
                  <c:v>106.07</c:v>
                </c:pt>
                <c:pt idx="124">
                  <c:v>106.06</c:v>
                </c:pt>
                <c:pt idx="125">
                  <c:v>105.18</c:v>
                </c:pt>
                <c:pt idx="126">
                  <c:v>104.76</c:v>
                </c:pt>
                <c:pt idx="127">
                  <c:v>104.19</c:v>
                </c:pt>
                <c:pt idx="128">
                  <c:v>104.06</c:v>
                </c:pt>
                <c:pt idx="129">
                  <c:v>102.93</c:v>
                </c:pt>
                <c:pt idx="130">
                  <c:v>103.61</c:v>
                </c:pt>
                <c:pt idx="131">
                  <c:v>101.48</c:v>
                </c:pt>
                <c:pt idx="132">
                  <c:v>101.73</c:v>
                </c:pt>
                <c:pt idx="133">
                  <c:v>100.56</c:v>
                </c:pt>
                <c:pt idx="134">
                  <c:v>101.88</c:v>
                </c:pt>
                <c:pt idx="135">
                  <c:v>103.84</c:v>
                </c:pt>
                <c:pt idx="136">
                  <c:v>103.83</c:v>
                </c:pt>
                <c:pt idx="137">
                  <c:v>105.34</c:v>
                </c:pt>
                <c:pt idx="138">
                  <c:v>104.59</c:v>
                </c:pt>
                <c:pt idx="139">
                  <c:v>103.81</c:v>
                </c:pt>
                <c:pt idx="140">
                  <c:v>102.76</c:v>
                </c:pt>
                <c:pt idx="141">
                  <c:v>105.23</c:v>
                </c:pt>
                <c:pt idx="142">
                  <c:v>105.68</c:v>
                </c:pt>
                <c:pt idx="143">
                  <c:v>104.91</c:v>
                </c:pt>
                <c:pt idx="144">
                  <c:v>104.29</c:v>
                </c:pt>
                <c:pt idx="145">
                  <c:v>98.23</c:v>
                </c:pt>
                <c:pt idx="146">
                  <c:v>97.86</c:v>
                </c:pt>
                <c:pt idx="147">
                  <c:v>98.26</c:v>
                </c:pt>
                <c:pt idx="148">
                  <c:v>97.34</c:v>
                </c:pt>
                <c:pt idx="149">
                  <c:v>96.93</c:v>
                </c:pt>
                <c:pt idx="150">
                  <c:v>97.34</c:v>
                </c:pt>
                <c:pt idx="151">
                  <c:v>97.61</c:v>
                </c:pt>
                <c:pt idx="152">
                  <c:v>98.09</c:v>
                </c:pt>
                <c:pt idx="153">
                  <c:v>97.36</c:v>
                </c:pt>
                <c:pt idx="154">
                  <c:v>97.57</c:v>
                </c:pt>
                <c:pt idx="155">
                  <c:v>95.54</c:v>
                </c:pt>
                <c:pt idx="156">
                  <c:v>97.3</c:v>
                </c:pt>
                <c:pt idx="157">
                  <c:v>96.44</c:v>
                </c:pt>
                <c:pt idx="158">
                  <c:v>94.35</c:v>
                </c:pt>
                <c:pt idx="159">
                  <c:v>96.4</c:v>
                </c:pt>
                <c:pt idx="160">
                  <c:v>93.97</c:v>
                </c:pt>
                <c:pt idx="161">
                  <c:v>93.61</c:v>
                </c:pt>
                <c:pt idx="162">
                  <c:v>95.39</c:v>
                </c:pt>
                <c:pt idx="163">
                  <c:v>95.78</c:v>
                </c:pt>
                <c:pt idx="164">
                  <c:v>95.82</c:v>
                </c:pt>
                <c:pt idx="165">
                  <c:v>96.44</c:v>
                </c:pt>
                <c:pt idx="166">
                  <c:v>97.86</c:v>
                </c:pt>
                <c:pt idx="167">
                  <c:v>92.92</c:v>
                </c:pt>
                <c:pt idx="168">
                  <c:v>95.5</c:v>
                </c:pt>
                <c:pt idx="169">
                  <c:v>94.51</c:v>
                </c:pt>
                <c:pt idx="170">
                  <c:v>93.32</c:v>
                </c:pt>
                <c:pt idx="171">
                  <c:v>92.64</c:v>
                </c:pt>
                <c:pt idx="172">
                  <c:v>92.73</c:v>
                </c:pt>
                <c:pt idx="173">
                  <c:v>91.71</c:v>
                </c:pt>
                <c:pt idx="174">
                  <c:v>92.89</c:v>
                </c:pt>
                <c:pt idx="175">
                  <c:v>92.18</c:v>
                </c:pt>
                <c:pt idx="176">
                  <c:v>92.86</c:v>
                </c:pt>
                <c:pt idx="177">
                  <c:v>94.91</c:v>
                </c:pt>
                <c:pt idx="178">
                  <c:v>94.33</c:v>
                </c:pt>
                <c:pt idx="179">
                  <c:v>93.07</c:v>
                </c:pt>
                <c:pt idx="180">
                  <c:v>92.43</c:v>
                </c:pt>
                <c:pt idx="181">
                  <c:v>91.46</c:v>
                </c:pt>
                <c:pt idx="182">
                  <c:v>91.55</c:v>
                </c:pt>
                <c:pt idx="183">
                  <c:v>93.6</c:v>
                </c:pt>
                <c:pt idx="184">
                  <c:v>93.59</c:v>
                </c:pt>
                <c:pt idx="185">
                  <c:v>95.55</c:v>
                </c:pt>
                <c:pt idx="186">
                  <c:v>94.53</c:v>
                </c:pt>
                <c:pt idx="187">
                  <c:v>91.17</c:v>
                </c:pt>
                <c:pt idx="188">
                  <c:v>90.74</c:v>
                </c:pt>
                <c:pt idx="189">
                  <c:v>91.02</c:v>
                </c:pt>
                <c:pt idx="190">
                  <c:v>89.76</c:v>
                </c:pt>
                <c:pt idx="191">
                  <c:v>90.33</c:v>
                </c:pt>
                <c:pt idx="192">
                  <c:v>88.89</c:v>
                </c:pt>
                <c:pt idx="193">
                  <c:v>87.29</c:v>
                </c:pt>
                <c:pt idx="194">
                  <c:v>85.76</c:v>
                </c:pt>
                <c:pt idx="195">
                  <c:v>85.87</c:v>
                </c:pt>
                <c:pt idx="196">
                  <c:v>85.73</c:v>
                </c:pt>
                <c:pt idx="197">
                  <c:v>81.72</c:v>
                </c:pt>
                <c:pt idx="198">
                  <c:v>81.819999999999993</c:v>
                </c:pt>
                <c:pt idx="199">
                  <c:v>82.33</c:v>
                </c:pt>
                <c:pt idx="200">
                  <c:v>82.8</c:v>
                </c:pt>
                <c:pt idx="201">
                  <c:v>82.76</c:v>
                </c:pt>
                <c:pt idx="202">
                  <c:v>83.25</c:v>
                </c:pt>
                <c:pt idx="203">
                  <c:v>80.52</c:v>
                </c:pt>
                <c:pt idx="204">
                  <c:v>82.81</c:v>
                </c:pt>
                <c:pt idx="205">
                  <c:v>81.27</c:v>
                </c:pt>
                <c:pt idx="206">
                  <c:v>81.260000000000005</c:v>
                </c:pt>
                <c:pt idx="207">
                  <c:v>81.36</c:v>
                </c:pt>
                <c:pt idx="208">
                  <c:v>82.25</c:v>
                </c:pt>
                <c:pt idx="209">
                  <c:v>81.06</c:v>
                </c:pt>
                <c:pt idx="210">
                  <c:v>80.53</c:v>
                </c:pt>
                <c:pt idx="211">
                  <c:v>78.77</c:v>
                </c:pt>
                <c:pt idx="212">
                  <c:v>77.150000000000006</c:v>
                </c:pt>
                <c:pt idx="213">
                  <c:v>78.709999999999994</c:v>
                </c:pt>
                <c:pt idx="214">
                  <c:v>77.87</c:v>
                </c:pt>
                <c:pt idx="215">
                  <c:v>78.709999999999994</c:v>
                </c:pt>
                <c:pt idx="216">
                  <c:v>77.430000000000007</c:v>
                </c:pt>
                <c:pt idx="217">
                  <c:v>77.849999999999994</c:v>
                </c:pt>
                <c:pt idx="218">
                  <c:v>77.16</c:v>
                </c:pt>
                <c:pt idx="219">
                  <c:v>74.13</c:v>
                </c:pt>
                <c:pt idx="220">
                  <c:v>75.91</c:v>
                </c:pt>
                <c:pt idx="221">
                  <c:v>75.64</c:v>
                </c:pt>
                <c:pt idx="222">
                  <c:v>74.55</c:v>
                </c:pt>
                <c:pt idx="223">
                  <c:v>74.55</c:v>
                </c:pt>
                <c:pt idx="224">
                  <c:v>75.63</c:v>
                </c:pt>
                <c:pt idx="225">
                  <c:v>76.52</c:v>
                </c:pt>
                <c:pt idx="226">
                  <c:v>75.739999999999995</c:v>
                </c:pt>
                <c:pt idx="227">
                  <c:v>74.040000000000006</c:v>
                </c:pt>
                <c:pt idx="228">
                  <c:v>73.7</c:v>
                </c:pt>
                <c:pt idx="229">
                  <c:v>65.94</c:v>
                </c:pt>
                <c:pt idx="230">
                  <c:v>68.98</c:v>
                </c:pt>
                <c:pt idx="231">
                  <c:v>66.989999999999995</c:v>
                </c:pt>
                <c:pt idx="232">
                  <c:v>67.3</c:v>
                </c:pt>
                <c:pt idx="233">
                  <c:v>66.73</c:v>
                </c:pt>
                <c:pt idx="234">
                  <c:v>65.89</c:v>
                </c:pt>
                <c:pt idx="235">
                  <c:v>63.13</c:v>
                </c:pt>
                <c:pt idx="236">
                  <c:v>63.74</c:v>
                </c:pt>
                <c:pt idx="237">
                  <c:v>60.99</c:v>
                </c:pt>
                <c:pt idx="238">
                  <c:v>60.01</c:v>
                </c:pt>
                <c:pt idx="239">
                  <c:v>57.81</c:v>
                </c:pt>
                <c:pt idx="240">
                  <c:v>55.96</c:v>
                </c:pt>
                <c:pt idx="241">
                  <c:v>55.97</c:v>
                </c:pt>
                <c:pt idx="242">
                  <c:v>56.43</c:v>
                </c:pt>
                <c:pt idx="243">
                  <c:v>54.18</c:v>
                </c:pt>
                <c:pt idx="244">
                  <c:v>56.91</c:v>
                </c:pt>
                <c:pt idx="245">
                  <c:v>55.25</c:v>
                </c:pt>
                <c:pt idx="246">
                  <c:v>56.78</c:v>
                </c:pt>
                <c:pt idx="247">
                  <c:v>55.7</c:v>
                </c:pt>
                <c:pt idx="248">
                  <c:v>54.59</c:v>
                </c:pt>
                <c:pt idx="249">
                  <c:v>53.46</c:v>
                </c:pt>
                <c:pt idx="250">
                  <c:v>54.14</c:v>
                </c:pt>
                <c:pt idx="251">
                  <c:v>53.45</c:v>
                </c:pt>
                <c:pt idx="252">
                  <c:v>53.45</c:v>
                </c:pt>
                <c:pt idx="253">
                  <c:v>52.72</c:v>
                </c:pt>
                <c:pt idx="254">
                  <c:v>50.05</c:v>
                </c:pt>
                <c:pt idx="255">
                  <c:v>47.98</c:v>
                </c:pt>
                <c:pt idx="256">
                  <c:v>48.69</c:v>
                </c:pt>
                <c:pt idx="257">
                  <c:v>48.8</c:v>
                </c:pt>
                <c:pt idx="258">
                  <c:v>48.35</c:v>
                </c:pt>
                <c:pt idx="259">
                  <c:v>46.06</c:v>
                </c:pt>
                <c:pt idx="260">
                  <c:v>45.92</c:v>
                </c:pt>
                <c:pt idx="261">
                  <c:v>48.49</c:v>
                </c:pt>
                <c:pt idx="262">
                  <c:v>46.37</c:v>
                </c:pt>
                <c:pt idx="263">
                  <c:v>48.49</c:v>
                </c:pt>
                <c:pt idx="264">
                  <c:v>46.79</c:v>
                </c:pt>
                <c:pt idx="265">
                  <c:v>47.85</c:v>
                </c:pt>
                <c:pt idx="266">
                  <c:v>45.93</c:v>
                </c:pt>
                <c:pt idx="267">
                  <c:v>45.26</c:v>
                </c:pt>
                <c:pt idx="268">
                  <c:v>44.8</c:v>
                </c:pt>
                <c:pt idx="269">
                  <c:v>45.84</c:v>
                </c:pt>
                <c:pt idx="270">
                  <c:v>44.08</c:v>
                </c:pt>
                <c:pt idx="271">
                  <c:v>44.12</c:v>
                </c:pt>
                <c:pt idx="272">
                  <c:v>47.79</c:v>
                </c:pt>
                <c:pt idx="273">
                  <c:v>49.25</c:v>
                </c:pt>
                <c:pt idx="274">
                  <c:v>53.04</c:v>
                </c:pt>
                <c:pt idx="275">
                  <c:v>48.45</c:v>
                </c:pt>
                <c:pt idx="276">
                  <c:v>50.48</c:v>
                </c:pt>
                <c:pt idx="277">
                  <c:v>51.66</c:v>
                </c:pt>
                <c:pt idx="278">
                  <c:v>52.99</c:v>
                </c:pt>
                <c:pt idx="279">
                  <c:v>50.06</c:v>
                </c:pt>
                <c:pt idx="280">
                  <c:v>48.8</c:v>
                </c:pt>
                <c:pt idx="281">
                  <c:v>51.17</c:v>
                </c:pt>
                <c:pt idx="282">
                  <c:v>52.66</c:v>
                </c:pt>
                <c:pt idx="283">
                  <c:v>53.56</c:v>
                </c:pt>
                <c:pt idx="284">
                  <c:v>52.13</c:v>
                </c:pt>
                <c:pt idx="285">
                  <c:v>51.12</c:v>
                </c:pt>
                <c:pt idx="286">
                  <c:v>49.95</c:v>
                </c:pt>
                <c:pt idx="287">
                  <c:v>49.56</c:v>
                </c:pt>
                <c:pt idx="288">
                  <c:v>48.48</c:v>
                </c:pt>
                <c:pt idx="289">
                  <c:v>50.25</c:v>
                </c:pt>
                <c:pt idx="290">
                  <c:v>47.65</c:v>
                </c:pt>
                <c:pt idx="291">
                  <c:v>49.84</c:v>
                </c:pt>
                <c:pt idx="292">
                  <c:v>49.59</c:v>
                </c:pt>
                <c:pt idx="293">
                  <c:v>50.43</c:v>
                </c:pt>
                <c:pt idx="294">
                  <c:v>51.53</c:v>
                </c:pt>
                <c:pt idx="295">
                  <c:v>50.76</c:v>
                </c:pt>
                <c:pt idx="296">
                  <c:v>49.61</c:v>
                </c:pt>
                <c:pt idx="297">
                  <c:v>49.95</c:v>
                </c:pt>
                <c:pt idx="298">
                  <c:v>48.42</c:v>
                </c:pt>
                <c:pt idx="299">
                  <c:v>48.06</c:v>
                </c:pt>
                <c:pt idx="300">
                  <c:v>47.12</c:v>
                </c:pt>
                <c:pt idx="301">
                  <c:v>44.88</c:v>
                </c:pt>
                <c:pt idx="302">
                  <c:v>43.93</c:v>
                </c:pt>
                <c:pt idx="303">
                  <c:v>43.39</c:v>
                </c:pt>
                <c:pt idx="304">
                  <c:v>44.63</c:v>
                </c:pt>
                <c:pt idx="305">
                  <c:v>44.02</c:v>
                </c:pt>
                <c:pt idx="306">
                  <c:v>46</c:v>
                </c:pt>
                <c:pt idx="307">
                  <c:v>47.4</c:v>
                </c:pt>
                <c:pt idx="308">
                  <c:v>47.03</c:v>
                </c:pt>
                <c:pt idx="309">
                  <c:v>48.75</c:v>
                </c:pt>
                <c:pt idx="310">
                  <c:v>51.41</c:v>
                </c:pt>
                <c:pt idx="311">
                  <c:v>48.83</c:v>
                </c:pt>
                <c:pt idx="312">
                  <c:v>48.66</c:v>
                </c:pt>
                <c:pt idx="313">
                  <c:v>47.72</c:v>
                </c:pt>
                <c:pt idx="314">
                  <c:v>50.12</c:v>
                </c:pt>
                <c:pt idx="315">
                  <c:v>49.13</c:v>
                </c:pt>
                <c:pt idx="316">
                  <c:v>49.13</c:v>
                </c:pt>
                <c:pt idx="317">
                  <c:v>52.08</c:v>
                </c:pt>
                <c:pt idx="318">
                  <c:v>53.95</c:v>
                </c:pt>
                <c:pt idx="319">
                  <c:v>50.44</c:v>
                </c:pt>
                <c:pt idx="320">
                  <c:v>50.79</c:v>
                </c:pt>
                <c:pt idx="321">
                  <c:v>51.63</c:v>
                </c:pt>
                <c:pt idx="322">
                  <c:v>51.95</c:v>
                </c:pt>
                <c:pt idx="323">
                  <c:v>53.3</c:v>
                </c:pt>
                <c:pt idx="324">
                  <c:v>56.25</c:v>
                </c:pt>
                <c:pt idx="325">
                  <c:v>56.69</c:v>
                </c:pt>
                <c:pt idx="326">
                  <c:v>55.71</c:v>
                </c:pt>
                <c:pt idx="327">
                  <c:v>56.37</c:v>
                </c:pt>
                <c:pt idx="328">
                  <c:v>55.58</c:v>
                </c:pt>
                <c:pt idx="329">
                  <c:v>56.17</c:v>
                </c:pt>
                <c:pt idx="330">
                  <c:v>56.59</c:v>
                </c:pt>
                <c:pt idx="331">
                  <c:v>55.98</c:v>
                </c:pt>
                <c:pt idx="332">
                  <c:v>55.56</c:v>
                </c:pt>
                <c:pt idx="333">
                  <c:v>57.05</c:v>
                </c:pt>
                <c:pt idx="334">
                  <c:v>58.55</c:v>
                </c:pt>
                <c:pt idx="335">
                  <c:v>59.62</c:v>
                </c:pt>
                <c:pt idx="336">
                  <c:v>59.1</c:v>
                </c:pt>
                <c:pt idx="337">
                  <c:v>58.92</c:v>
                </c:pt>
                <c:pt idx="338">
                  <c:v>60.38</c:v>
                </c:pt>
                <c:pt idx="339">
                  <c:v>60.93</c:v>
                </c:pt>
                <c:pt idx="340">
                  <c:v>58.99</c:v>
                </c:pt>
                <c:pt idx="341">
                  <c:v>59.41</c:v>
                </c:pt>
                <c:pt idx="342">
                  <c:v>59.23</c:v>
                </c:pt>
                <c:pt idx="343">
                  <c:v>60.72</c:v>
                </c:pt>
                <c:pt idx="344">
                  <c:v>60.5</c:v>
                </c:pt>
                <c:pt idx="345">
                  <c:v>59.89</c:v>
                </c:pt>
                <c:pt idx="346">
                  <c:v>59.73</c:v>
                </c:pt>
                <c:pt idx="347">
                  <c:v>59.44</c:v>
                </c:pt>
                <c:pt idx="348">
                  <c:v>57.3</c:v>
                </c:pt>
                <c:pt idx="349">
                  <c:v>58.96</c:v>
                </c:pt>
                <c:pt idx="350">
                  <c:v>60.18</c:v>
                </c:pt>
                <c:pt idx="351">
                  <c:v>58.88</c:v>
                </c:pt>
                <c:pt idx="352">
                  <c:v>58.88</c:v>
                </c:pt>
                <c:pt idx="353">
                  <c:v>57.29</c:v>
                </c:pt>
                <c:pt idx="354">
                  <c:v>57.51</c:v>
                </c:pt>
                <c:pt idx="355">
                  <c:v>57.69</c:v>
                </c:pt>
                <c:pt idx="356">
                  <c:v>60.25</c:v>
                </c:pt>
                <c:pt idx="357">
                  <c:v>60.24</c:v>
                </c:pt>
                <c:pt idx="358">
                  <c:v>61.3</c:v>
                </c:pt>
                <c:pt idx="359">
                  <c:v>59.67</c:v>
                </c:pt>
                <c:pt idx="360">
                  <c:v>58</c:v>
                </c:pt>
                <c:pt idx="361">
                  <c:v>59.11</c:v>
                </c:pt>
                <c:pt idx="362">
                  <c:v>58.15</c:v>
                </c:pt>
                <c:pt idx="363">
                  <c:v>60.15</c:v>
                </c:pt>
                <c:pt idx="364">
                  <c:v>61.36</c:v>
                </c:pt>
                <c:pt idx="365">
                  <c:v>60.74</c:v>
                </c:pt>
                <c:pt idx="366">
                  <c:v>59.96</c:v>
                </c:pt>
                <c:pt idx="367">
                  <c:v>59.53</c:v>
                </c:pt>
                <c:pt idx="368">
                  <c:v>60.01</c:v>
                </c:pt>
                <c:pt idx="369">
                  <c:v>59.89</c:v>
                </c:pt>
                <c:pt idx="370">
                  <c:v>60.41</c:v>
                </c:pt>
                <c:pt idx="371">
                  <c:v>59.62</c:v>
                </c:pt>
                <c:pt idx="372">
                  <c:v>60.01</c:v>
                </c:pt>
                <c:pt idx="373">
                  <c:v>61.05</c:v>
                </c:pt>
                <c:pt idx="374">
                  <c:v>60.01</c:v>
                </c:pt>
                <c:pt idx="375">
                  <c:v>59.59</c:v>
                </c:pt>
                <c:pt idx="376">
                  <c:v>59.41</c:v>
                </c:pt>
                <c:pt idx="377">
                  <c:v>58.34</c:v>
                </c:pt>
                <c:pt idx="378">
                  <c:v>59.48</c:v>
                </c:pt>
                <c:pt idx="379">
                  <c:v>56.94</c:v>
                </c:pt>
                <c:pt idx="380">
                  <c:v>56.93</c:v>
                </c:pt>
                <c:pt idx="381">
                  <c:v>56.93</c:v>
                </c:pt>
                <c:pt idx="382">
                  <c:v>52.48</c:v>
                </c:pt>
                <c:pt idx="383">
                  <c:v>52.33</c:v>
                </c:pt>
                <c:pt idx="384">
                  <c:v>51.61</c:v>
                </c:pt>
                <c:pt idx="385">
                  <c:v>52.76</c:v>
                </c:pt>
                <c:pt idx="386">
                  <c:v>52.74</c:v>
                </c:pt>
                <c:pt idx="387">
                  <c:v>52.19</c:v>
                </c:pt>
                <c:pt idx="388">
                  <c:v>53.05</c:v>
                </c:pt>
                <c:pt idx="389">
                  <c:v>51.4</c:v>
                </c:pt>
                <c:pt idx="390">
                  <c:v>50.9</c:v>
                </c:pt>
                <c:pt idx="391">
                  <c:v>50.88</c:v>
                </c:pt>
                <c:pt idx="392">
                  <c:v>50.11</c:v>
                </c:pt>
                <c:pt idx="393">
                  <c:v>50.59</c:v>
                </c:pt>
                <c:pt idx="394">
                  <c:v>49.27</c:v>
                </c:pt>
                <c:pt idx="395">
                  <c:v>48.11</c:v>
                </c:pt>
                <c:pt idx="396">
                  <c:v>47.98</c:v>
                </c:pt>
                <c:pt idx="397">
                  <c:v>47.17</c:v>
                </c:pt>
                <c:pt idx="398">
                  <c:v>47.97</c:v>
                </c:pt>
                <c:pt idx="399">
                  <c:v>48.77</c:v>
                </c:pt>
                <c:pt idx="400">
                  <c:v>48.53</c:v>
                </c:pt>
                <c:pt idx="401">
                  <c:v>47.11</c:v>
                </c:pt>
                <c:pt idx="402">
                  <c:v>45.25</c:v>
                </c:pt>
                <c:pt idx="403">
                  <c:v>45.75</c:v>
                </c:pt>
                <c:pt idx="404">
                  <c:v>45.13</c:v>
                </c:pt>
                <c:pt idx="405">
                  <c:v>44.69</c:v>
                </c:pt>
                <c:pt idx="406">
                  <c:v>43.87</c:v>
                </c:pt>
                <c:pt idx="407">
                  <c:v>44.94</c:v>
                </c:pt>
                <c:pt idx="408">
                  <c:v>43.11</c:v>
                </c:pt>
                <c:pt idx="409">
                  <c:v>43.22</c:v>
                </c:pt>
                <c:pt idx="410">
                  <c:v>42.27</c:v>
                </c:pt>
                <c:pt idx="411">
                  <c:v>42.45</c:v>
                </c:pt>
                <c:pt idx="412">
                  <c:v>41.93</c:v>
                </c:pt>
                <c:pt idx="413">
                  <c:v>42.58</c:v>
                </c:pt>
                <c:pt idx="414">
                  <c:v>40.75</c:v>
                </c:pt>
                <c:pt idx="415">
                  <c:v>41</c:v>
                </c:pt>
                <c:pt idx="416">
                  <c:v>40.450000000000003</c:v>
                </c:pt>
                <c:pt idx="417">
                  <c:v>38.22</c:v>
                </c:pt>
                <c:pt idx="418">
                  <c:v>39.15</c:v>
                </c:pt>
                <c:pt idx="419">
                  <c:v>38.5</c:v>
                </c:pt>
                <c:pt idx="420">
                  <c:v>42.47</c:v>
                </c:pt>
                <c:pt idx="421">
                  <c:v>45.29</c:v>
                </c:pt>
                <c:pt idx="422">
                  <c:v>49.2</c:v>
                </c:pt>
                <c:pt idx="423">
                  <c:v>45.38</c:v>
                </c:pt>
                <c:pt idx="424">
                  <c:v>46.3</c:v>
                </c:pt>
                <c:pt idx="425">
                  <c:v>46.75</c:v>
                </c:pt>
                <c:pt idx="426">
                  <c:v>46.02</c:v>
                </c:pt>
                <c:pt idx="427">
                  <c:v>46.02</c:v>
                </c:pt>
                <c:pt idx="428">
                  <c:v>45.92</c:v>
                </c:pt>
                <c:pt idx="429">
                  <c:v>44.13</c:v>
                </c:pt>
                <c:pt idx="430">
                  <c:v>45.85</c:v>
                </c:pt>
                <c:pt idx="431">
                  <c:v>44.75</c:v>
                </c:pt>
                <c:pt idx="432">
                  <c:v>44.07</c:v>
                </c:pt>
                <c:pt idx="433">
                  <c:v>44.58</c:v>
                </c:pt>
                <c:pt idx="434">
                  <c:v>47.12</c:v>
                </c:pt>
                <c:pt idx="435">
                  <c:v>46.93</c:v>
                </c:pt>
                <c:pt idx="436">
                  <c:v>44.71</c:v>
                </c:pt>
                <c:pt idx="437">
                  <c:v>46.67</c:v>
                </c:pt>
                <c:pt idx="438">
                  <c:v>46.17</c:v>
                </c:pt>
                <c:pt idx="439">
                  <c:v>44.53</c:v>
                </c:pt>
                <c:pt idx="440">
                  <c:v>44.94</c:v>
                </c:pt>
                <c:pt idx="441">
                  <c:v>45.55</c:v>
                </c:pt>
                <c:pt idx="442">
                  <c:v>44.4</c:v>
                </c:pt>
                <c:pt idx="443">
                  <c:v>45.24</c:v>
                </c:pt>
                <c:pt idx="444">
                  <c:v>45.06</c:v>
                </c:pt>
                <c:pt idx="445">
                  <c:v>44.75</c:v>
                </c:pt>
                <c:pt idx="446">
                  <c:v>45.54</c:v>
                </c:pt>
                <c:pt idx="447">
                  <c:v>46.28</c:v>
                </c:pt>
                <c:pt idx="448">
                  <c:v>48.53</c:v>
                </c:pt>
                <c:pt idx="449">
                  <c:v>47.86</c:v>
                </c:pt>
                <c:pt idx="450">
                  <c:v>49.46</c:v>
                </c:pt>
                <c:pt idx="451">
                  <c:v>49.67</c:v>
                </c:pt>
                <c:pt idx="452">
                  <c:v>47.09</c:v>
                </c:pt>
                <c:pt idx="453">
                  <c:v>46.7</c:v>
                </c:pt>
                <c:pt idx="454">
                  <c:v>46.63</c:v>
                </c:pt>
                <c:pt idx="455">
                  <c:v>46.38</c:v>
                </c:pt>
                <c:pt idx="456">
                  <c:v>47.3</c:v>
                </c:pt>
                <c:pt idx="457">
                  <c:v>45.91</c:v>
                </c:pt>
                <c:pt idx="458">
                  <c:v>45.84</c:v>
                </c:pt>
                <c:pt idx="459">
                  <c:v>45.22</c:v>
                </c:pt>
                <c:pt idx="460">
                  <c:v>44.9</c:v>
                </c:pt>
                <c:pt idx="461">
                  <c:v>43.91</c:v>
                </c:pt>
                <c:pt idx="462">
                  <c:v>43.19</c:v>
                </c:pt>
                <c:pt idx="463">
                  <c:v>43.21</c:v>
                </c:pt>
                <c:pt idx="464">
                  <c:v>45.93</c:v>
                </c:pt>
                <c:pt idx="465">
                  <c:v>46.02</c:v>
                </c:pt>
                <c:pt idx="466">
                  <c:v>46.6</c:v>
                </c:pt>
                <c:pt idx="467">
                  <c:v>46.12</c:v>
                </c:pt>
                <c:pt idx="468">
                  <c:v>47.88</c:v>
                </c:pt>
                <c:pt idx="469">
                  <c:v>46.32</c:v>
                </c:pt>
                <c:pt idx="470">
                  <c:v>45.27</c:v>
                </c:pt>
                <c:pt idx="471">
                  <c:v>44.32</c:v>
                </c:pt>
                <c:pt idx="472">
                  <c:v>43.87</c:v>
                </c:pt>
                <c:pt idx="473">
                  <c:v>44.23</c:v>
                </c:pt>
                <c:pt idx="474">
                  <c:v>42.95</c:v>
                </c:pt>
                <c:pt idx="475">
                  <c:v>41.74</c:v>
                </c:pt>
                <c:pt idx="476">
                  <c:v>40.69</c:v>
                </c:pt>
                <c:pt idx="477">
                  <c:v>41.68</c:v>
                </c:pt>
                <c:pt idx="478">
                  <c:v>40.729999999999997</c:v>
                </c:pt>
                <c:pt idx="479">
                  <c:v>40.75</c:v>
                </c:pt>
                <c:pt idx="480">
                  <c:v>40.549999999999997</c:v>
                </c:pt>
                <c:pt idx="481">
                  <c:v>39.39</c:v>
                </c:pt>
                <c:pt idx="482">
                  <c:v>39.270000000000003</c:v>
                </c:pt>
                <c:pt idx="483">
                  <c:v>40.89</c:v>
                </c:pt>
                <c:pt idx="484">
                  <c:v>41.22</c:v>
                </c:pt>
                <c:pt idx="485">
                  <c:v>41.22</c:v>
                </c:pt>
                <c:pt idx="486">
                  <c:v>40.57</c:v>
                </c:pt>
                <c:pt idx="487">
                  <c:v>40.43</c:v>
                </c:pt>
                <c:pt idx="488">
                  <c:v>40.58</c:v>
                </c:pt>
                <c:pt idx="489">
                  <c:v>39.93</c:v>
                </c:pt>
                <c:pt idx="490">
                  <c:v>41.08</c:v>
                </c:pt>
                <c:pt idx="491">
                  <c:v>40</c:v>
                </c:pt>
                <c:pt idx="492">
                  <c:v>37.64</c:v>
                </c:pt>
                <c:pt idx="493">
                  <c:v>37.46</c:v>
                </c:pt>
                <c:pt idx="494">
                  <c:v>37.159999999999997</c:v>
                </c:pt>
                <c:pt idx="495">
                  <c:v>36.76</c:v>
                </c:pt>
                <c:pt idx="496">
                  <c:v>35.65</c:v>
                </c:pt>
                <c:pt idx="497">
                  <c:v>36.31</c:v>
                </c:pt>
                <c:pt idx="498">
                  <c:v>37.32</c:v>
                </c:pt>
                <c:pt idx="499">
                  <c:v>35.549999999999997</c:v>
                </c:pt>
                <c:pt idx="500">
                  <c:v>34.979999999999997</c:v>
                </c:pt>
                <c:pt idx="501">
                  <c:v>34.72</c:v>
                </c:pt>
                <c:pt idx="502">
                  <c:v>34.549999999999997</c:v>
                </c:pt>
                <c:pt idx="503">
                  <c:v>36.119999999999997</c:v>
                </c:pt>
                <c:pt idx="504">
                  <c:v>36.76</c:v>
                </c:pt>
                <c:pt idx="505">
                  <c:v>37.619999999999997</c:v>
                </c:pt>
                <c:pt idx="506">
                  <c:v>37.6</c:v>
                </c:pt>
                <c:pt idx="507">
                  <c:v>36.36</c:v>
                </c:pt>
                <c:pt idx="508">
                  <c:v>37.880000000000003</c:v>
                </c:pt>
                <c:pt idx="509">
                  <c:v>36.590000000000003</c:v>
                </c:pt>
                <c:pt idx="510">
                  <c:v>37.130000000000003</c:v>
                </c:pt>
                <c:pt idx="511">
                  <c:v>37.130000000000003</c:v>
                </c:pt>
                <c:pt idx="512">
                  <c:v>36.81</c:v>
                </c:pt>
                <c:pt idx="513">
                  <c:v>35.97</c:v>
                </c:pt>
                <c:pt idx="514">
                  <c:v>33.97</c:v>
                </c:pt>
                <c:pt idx="515">
                  <c:v>33.29</c:v>
                </c:pt>
                <c:pt idx="516">
                  <c:v>33.200000000000003</c:v>
                </c:pt>
                <c:pt idx="517">
                  <c:v>31.42</c:v>
                </c:pt>
                <c:pt idx="518">
                  <c:v>30.42</c:v>
                </c:pt>
                <c:pt idx="519">
                  <c:v>30.42</c:v>
                </c:pt>
                <c:pt idx="520">
                  <c:v>31.22</c:v>
                </c:pt>
                <c:pt idx="521">
                  <c:v>29.45</c:v>
                </c:pt>
                <c:pt idx="522">
                  <c:v>28.47</c:v>
                </c:pt>
                <c:pt idx="523">
                  <c:v>26.68</c:v>
                </c:pt>
                <c:pt idx="524">
                  <c:v>29.55</c:v>
                </c:pt>
                <c:pt idx="525">
                  <c:v>32.07</c:v>
                </c:pt>
                <c:pt idx="526">
                  <c:v>30.31</c:v>
                </c:pt>
                <c:pt idx="527">
                  <c:v>29.54</c:v>
                </c:pt>
                <c:pt idx="528">
                  <c:v>32.32</c:v>
                </c:pt>
                <c:pt idx="529">
                  <c:v>33.21</c:v>
                </c:pt>
                <c:pt idx="530">
                  <c:v>33.659999999999997</c:v>
                </c:pt>
                <c:pt idx="531">
                  <c:v>31.62</c:v>
                </c:pt>
                <c:pt idx="532">
                  <c:v>29.9</c:v>
                </c:pt>
                <c:pt idx="533">
                  <c:v>32.29</c:v>
                </c:pt>
                <c:pt idx="534">
                  <c:v>31.63</c:v>
                </c:pt>
                <c:pt idx="535">
                  <c:v>30.86</c:v>
                </c:pt>
                <c:pt idx="536">
                  <c:v>29.71</c:v>
                </c:pt>
                <c:pt idx="537">
                  <c:v>27.96</c:v>
                </c:pt>
                <c:pt idx="538">
                  <c:v>27.54</c:v>
                </c:pt>
                <c:pt idx="539">
                  <c:v>26.19</c:v>
                </c:pt>
                <c:pt idx="540">
                  <c:v>29.32</c:v>
                </c:pt>
                <c:pt idx="541">
                  <c:v>29.05</c:v>
                </c:pt>
                <c:pt idx="542">
                  <c:v>30.68</c:v>
                </c:pt>
                <c:pt idx="543">
                  <c:v>30.77</c:v>
                </c:pt>
                <c:pt idx="544">
                  <c:v>29.59</c:v>
                </c:pt>
                <c:pt idx="545">
                  <c:v>31.37</c:v>
                </c:pt>
                <c:pt idx="546">
                  <c:v>31.84</c:v>
                </c:pt>
                <c:pt idx="547">
                  <c:v>30.35</c:v>
                </c:pt>
                <c:pt idx="548">
                  <c:v>31.4</c:v>
                </c:pt>
                <c:pt idx="549">
                  <c:v>31.65</c:v>
                </c:pt>
                <c:pt idx="550">
                  <c:v>32.74</c:v>
                </c:pt>
                <c:pt idx="551">
                  <c:v>34.39</c:v>
                </c:pt>
                <c:pt idx="552">
                  <c:v>34.57</c:v>
                </c:pt>
                <c:pt idx="553">
                  <c:v>34.56</c:v>
                </c:pt>
                <c:pt idx="554">
                  <c:v>35.909999999999997</c:v>
                </c:pt>
                <c:pt idx="555">
                  <c:v>37.9</c:v>
                </c:pt>
                <c:pt idx="556">
                  <c:v>36.67</c:v>
                </c:pt>
                <c:pt idx="557">
                  <c:v>37.619999999999997</c:v>
                </c:pt>
                <c:pt idx="558">
                  <c:v>37.770000000000003</c:v>
                </c:pt>
                <c:pt idx="559">
                  <c:v>38.51</c:v>
                </c:pt>
                <c:pt idx="560">
                  <c:v>37.200000000000003</c:v>
                </c:pt>
                <c:pt idx="561">
                  <c:v>36.32</c:v>
                </c:pt>
                <c:pt idx="562">
                  <c:v>38.43</c:v>
                </c:pt>
                <c:pt idx="563">
                  <c:v>40.17</c:v>
                </c:pt>
                <c:pt idx="564">
                  <c:v>39.47</c:v>
                </c:pt>
                <c:pt idx="565">
                  <c:v>39.909999999999997</c:v>
                </c:pt>
                <c:pt idx="566">
                  <c:v>41.45</c:v>
                </c:pt>
                <c:pt idx="567">
                  <c:v>38.28</c:v>
                </c:pt>
                <c:pt idx="568">
                  <c:v>38.14</c:v>
                </c:pt>
                <c:pt idx="569">
                  <c:v>37.99</c:v>
                </c:pt>
                <c:pt idx="570">
                  <c:v>36.909999999999997</c:v>
                </c:pt>
                <c:pt idx="571">
                  <c:v>36.909999999999997</c:v>
                </c:pt>
                <c:pt idx="572">
                  <c:v>36.94</c:v>
                </c:pt>
                <c:pt idx="573">
                  <c:v>35.36</c:v>
                </c:pt>
                <c:pt idx="574">
                  <c:v>34.299999999999997</c:v>
                </c:pt>
                <c:pt idx="575">
                  <c:v>34.520000000000003</c:v>
                </c:pt>
                <c:pt idx="576">
                  <c:v>37.74</c:v>
                </c:pt>
                <c:pt idx="577">
                  <c:v>37.299999999999997</c:v>
                </c:pt>
                <c:pt idx="578">
                  <c:v>39.74</c:v>
                </c:pt>
                <c:pt idx="579">
                  <c:v>40.46</c:v>
                </c:pt>
                <c:pt idx="580">
                  <c:v>42.12</c:v>
                </c:pt>
                <c:pt idx="581">
                  <c:v>41.7</c:v>
                </c:pt>
                <c:pt idx="582">
                  <c:v>41.45</c:v>
                </c:pt>
                <c:pt idx="583">
                  <c:v>40.4</c:v>
                </c:pt>
                <c:pt idx="584">
                  <c:v>39.74</c:v>
                </c:pt>
                <c:pt idx="585">
                  <c:v>40.880000000000003</c:v>
                </c:pt>
                <c:pt idx="586">
                  <c:v>42.72</c:v>
                </c:pt>
                <c:pt idx="587">
                  <c:v>43.18</c:v>
                </c:pt>
                <c:pt idx="588">
                  <c:v>42.76</c:v>
                </c:pt>
                <c:pt idx="589">
                  <c:v>41.67</c:v>
                </c:pt>
                <c:pt idx="590">
                  <c:v>42.52</c:v>
                </c:pt>
                <c:pt idx="591">
                  <c:v>45.29</c:v>
                </c:pt>
                <c:pt idx="592">
                  <c:v>46.03</c:v>
                </c:pt>
                <c:pt idx="593">
                  <c:v>45.98</c:v>
                </c:pt>
                <c:pt idx="594">
                  <c:v>44.75</c:v>
                </c:pt>
                <c:pt idx="595">
                  <c:v>43.65</c:v>
                </c:pt>
                <c:pt idx="596">
                  <c:v>43.77</c:v>
                </c:pt>
                <c:pt idx="597">
                  <c:v>44.33</c:v>
                </c:pt>
                <c:pt idx="598">
                  <c:v>44.58</c:v>
                </c:pt>
                <c:pt idx="599">
                  <c:v>43.45</c:v>
                </c:pt>
                <c:pt idx="600">
                  <c:v>44.68</c:v>
                </c:pt>
                <c:pt idx="601">
                  <c:v>46.21</c:v>
                </c:pt>
                <c:pt idx="602">
                  <c:v>46.64</c:v>
                </c:pt>
                <c:pt idx="603">
                  <c:v>46.22</c:v>
                </c:pt>
                <c:pt idx="604">
                  <c:v>47.72</c:v>
                </c:pt>
                <c:pt idx="605">
                  <c:v>48.29</c:v>
                </c:pt>
                <c:pt idx="606">
                  <c:v>48.12</c:v>
                </c:pt>
                <c:pt idx="607">
                  <c:v>48.16</c:v>
                </c:pt>
                <c:pt idx="608">
                  <c:v>47.67</c:v>
                </c:pt>
                <c:pt idx="609">
                  <c:v>48.12</c:v>
                </c:pt>
                <c:pt idx="610">
                  <c:v>48.04</c:v>
                </c:pt>
                <c:pt idx="611">
                  <c:v>49.1</c:v>
                </c:pt>
                <c:pt idx="612">
                  <c:v>49</c:v>
                </c:pt>
                <c:pt idx="613">
                  <c:v>49.36</c:v>
                </c:pt>
                <c:pt idx="614">
                  <c:v>49.1</c:v>
                </c:pt>
                <c:pt idx="615">
                  <c:v>49.07</c:v>
                </c:pt>
                <c:pt idx="616">
                  <c:v>49.14</c:v>
                </c:pt>
                <c:pt idx="617">
                  <c:v>48.69</c:v>
                </c:pt>
                <c:pt idx="618">
                  <c:v>49.71</c:v>
                </c:pt>
                <c:pt idx="619">
                  <c:v>50.37</c:v>
                </c:pt>
                <c:pt idx="620">
                  <c:v>51.23</c:v>
                </c:pt>
                <c:pt idx="621">
                  <c:v>50.52</c:v>
                </c:pt>
                <c:pt idx="622">
                  <c:v>49.09</c:v>
                </c:pt>
                <c:pt idx="623">
                  <c:v>48.89</c:v>
                </c:pt>
                <c:pt idx="624">
                  <c:v>48.49</c:v>
                </c:pt>
                <c:pt idx="625">
                  <c:v>47.92</c:v>
                </c:pt>
                <c:pt idx="626">
                  <c:v>46.14</c:v>
                </c:pt>
                <c:pt idx="627">
                  <c:v>48</c:v>
                </c:pt>
                <c:pt idx="628">
                  <c:v>49.4</c:v>
                </c:pt>
                <c:pt idx="629">
                  <c:v>48.95</c:v>
                </c:pt>
                <c:pt idx="630">
                  <c:v>49.16</c:v>
                </c:pt>
                <c:pt idx="631">
                  <c:v>49.34</c:v>
                </c:pt>
                <c:pt idx="632">
                  <c:v>46.7</c:v>
                </c:pt>
                <c:pt idx="633">
                  <c:v>45.8</c:v>
                </c:pt>
                <c:pt idx="634">
                  <c:v>47.93</c:v>
                </c:pt>
                <c:pt idx="635">
                  <c:v>49.85</c:v>
                </c:pt>
                <c:pt idx="636">
                  <c:v>48.27</c:v>
                </c:pt>
                <c:pt idx="637">
                  <c:v>49.02</c:v>
                </c:pt>
                <c:pt idx="638">
                  <c:v>46.73</c:v>
                </c:pt>
                <c:pt idx="639">
                  <c:v>47.37</c:v>
                </c:pt>
                <c:pt idx="640">
                  <c:v>45.22</c:v>
                </c:pt>
                <c:pt idx="641">
                  <c:v>45.37</c:v>
                </c:pt>
                <c:pt idx="642">
                  <c:v>44.73</c:v>
                </c:pt>
                <c:pt idx="643">
                  <c:v>46.82</c:v>
                </c:pt>
                <c:pt idx="644">
                  <c:v>44.87</c:v>
                </c:pt>
                <c:pt idx="645">
                  <c:v>45.64</c:v>
                </c:pt>
                <c:pt idx="646">
                  <c:v>45.93</c:v>
                </c:pt>
                <c:pt idx="647">
                  <c:v>45.23</c:v>
                </c:pt>
                <c:pt idx="648">
                  <c:v>44.64</c:v>
                </c:pt>
                <c:pt idx="649">
                  <c:v>44.96</c:v>
                </c:pt>
                <c:pt idx="650">
                  <c:v>43.96</c:v>
                </c:pt>
                <c:pt idx="651">
                  <c:v>43.41</c:v>
                </c:pt>
                <c:pt idx="652">
                  <c:v>42.4</c:v>
                </c:pt>
                <c:pt idx="653">
                  <c:v>42.16</c:v>
                </c:pt>
                <c:pt idx="654">
                  <c:v>41.9</c:v>
                </c:pt>
                <c:pt idx="655">
                  <c:v>41.13</c:v>
                </c:pt>
                <c:pt idx="656">
                  <c:v>41.54</c:v>
                </c:pt>
                <c:pt idx="657">
                  <c:v>40.049999999999997</c:v>
                </c:pt>
                <c:pt idx="658">
                  <c:v>39.5</c:v>
                </c:pt>
                <c:pt idx="659">
                  <c:v>40.799999999999997</c:v>
                </c:pt>
                <c:pt idx="660">
                  <c:v>41.92</c:v>
                </c:pt>
                <c:pt idx="661">
                  <c:v>41.83</c:v>
                </c:pt>
                <c:pt idx="662">
                  <c:v>43.06</c:v>
                </c:pt>
                <c:pt idx="663">
                  <c:v>42.78</c:v>
                </c:pt>
                <c:pt idx="664">
                  <c:v>41.75</c:v>
                </c:pt>
                <c:pt idx="665">
                  <c:v>43.51</c:v>
                </c:pt>
                <c:pt idx="666">
                  <c:v>44.47</c:v>
                </c:pt>
                <c:pt idx="667">
                  <c:v>45.72</c:v>
                </c:pt>
                <c:pt idx="668">
                  <c:v>46.57</c:v>
                </c:pt>
                <c:pt idx="669">
                  <c:v>46.81</c:v>
                </c:pt>
                <c:pt idx="670">
                  <c:v>48.2</c:v>
                </c:pt>
                <c:pt idx="671">
                  <c:v>48.48</c:v>
                </c:pt>
                <c:pt idx="672">
                  <c:v>46.8</c:v>
                </c:pt>
                <c:pt idx="673">
                  <c:v>47.54</c:v>
                </c:pt>
                <c:pt idx="674">
                  <c:v>46.29</c:v>
                </c:pt>
                <c:pt idx="675">
                  <c:v>46.97</c:v>
                </c:pt>
                <c:pt idx="676">
                  <c:v>47.64</c:v>
                </c:pt>
                <c:pt idx="677">
                  <c:v>46.97</c:v>
                </c:pt>
                <c:pt idx="678">
                  <c:v>46.32</c:v>
                </c:pt>
                <c:pt idx="679">
                  <c:v>44.68</c:v>
                </c:pt>
                <c:pt idx="680">
                  <c:v>43.17</c:v>
                </c:pt>
                <c:pt idx="681">
                  <c:v>44.39</c:v>
                </c:pt>
                <c:pt idx="682">
                  <c:v>44.39</c:v>
                </c:pt>
                <c:pt idx="683">
                  <c:v>44.85</c:v>
                </c:pt>
                <c:pt idx="684">
                  <c:v>45.47</c:v>
                </c:pt>
                <c:pt idx="685">
                  <c:v>47.63</c:v>
                </c:pt>
                <c:pt idx="686">
                  <c:v>45.88</c:v>
                </c:pt>
                <c:pt idx="687">
                  <c:v>46.28</c:v>
                </c:pt>
                <c:pt idx="688">
                  <c:v>44.91</c:v>
                </c:pt>
                <c:pt idx="689">
                  <c:v>43.62</c:v>
                </c:pt>
                <c:pt idx="690">
                  <c:v>43.85</c:v>
                </c:pt>
                <c:pt idx="691">
                  <c:v>43.04</c:v>
                </c:pt>
                <c:pt idx="692">
                  <c:v>43.34</c:v>
                </c:pt>
                <c:pt idx="693">
                  <c:v>43.85</c:v>
                </c:pt>
                <c:pt idx="694">
                  <c:v>45.33</c:v>
                </c:pt>
                <c:pt idx="695">
                  <c:v>46.1</c:v>
                </c:pt>
                <c:pt idx="696">
                  <c:v>44.36</c:v>
                </c:pt>
                <c:pt idx="697">
                  <c:v>45.6</c:v>
                </c:pt>
                <c:pt idx="698">
                  <c:v>44.65</c:v>
                </c:pt>
                <c:pt idx="699">
                  <c:v>47.07</c:v>
                </c:pt>
                <c:pt idx="700">
                  <c:v>47.72</c:v>
                </c:pt>
                <c:pt idx="701">
                  <c:v>47.72</c:v>
                </c:pt>
                <c:pt idx="702">
                  <c:v>48.8</c:v>
                </c:pt>
                <c:pt idx="703">
                  <c:v>48.67</c:v>
                </c:pt>
                <c:pt idx="704">
                  <c:v>49.75</c:v>
                </c:pt>
                <c:pt idx="705">
                  <c:v>50.44</c:v>
                </c:pt>
                <c:pt idx="706">
                  <c:v>49.76</c:v>
                </c:pt>
                <c:pt idx="707">
                  <c:v>49.76</c:v>
                </c:pt>
                <c:pt idx="708">
                  <c:v>50.72</c:v>
                </c:pt>
                <c:pt idx="709">
                  <c:v>50.14</c:v>
                </c:pt>
                <c:pt idx="710">
                  <c:v>50.47</c:v>
                </c:pt>
                <c:pt idx="711">
                  <c:v>50.35</c:v>
                </c:pt>
                <c:pt idx="712">
                  <c:v>49.97</c:v>
                </c:pt>
                <c:pt idx="713">
                  <c:v>50.3</c:v>
                </c:pt>
                <c:pt idx="714">
                  <c:v>51.59</c:v>
                </c:pt>
                <c:pt idx="715">
                  <c:v>50.31</c:v>
                </c:pt>
                <c:pt idx="716">
                  <c:v>50.61</c:v>
                </c:pt>
                <c:pt idx="717">
                  <c:v>50.18</c:v>
                </c:pt>
                <c:pt idx="718">
                  <c:v>49.45</c:v>
                </c:pt>
                <c:pt idx="719">
                  <c:v>48.75</c:v>
                </c:pt>
                <c:pt idx="720">
                  <c:v>49.71</c:v>
                </c:pt>
                <c:pt idx="721">
                  <c:v>48.72</c:v>
                </c:pt>
                <c:pt idx="722">
                  <c:v>46.83</c:v>
                </c:pt>
                <c:pt idx="723">
                  <c:v>46.66</c:v>
                </c:pt>
                <c:pt idx="724">
                  <c:v>45.32</c:v>
                </c:pt>
                <c:pt idx="725">
                  <c:v>44.66</c:v>
                </c:pt>
                <c:pt idx="726">
                  <c:v>44.07</c:v>
                </c:pt>
                <c:pt idx="727">
                  <c:v>44.88</c:v>
                </c:pt>
                <c:pt idx="728">
                  <c:v>44.96</c:v>
                </c:pt>
                <c:pt idx="729">
                  <c:v>45.2</c:v>
                </c:pt>
                <c:pt idx="730">
                  <c:v>44.62</c:v>
                </c:pt>
                <c:pt idx="731">
                  <c:v>43.39</c:v>
                </c:pt>
                <c:pt idx="732">
                  <c:v>43.29</c:v>
                </c:pt>
                <c:pt idx="733">
                  <c:v>45.86</c:v>
                </c:pt>
                <c:pt idx="734">
                  <c:v>45.56</c:v>
                </c:pt>
                <c:pt idx="735">
                  <c:v>45.37</c:v>
                </c:pt>
                <c:pt idx="736">
                  <c:v>45.69</c:v>
                </c:pt>
                <c:pt idx="737">
                  <c:v>47.48</c:v>
                </c:pt>
                <c:pt idx="738">
                  <c:v>48.07</c:v>
                </c:pt>
                <c:pt idx="739">
                  <c:v>46.72</c:v>
                </c:pt>
                <c:pt idx="740">
                  <c:v>46.72</c:v>
                </c:pt>
                <c:pt idx="741">
                  <c:v>46.72</c:v>
                </c:pt>
                <c:pt idx="742">
                  <c:v>45.66</c:v>
                </c:pt>
                <c:pt idx="743">
                  <c:v>45.29</c:v>
                </c:pt>
                <c:pt idx="744">
                  <c:v>49.41</c:v>
                </c:pt>
                <c:pt idx="745">
                  <c:v>51.08</c:v>
                </c:pt>
                <c:pt idx="746">
                  <c:v>51.7</c:v>
                </c:pt>
                <c:pt idx="747">
                  <c:v>51.72</c:v>
                </c:pt>
                <c:pt idx="748">
                  <c:v>50.95</c:v>
                </c:pt>
                <c:pt idx="749">
                  <c:v>49.85</c:v>
                </c:pt>
                <c:pt idx="750">
                  <c:v>50.84</c:v>
                </c:pt>
                <c:pt idx="751">
                  <c:v>51.51</c:v>
                </c:pt>
                <c:pt idx="752">
                  <c:v>52.74</c:v>
                </c:pt>
                <c:pt idx="753">
                  <c:v>52.99</c:v>
                </c:pt>
                <c:pt idx="754">
                  <c:v>51.01</c:v>
                </c:pt>
                <c:pt idx="755">
                  <c:v>50.9</c:v>
                </c:pt>
                <c:pt idx="756">
                  <c:v>51.93</c:v>
                </c:pt>
                <c:pt idx="757">
                  <c:v>52.13</c:v>
                </c:pt>
                <c:pt idx="758">
                  <c:v>52.22</c:v>
                </c:pt>
                <c:pt idx="759">
                  <c:v>51.44</c:v>
                </c:pt>
                <c:pt idx="760">
                  <c:v>51.98</c:v>
                </c:pt>
                <c:pt idx="761">
                  <c:v>52.01</c:v>
                </c:pt>
                <c:pt idx="762">
                  <c:v>52.82</c:v>
                </c:pt>
                <c:pt idx="763">
                  <c:v>54.01</c:v>
                </c:pt>
                <c:pt idx="764">
                  <c:v>53.8</c:v>
                </c:pt>
                <c:pt idx="765">
                  <c:v>53.75</c:v>
                </c:pt>
                <c:pt idx="766">
                  <c:v>52.36</c:v>
                </c:pt>
                <c:pt idx="767">
                  <c:v>53.26</c:v>
                </c:pt>
                <c:pt idx="768">
                  <c:v>53.77</c:v>
                </c:pt>
                <c:pt idx="769">
                  <c:v>53.98</c:v>
                </c:pt>
                <c:pt idx="770">
                  <c:v>51.95</c:v>
                </c:pt>
                <c:pt idx="771">
                  <c:v>50.82</c:v>
                </c:pt>
                <c:pt idx="772">
                  <c:v>52.19</c:v>
                </c:pt>
                <c:pt idx="773">
                  <c:v>53.01</c:v>
                </c:pt>
                <c:pt idx="774">
                  <c:v>52.36</c:v>
                </c:pt>
                <c:pt idx="775">
                  <c:v>52.45</c:v>
                </c:pt>
                <c:pt idx="776">
                  <c:v>51.12</c:v>
                </c:pt>
                <c:pt idx="777">
                  <c:v>51.39</c:v>
                </c:pt>
                <c:pt idx="778">
                  <c:v>52.33</c:v>
                </c:pt>
                <c:pt idx="779">
                  <c:v>52.77</c:v>
                </c:pt>
                <c:pt idx="780">
                  <c:v>52.38</c:v>
                </c:pt>
                <c:pt idx="781">
                  <c:v>52.14</c:v>
                </c:pt>
                <c:pt idx="782">
                  <c:v>53.24</c:v>
                </c:pt>
                <c:pt idx="783">
                  <c:v>53.18</c:v>
                </c:pt>
                <c:pt idx="784">
                  <c:v>52.63</c:v>
                </c:pt>
                <c:pt idx="785">
                  <c:v>52.75</c:v>
                </c:pt>
                <c:pt idx="786">
                  <c:v>53.9</c:v>
                </c:pt>
                <c:pt idx="787">
                  <c:v>53.55</c:v>
                </c:pt>
                <c:pt idx="788">
                  <c:v>53.81</c:v>
                </c:pt>
                <c:pt idx="789">
                  <c:v>53.01</c:v>
                </c:pt>
                <c:pt idx="790">
                  <c:v>52.19</c:v>
                </c:pt>
                <c:pt idx="791">
                  <c:v>52.37</c:v>
                </c:pt>
                <c:pt idx="792">
                  <c:v>52.99</c:v>
                </c:pt>
                <c:pt idx="793">
                  <c:v>53.84</c:v>
                </c:pt>
                <c:pt idx="794">
                  <c:v>52.96</c:v>
                </c:pt>
                <c:pt idx="795">
                  <c:v>53.21</c:v>
                </c:pt>
                <c:pt idx="796">
                  <c:v>53.11</c:v>
                </c:pt>
                <c:pt idx="797">
                  <c:v>53.41</c:v>
                </c:pt>
                <c:pt idx="798">
                  <c:v>53.41</c:v>
                </c:pt>
                <c:pt idx="799">
                  <c:v>54.02</c:v>
                </c:pt>
                <c:pt idx="800">
                  <c:v>53.61</c:v>
                </c:pt>
                <c:pt idx="801">
                  <c:v>54.48</c:v>
                </c:pt>
                <c:pt idx="802">
                  <c:v>53.99</c:v>
                </c:pt>
                <c:pt idx="803">
                  <c:v>54.04</c:v>
                </c:pt>
                <c:pt idx="804">
                  <c:v>54</c:v>
                </c:pt>
                <c:pt idx="805">
                  <c:v>53.82</c:v>
                </c:pt>
                <c:pt idx="806">
                  <c:v>52.63</c:v>
                </c:pt>
                <c:pt idx="807">
                  <c:v>53.33</c:v>
                </c:pt>
                <c:pt idx="808">
                  <c:v>53.19</c:v>
                </c:pt>
                <c:pt idx="809">
                  <c:v>52.68</c:v>
                </c:pt>
                <c:pt idx="810">
                  <c:v>49.83</c:v>
                </c:pt>
                <c:pt idx="811">
                  <c:v>48.75</c:v>
                </c:pt>
                <c:pt idx="812">
                  <c:v>48.05</c:v>
                </c:pt>
                <c:pt idx="813">
                  <c:v>47.95</c:v>
                </c:pt>
                <c:pt idx="814">
                  <c:v>47.24</c:v>
                </c:pt>
                <c:pt idx="815">
                  <c:v>48.34</c:v>
                </c:pt>
                <c:pt idx="816">
                  <c:v>48.3</c:v>
                </c:pt>
                <c:pt idx="817">
                  <c:v>48.34</c:v>
                </c:pt>
                <c:pt idx="818">
                  <c:v>47.79</c:v>
                </c:pt>
                <c:pt idx="819">
                  <c:v>47.02</c:v>
                </c:pt>
                <c:pt idx="820">
                  <c:v>47.29</c:v>
                </c:pt>
                <c:pt idx="821">
                  <c:v>47</c:v>
                </c:pt>
                <c:pt idx="822">
                  <c:v>47.3</c:v>
                </c:pt>
                <c:pt idx="823">
                  <c:v>47.02</c:v>
                </c:pt>
                <c:pt idx="824">
                  <c:v>48.36</c:v>
                </c:pt>
                <c:pt idx="825">
                  <c:v>49.47</c:v>
                </c:pt>
                <c:pt idx="826">
                  <c:v>50.3</c:v>
                </c:pt>
                <c:pt idx="827">
                  <c:v>50.54</c:v>
                </c:pt>
                <c:pt idx="828">
                  <c:v>50.25</c:v>
                </c:pt>
                <c:pt idx="829">
                  <c:v>50.99</c:v>
                </c:pt>
                <c:pt idx="830">
                  <c:v>51.14</c:v>
                </c:pt>
                <c:pt idx="831">
                  <c:v>51.69</c:v>
                </c:pt>
                <c:pt idx="832">
                  <c:v>52.25</c:v>
                </c:pt>
                <c:pt idx="833">
                  <c:v>53.06</c:v>
                </c:pt>
                <c:pt idx="834">
                  <c:v>53.38</c:v>
                </c:pt>
                <c:pt idx="835">
                  <c:v>53.12</c:v>
                </c:pt>
                <c:pt idx="836">
                  <c:v>53.19</c:v>
                </c:pt>
                <c:pt idx="837">
                  <c:v>52.62</c:v>
                </c:pt>
                <c:pt idx="838">
                  <c:v>52.46</c:v>
                </c:pt>
                <c:pt idx="839">
                  <c:v>50.49</c:v>
                </c:pt>
                <c:pt idx="840">
                  <c:v>50.26</c:v>
                </c:pt>
                <c:pt idx="841">
                  <c:v>49.64</c:v>
                </c:pt>
                <c:pt idx="842">
                  <c:v>48.9</c:v>
                </c:pt>
                <c:pt idx="843">
                  <c:v>49.22</c:v>
                </c:pt>
                <c:pt idx="844">
                  <c:v>49.22</c:v>
                </c:pt>
                <c:pt idx="845">
                  <c:v>48.96</c:v>
                </c:pt>
                <c:pt idx="846">
                  <c:v>49.31</c:v>
                </c:pt>
                <c:pt idx="847">
                  <c:v>48.83</c:v>
                </c:pt>
                <c:pt idx="848">
                  <c:v>47.65</c:v>
                </c:pt>
                <c:pt idx="849">
                  <c:v>47.79</c:v>
                </c:pt>
                <c:pt idx="850">
                  <c:v>45.55</c:v>
                </c:pt>
                <c:pt idx="851">
                  <c:v>46.23</c:v>
                </c:pt>
                <c:pt idx="852">
                  <c:v>46.46</c:v>
                </c:pt>
                <c:pt idx="853">
                  <c:v>45.84</c:v>
                </c:pt>
                <c:pt idx="854">
                  <c:v>47.28</c:v>
                </c:pt>
                <c:pt idx="855">
                  <c:v>47.81</c:v>
                </c:pt>
                <c:pt idx="856">
                  <c:v>47.83</c:v>
                </c:pt>
                <c:pt idx="857">
                  <c:v>48.86</c:v>
                </c:pt>
                <c:pt idx="858">
                  <c:v>48.64</c:v>
                </c:pt>
                <c:pt idx="859">
                  <c:v>49.04</c:v>
                </c:pt>
                <c:pt idx="860">
                  <c:v>49.36</c:v>
                </c:pt>
                <c:pt idx="861">
                  <c:v>50.32</c:v>
                </c:pt>
                <c:pt idx="862">
                  <c:v>50.81</c:v>
                </c:pt>
                <c:pt idx="863">
                  <c:v>51.12</c:v>
                </c:pt>
                <c:pt idx="864">
                  <c:v>50.99</c:v>
                </c:pt>
                <c:pt idx="865">
                  <c:v>48.57</c:v>
                </c:pt>
                <c:pt idx="866">
                  <c:v>49.58</c:v>
                </c:pt>
                <c:pt idx="867">
                  <c:v>49.63</c:v>
                </c:pt>
                <c:pt idx="868">
                  <c:v>48.29</c:v>
                </c:pt>
                <c:pt idx="869">
                  <c:v>48.32</c:v>
                </c:pt>
                <c:pt idx="870">
                  <c:v>47.68</c:v>
                </c:pt>
                <c:pt idx="871">
                  <c:v>47.4</c:v>
                </c:pt>
                <c:pt idx="872">
                  <c:v>48.13</c:v>
                </c:pt>
                <c:pt idx="873">
                  <c:v>45.8</c:v>
                </c:pt>
                <c:pt idx="874">
                  <c:v>45.68</c:v>
                </c:pt>
                <c:pt idx="875">
                  <c:v>45.82</c:v>
                </c:pt>
                <c:pt idx="876">
                  <c:v>46.1</c:v>
                </c:pt>
                <c:pt idx="877">
                  <c:v>46.41</c:v>
                </c:pt>
                <c:pt idx="878">
                  <c:v>44.79</c:v>
                </c:pt>
                <c:pt idx="879">
                  <c:v>44.47</c:v>
                </c:pt>
                <c:pt idx="880">
                  <c:v>44.73</c:v>
                </c:pt>
                <c:pt idx="881">
                  <c:v>44.24</c:v>
                </c:pt>
                <c:pt idx="882">
                  <c:v>43.34</c:v>
                </c:pt>
                <c:pt idx="883">
                  <c:v>42.48</c:v>
                </c:pt>
                <c:pt idx="884">
                  <c:v>42.53</c:v>
                </c:pt>
                <c:pt idx="885">
                  <c:v>42.86</c:v>
                </c:pt>
                <c:pt idx="886">
                  <c:v>43.24</c:v>
                </c:pt>
                <c:pt idx="887">
                  <c:v>44.25</c:v>
                </c:pt>
                <c:pt idx="888">
                  <c:v>44.74</c:v>
                </c:pt>
                <c:pt idx="889">
                  <c:v>44.88</c:v>
                </c:pt>
                <c:pt idx="890">
                  <c:v>46.02</c:v>
                </c:pt>
                <c:pt idx="891">
                  <c:v>46.02</c:v>
                </c:pt>
                <c:pt idx="892">
                  <c:v>45.11</c:v>
                </c:pt>
                <c:pt idx="893">
                  <c:v>45.52</c:v>
                </c:pt>
                <c:pt idx="894">
                  <c:v>44.25</c:v>
                </c:pt>
                <c:pt idx="895">
                  <c:v>44.4</c:v>
                </c:pt>
                <c:pt idx="896">
                  <c:v>45.06</c:v>
                </c:pt>
                <c:pt idx="897">
                  <c:v>45.48</c:v>
                </c:pt>
                <c:pt idx="898">
                  <c:v>46.06</c:v>
                </c:pt>
                <c:pt idx="899">
                  <c:v>46.53</c:v>
                </c:pt>
                <c:pt idx="900">
                  <c:v>46.02</c:v>
                </c:pt>
                <c:pt idx="901">
                  <c:v>46.4</c:v>
                </c:pt>
                <c:pt idx="902">
                  <c:v>47.1</c:v>
                </c:pt>
                <c:pt idx="903">
                  <c:v>46.73</c:v>
                </c:pt>
                <c:pt idx="904">
                  <c:v>45.78</c:v>
                </c:pt>
                <c:pt idx="905">
                  <c:v>46.21</c:v>
                </c:pt>
                <c:pt idx="906">
                  <c:v>47.77</c:v>
                </c:pt>
                <c:pt idx="907">
                  <c:v>48.58</c:v>
                </c:pt>
                <c:pt idx="908">
                  <c:v>49.05</c:v>
                </c:pt>
                <c:pt idx="909">
                  <c:v>49.72</c:v>
                </c:pt>
                <c:pt idx="910">
                  <c:v>50.21</c:v>
                </c:pt>
                <c:pt idx="911">
                  <c:v>49.19</c:v>
                </c:pt>
                <c:pt idx="912">
                  <c:v>49.6</c:v>
                </c:pt>
                <c:pt idx="913">
                  <c:v>49.03</c:v>
                </c:pt>
                <c:pt idx="914">
                  <c:v>49.57</c:v>
                </c:pt>
                <c:pt idx="915">
                  <c:v>49.37</c:v>
                </c:pt>
                <c:pt idx="916">
                  <c:v>49.07</c:v>
                </c:pt>
                <c:pt idx="917">
                  <c:v>49.59</c:v>
                </c:pt>
                <c:pt idx="918">
                  <c:v>48.54</c:v>
                </c:pt>
                <c:pt idx="919">
                  <c:v>48.81</c:v>
                </c:pt>
                <c:pt idx="920">
                  <c:v>47.59</c:v>
                </c:pt>
                <c:pt idx="921">
                  <c:v>47.57</c:v>
                </c:pt>
                <c:pt idx="922">
                  <c:v>46.8</c:v>
                </c:pt>
                <c:pt idx="923">
                  <c:v>47.07</c:v>
                </c:pt>
                <c:pt idx="924">
                  <c:v>48.59</c:v>
                </c:pt>
                <c:pt idx="925">
                  <c:v>47.39</c:v>
                </c:pt>
                <c:pt idx="926">
                  <c:v>47.65</c:v>
                </c:pt>
                <c:pt idx="927">
                  <c:v>48.45</c:v>
                </c:pt>
                <c:pt idx="928">
                  <c:v>47.24</c:v>
                </c:pt>
                <c:pt idx="929">
                  <c:v>47.65</c:v>
                </c:pt>
                <c:pt idx="930">
                  <c:v>46.4</c:v>
                </c:pt>
                <c:pt idx="931">
                  <c:v>46.46</c:v>
                </c:pt>
                <c:pt idx="932">
                  <c:v>45.96</c:v>
                </c:pt>
                <c:pt idx="933">
                  <c:v>47.26</c:v>
                </c:pt>
                <c:pt idx="934">
                  <c:v>47.32</c:v>
                </c:pt>
                <c:pt idx="935">
                  <c:v>48.63</c:v>
                </c:pt>
                <c:pt idx="936">
                  <c:v>49.13</c:v>
                </c:pt>
                <c:pt idx="937">
                  <c:v>49.1</c:v>
                </c:pt>
                <c:pt idx="938">
                  <c:v>47.44</c:v>
                </c:pt>
                <c:pt idx="939">
                  <c:v>48.06</c:v>
                </c:pt>
                <c:pt idx="940">
                  <c:v>48.21</c:v>
                </c:pt>
                <c:pt idx="941">
                  <c:v>49.3</c:v>
                </c:pt>
                <c:pt idx="942">
                  <c:v>49.86</c:v>
                </c:pt>
                <c:pt idx="943">
                  <c:v>49.9</c:v>
                </c:pt>
                <c:pt idx="944">
                  <c:v>49.88</c:v>
                </c:pt>
                <c:pt idx="945">
                  <c:v>49.54</c:v>
                </c:pt>
                <c:pt idx="946">
                  <c:v>50.29</c:v>
                </c:pt>
                <c:pt idx="947">
                  <c:v>50.58</c:v>
                </c:pt>
                <c:pt idx="948">
                  <c:v>50.33</c:v>
                </c:pt>
                <c:pt idx="949">
                  <c:v>51.85</c:v>
                </c:pt>
                <c:pt idx="950">
                  <c:v>51.59</c:v>
                </c:pt>
                <c:pt idx="951">
                  <c:v>52.14</c:v>
                </c:pt>
                <c:pt idx="952">
                  <c:v>51.62</c:v>
                </c:pt>
                <c:pt idx="953">
                  <c:v>51.67</c:v>
                </c:pt>
                <c:pt idx="954">
                  <c:v>50.59</c:v>
                </c:pt>
                <c:pt idx="955">
                  <c:v>50.44</c:v>
                </c:pt>
                <c:pt idx="956">
                  <c:v>50</c:v>
                </c:pt>
                <c:pt idx="957">
                  <c:v>50.79</c:v>
                </c:pt>
                <c:pt idx="958">
                  <c:v>49.34</c:v>
                </c:pt>
                <c:pt idx="959">
                  <c:v>49.58</c:v>
                </c:pt>
                <c:pt idx="960">
                  <c:v>50.93</c:v>
                </c:pt>
                <c:pt idx="961">
                  <c:v>51.3</c:v>
                </c:pt>
                <c:pt idx="962">
                  <c:v>50.61</c:v>
                </c:pt>
                <c:pt idx="963">
                  <c:v>51.43</c:v>
                </c:pt>
                <c:pt idx="964">
                  <c:v>51.86</c:v>
                </c:pt>
                <c:pt idx="965">
                  <c:v>51.87</c:v>
                </c:pt>
                <c:pt idx="966">
                  <c:v>52.05</c:v>
                </c:pt>
                <c:pt idx="967">
                  <c:v>51.29</c:v>
                </c:pt>
                <c:pt idx="968">
                  <c:v>51.63</c:v>
                </c:pt>
                <c:pt idx="969">
                  <c:v>51.91</c:v>
                </c:pt>
                <c:pt idx="970">
                  <c:v>52.32</c:v>
                </c:pt>
                <c:pt idx="971">
                  <c:v>51.97</c:v>
                </c:pt>
                <c:pt idx="972">
                  <c:v>52.41</c:v>
                </c:pt>
                <c:pt idx="973">
                  <c:v>53.92</c:v>
                </c:pt>
                <c:pt idx="974">
                  <c:v>54.11</c:v>
                </c:pt>
                <c:pt idx="975">
                  <c:v>54.36</c:v>
                </c:pt>
                <c:pt idx="976">
                  <c:v>54.32</c:v>
                </c:pt>
                <c:pt idx="977">
                  <c:v>54.55</c:v>
                </c:pt>
                <c:pt idx="978">
                  <c:v>55.63</c:v>
                </c:pt>
                <c:pt idx="979">
                  <c:v>57.34</c:v>
                </c:pt>
                <c:pt idx="980">
                  <c:v>57.19</c:v>
                </c:pt>
                <c:pt idx="981">
                  <c:v>56.82</c:v>
                </c:pt>
                <c:pt idx="982">
                  <c:v>57.16</c:v>
                </c:pt>
                <c:pt idx="983">
                  <c:v>56.75</c:v>
                </c:pt>
                <c:pt idx="984">
                  <c:v>56.77</c:v>
                </c:pt>
                <c:pt idx="985">
                  <c:v>55.67</c:v>
                </c:pt>
                <c:pt idx="986">
                  <c:v>55.28</c:v>
                </c:pt>
                <c:pt idx="987">
                  <c:v>55.14</c:v>
                </c:pt>
                <c:pt idx="988">
                  <c:v>56.21</c:v>
                </c:pt>
                <c:pt idx="989">
                  <c:v>56.21</c:v>
                </c:pt>
                <c:pt idx="990">
                  <c:v>56.84</c:v>
                </c:pt>
                <c:pt idx="991">
                  <c:v>57.88</c:v>
                </c:pt>
                <c:pt idx="992">
                  <c:v>58.94</c:v>
                </c:pt>
                <c:pt idx="993">
                  <c:v>58.1</c:v>
                </c:pt>
                <c:pt idx="994">
                  <c:v>57.96</c:v>
                </c:pt>
                <c:pt idx="995">
                  <c:v>57.25</c:v>
                </c:pt>
                <c:pt idx="996">
                  <c:v>57.4</c:v>
                </c:pt>
                <c:pt idx="997">
                  <c:v>58.35</c:v>
                </c:pt>
                <c:pt idx="998">
                  <c:v>57.48</c:v>
                </c:pt>
                <c:pt idx="999">
                  <c:v>57.66</c:v>
                </c:pt>
                <c:pt idx="1000">
                  <c:v>55.79</c:v>
                </c:pt>
                <c:pt idx="1001">
                  <c:v>56.5</c:v>
                </c:pt>
                <c:pt idx="1002">
                  <c:v>57.15</c:v>
                </c:pt>
                <c:pt idx="1003">
                  <c:v>57.84</c:v>
                </c:pt>
                <c:pt idx="1004">
                  <c:v>57.12</c:v>
                </c:pt>
                <c:pt idx="1005">
                  <c:v>56.59</c:v>
                </c:pt>
                <c:pt idx="1006">
                  <c:v>57</c:v>
                </c:pt>
                <c:pt idx="1007">
                  <c:v>57.29</c:v>
                </c:pt>
                <c:pt idx="1008">
                  <c:v>57.17</c:v>
                </c:pt>
                <c:pt idx="1009">
                  <c:v>57.49</c:v>
                </c:pt>
                <c:pt idx="1010">
                  <c:v>58.09</c:v>
                </c:pt>
                <c:pt idx="1011">
                  <c:v>58.34</c:v>
                </c:pt>
                <c:pt idx="1012">
                  <c:v>58.25</c:v>
                </c:pt>
                <c:pt idx="1013">
                  <c:v>59.55</c:v>
                </c:pt>
                <c:pt idx="1014">
                  <c:v>59.67</c:v>
                </c:pt>
                <c:pt idx="1015">
                  <c:v>59.84</c:v>
                </c:pt>
                <c:pt idx="1016">
                  <c:v>60.46</c:v>
                </c:pt>
                <c:pt idx="1017">
                  <c:v>60.37</c:v>
                </c:pt>
                <c:pt idx="1018">
                  <c:v>61.61</c:v>
                </c:pt>
                <c:pt idx="1019">
                  <c:v>61.98</c:v>
                </c:pt>
                <c:pt idx="1020">
                  <c:v>61.49</c:v>
                </c:pt>
                <c:pt idx="1021">
                  <c:v>61.73</c:v>
                </c:pt>
                <c:pt idx="1022">
                  <c:v>62.92</c:v>
                </c:pt>
                <c:pt idx="1023">
                  <c:v>63.6</c:v>
                </c:pt>
                <c:pt idx="1024">
                  <c:v>63.81</c:v>
                </c:pt>
                <c:pt idx="1025">
                  <c:v>64.22</c:v>
                </c:pt>
                <c:pt idx="1026">
                  <c:v>63.82</c:v>
                </c:pt>
                <c:pt idx="1027">
                  <c:v>63.92</c:v>
                </c:pt>
                <c:pt idx="1028">
                  <c:v>63.96</c:v>
                </c:pt>
                <c:pt idx="1029">
                  <c:v>63.38</c:v>
                </c:pt>
                <c:pt idx="1030">
                  <c:v>63.66</c:v>
                </c:pt>
                <c:pt idx="1031">
                  <c:v>64.45</c:v>
                </c:pt>
                <c:pt idx="1032">
                  <c:v>65.69</c:v>
                </c:pt>
                <c:pt idx="1033">
                  <c:v>65.62</c:v>
                </c:pt>
                <c:pt idx="1034">
                  <c:v>66.27</c:v>
                </c:pt>
                <c:pt idx="1035">
                  <c:v>65.709999999999994</c:v>
                </c:pt>
                <c:pt idx="1036">
                  <c:v>64.64</c:v>
                </c:pt>
                <c:pt idx="1037">
                  <c:v>64.819999999999993</c:v>
                </c:pt>
                <c:pt idx="1038">
                  <c:v>65.92</c:v>
                </c:pt>
                <c:pt idx="1039">
                  <c:v>65.5</c:v>
                </c:pt>
                <c:pt idx="1040">
                  <c:v>64.180000000000007</c:v>
                </c:pt>
                <c:pt idx="1041">
                  <c:v>63.48</c:v>
                </c:pt>
                <c:pt idx="1042">
                  <c:v>61.91</c:v>
                </c:pt>
                <c:pt idx="1043">
                  <c:v>61.3</c:v>
                </c:pt>
                <c:pt idx="1044">
                  <c:v>59.2</c:v>
                </c:pt>
                <c:pt idx="1045">
                  <c:v>59.41</c:v>
                </c:pt>
                <c:pt idx="1046">
                  <c:v>59.33</c:v>
                </c:pt>
                <c:pt idx="1047">
                  <c:v>60.7</c:v>
                </c:pt>
                <c:pt idx="1048">
                  <c:v>61.48</c:v>
                </c:pt>
                <c:pt idx="1049">
                  <c:v>61.89</c:v>
                </c:pt>
                <c:pt idx="1050">
                  <c:v>61.91</c:v>
                </c:pt>
                <c:pt idx="1051">
                  <c:v>61.73</c:v>
                </c:pt>
                <c:pt idx="1052">
                  <c:v>62.72</c:v>
                </c:pt>
                <c:pt idx="1053">
                  <c:v>63.52</c:v>
                </c:pt>
                <c:pt idx="1054">
                  <c:v>63.81</c:v>
                </c:pt>
                <c:pt idx="1055">
                  <c:v>62.94</c:v>
                </c:pt>
                <c:pt idx="1056">
                  <c:v>61.43</c:v>
                </c:pt>
                <c:pt idx="1057">
                  <c:v>60.98</c:v>
                </c:pt>
                <c:pt idx="1058">
                  <c:v>61.19</c:v>
                </c:pt>
                <c:pt idx="1059">
                  <c:v>62.49</c:v>
                </c:pt>
                <c:pt idx="1060">
                  <c:v>62.54</c:v>
                </c:pt>
                <c:pt idx="1061">
                  <c:v>61.09</c:v>
                </c:pt>
                <c:pt idx="1062">
                  <c:v>60.13</c:v>
                </c:pt>
                <c:pt idx="1063">
                  <c:v>62.02</c:v>
                </c:pt>
                <c:pt idx="1064">
                  <c:v>61.35</c:v>
                </c:pt>
                <c:pt idx="1065">
                  <c:v>60.69</c:v>
                </c:pt>
                <c:pt idx="1066">
                  <c:v>60.89</c:v>
                </c:pt>
                <c:pt idx="1067">
                  <c:v>61.16</c:v>
                </c:pt>
                <c:pt idx="1068">
                  <c:v>62.29</c:v>
                </c:pt>
                <c:pt idx="1069">
                  <c:v>62.01</c:v>
                </c:pt>
                <c:pt idx="1070">
                  <c:v>63.37</c:v>
                </c:pt>
                <c:pt idx="1071">
                  <c:v>65.099999999999994</c:v>
                </c:pt>
                <c:pt idx="1072">
                  <c:v>64.25</c:v>
                </c:pt>
                <c:pt idx="1073">
                  <c:v>65.8</c:v>
                </c:pt>
                <c:pt idx="1074">
                  <c:v>65.489999999999995</c:v>
                </c:pt>
                <c:pt idx="1075">
                  <c:v>65.209999999999994</c:v>
                </c:pt>
                <c:pt idx="1076">
                  <c:v>64.3</c:v>
                </c:pt>
                <c:pt idx="1077">
                  <c:v>64.87</c:v>
                </c:pt>
                <c:pt idx="1078">
                  <c:v>63.05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B-412B-808F-1D9A6A9A1EB9}"/>
            </c:ext>
          </c:extLst>
        </c:ser>
        <c:ser>
          <c:idx val="1"/>
          <c:order val="1"/>
          <c:tx>
            <c:strRef>
              <c:f>'WTI CRUDE OIL SPOT PRICE  '!$C$1</c:f>
              <c:strCache>
                <c:ptCount val="1"/>
                <c:pt idx="0">
                  <c:v>%Change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'WTI CRUDE OIL SPOT PRICE  '!$A$2:$A$1080</c:f>
              <c:numCache>
                <c:formatCode>m/d/yyyy</c:formatCode>
                <c:ptCount val="1079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  <c:pt idx="125">
                  <c:v>41822</c:v>
                </c:pt>
                <c:pt idx="126">
                  <c:v>41823</c:v>
                </c:pt>
                <c:pt idx="127">
                  <c:v>41827</c:v>
                </c:pt>
                <c:pt idx="128">
                  <c:v>41828</c:v>
                </c:pt>
                <c:pt idx="129">
                  <c:v>41829</c:v>
                </c:pt>
                <c:pt idx="130">
                  <c:v>41830</c:v>
                </c:pt>
                <c:pt idx="131">
                  <c:v>41831</c:v>
                </c:pt>
                <c:pt idx="132">
                  <c:v>41834</c:v>
                </c:pt>
                <c:pt idx="133">
                  <c:v>41835</c:v>
                </c:pt>
                <c:pt idx="134">
                  <c:v>41836</c:v>
                </c:pt>
                <c:pt idx="135">
                  <c:v>41837</c:v>
                </c:pt>
                <c:pt idx="136">
                  <c:v>41838</c:v>
                </c:pt>
                <c:pt idx="137">
                  <c:v>41841</c:v>
                </c:pt>
                <c:pt idx="138">
                  <c:v>41842</c:v>
                </c:pt>
                <c:pt idx="139">
                  <c:v>41843</c:v>
                </c:pt>
                <c:pt idx="140">
                  <c:v>41844</c:v>
                </c:pt>
                <c:pt idx="141">
                  <c:v>41845</c:v>
                </c:pt>
                <c:pt idx="142">
                  <c:v>41848</c:v>
                </c:pt>
                <c:pt idx="143">
                  <c:v>41849</c:v>
                </c:pt>
                <c:pt idx="144">
                  <c:v>41850</c:v>
                </c:pt>
                <c:pt idx="145">
                  <c:v>41851</c:v>
                </c:pt>
                <c:pt idx="146">
                  <c:v>41852</c:v>
                </c:pt>
                <c:pt idx="147">
                  <c:v>41855</c:v>
                </c:pt>
                <c:pt idx="148">
                  <c:v>41856</c:v>
                </c:pt>
                <c:pt idx="149">
                  <c:v>41857</c:v>
                </c:pt>
                <c:pt idx="150">
                  <c:v>41858</c:v>
                </c:pt>
                <c:pt idx="151">
                  <c:v>41859</c:v>
                </c:pt>
                <c:pt idx="152">
                  <c:v>41862</c:v>
                </c:pt>
                <c:pt idx="153">
                  <c:v>41863</c:v>
                </c:pt>
                <c:pt idx="154">
                  <c:v>41864</c:v>
                </c:pt>
                <c:pt idx="155">
                  <c:v>41865</c:v>
                </c:pt>
                <c:pt idx="156">
                  <c:v>41866</c:v>
                </c:pt>
                <c:pt idx="157">
                  <c:v>41869</c:v>
                </c:pt>
                <c:pt idx="158">
                  <c:v>41870</c:v>
                </c:pt>
                <c:pt idx="159">
                  <c:v>41871</c:v>
                </c:pt>
                <c:pt idx="160">
                  <c:v>41872</c:v>
                </c:pt>
                <c:pt idx="161">
                  <c:v>41873</c:v>
                </c:pt>
                <c:pt idx="162">
                  <c:v>41876</c:v>
                </c:pt>
                <c:pt idx="163">
                  <c:v>41877</c:v>
                </c:pt>
                <c:pt idx="164">
                  <c:v>41878</c:v>
                </c:pt>
                <c:pt idx="165">
                  <c:v>41879</c:v>
                </c:pt>
                <c:pt idx="166">
                  <c:v>41880</c:v>
                </c:pt>
                <c:pt idx="167">
                  <c:v>41884</c:v>
                </c:pt>
                <c:pt idx="168">
                  <c:v>41885</c:v>
                </c:pt>
                <c:pt idx="169">
                  <c:v>41886</c:v>
                </c:pt>
                <c:pt idx="170">
                  <c:v>41887</c:v>
                </c:pt>
                <c:pt idx="171">
                  <c:v>41890</c:v>
                </c:pt>
                <c:pt idx="172">
                  <c:v>41891</c:v>
                </c:pt>
                <c:pt idx="173">
                  <c:v>41892</c:v>
                </c:pt>
                <c:pt idx="174">
                  <c:v>41893</c:v>
                </c:pt>
                <c:pt idx="175">
                  <c:v>41894</c:v>
                </c:pt>
                <c:pt idx="176">
                  <c:v>41897</c:v>
                </c:pt>
                <c:pt idx="177">
                  <c:v>41898</c:v>
                </c:pt>
                <c:pt idx="178">
                  <c:v>41899</c:v>
                </c:pt>
                <c:pt idx="179">
                  <c:v>41900</c:v>
                </c:pt>
                <c:pt idx="180">
                  <c:v>41901</c:v>
                </c:pt>
                <c:pt idx="181">
                  <c:v>41904</c:v>
                </c:pt>
                <c:pt idx="182">
                  <c:v>41905</c:v>
                </c:pt>
                <c:pt idx="183">
                  <c:v>41906</c:v>
                </c:pt>
                <c:pt idx="184">
                  <c:v>41907</c:v>
                </c:pt>
                <c:pt idx="185">
                  <c:v>41908</c:v>
                </c:pt>
                <c:pt idx="186">
                  <c:v>41911</c:v>
                </c:pt>
                <c:pt idx="187">
                  <c:v>41912</c:v>
                </c:pt>
                <c:pt idx="188">
                  <c:v>41913</c:v>
                </c:pt>
                <c:pt idx="189">
                  <c:v>41914</c:v>
                </c:pt>
                <c:pt idx="190">
                  <c:v>41915</c:v>
                </c:pt>
                <c:pt idx="191">
                  <c:v>41918</c:v>
                </c:pt>
                <c:pt idx="192">
                  <c:v>41919</c:v>
                </c:pt>
                <c:pt idx="193">
                  <c:v>41920</c:v>
                </c:pt>
                <c:pt idx="194">
                  <c:v>41921</c:v>
                </c:pt>
                <c:pt idx="195">
                  <c:v>41922</c:v>
                </c:pt>
                <c:pt idx="196">
                  <c:v>41925</c:v>
                </c:pt>
                <c:pt idx="197">
                  <c:v>41926</c:v>
                </c:pt>
                <c:pt idx="198">
                  <c:v>41927</c:v>
                </c:pt>
                <c:pt idx="199">
                  <c:v>41928</c:v>
                </c:pt>
                <c:pt idx="200">
                  <c:v>41929</c:v>
                </c:pt>
                <c:pt idx="201">
                  <c:v>41932</c:v>
                </c:pt>
                <c:pt idx="202">
                  <c:v>41933</c:v>
                </c:pt>
                <c:pt idx="203">
                  <c:v>41934</c:v>
                </c:pt>
                <c:pt idx="204">
                  <c:v>41935</c:v>
                </c:pt>
                <c:pt idx="205">
                  <c:v>41936</c:v>
                </c:pt>
                <c:pt idx="206">
                  <c:v>41939</c:v>
                </c:pt>
                <c:pt idx="207">
                  <c:v>41940</c:v>
                </c:pt>
                <c:pt idx="208">
                  <c:v>41941</c:v>
                </c:pt>
                <c:pt idx="209">
                  <c:v>41942</c:v>
                </c:pt>
                <c:pt idx="210">
                  <c:v>41943</c:v>
                </c:pt>
                <c:pt idx="211">
                  <c:v>41946</c:v>
                </c:pt>
                <c:pt idx="212">
                  <c:v>41947</c:v>
                </c:pt>
                <c:pt idx="213">
                  <c:v>41948</c:v>
                </c:pt>
                <c:pt idx="214">
                  <c:v>41949</c:v>
                </c:pt>
                <c:pt idx="215">
                  <c:v>41950</c:v>
                </c:pt>
                <c:pt idx="216">
                  <c:v>41953</c:v>
                </c:pt>
                <c:pt idx="217">
                  <c:v>41954</c:v>
                </c:pt>
                <c:pt idx="218">
                  <c:v>41955</c:v>
                </c:pt>
                <c:pt idx="219">
                  <c:v>41956</c:v>
                </c:pt>
                <c:pt idx="220">
                  <c:v>41957</c:v>
                </c:pt>
                <c:pt idx="221">
                  <c:v>41960</c:v>
                </c:pt>
                <c:pt idx="222">
                  <c:v>41961</c:v>
                </c:pt>
                <c:pt idx="223">
                  <c:v>41962</c:v>
                </c:pt>
                <c:pt idx="224">
                  <c:v>41963</c:v>
                </c:pt>
                <c:pt idx="225">
                  <c:v>41964</c:v>
                </c:pt>
                <c:pt idx="226">
                  <c:v>41967</c:v>
                </c:pt>
                <c:pt idx="227">
                  <c:v>41968</c:v>
                </c:pt>
                <c:pt idx="228">
                  <c:v>41969</c:v>
                </c:pt>
                <c:pt idx="229">
                  <c:v>41971</c:v>
                </c:pt>
                <c:pt idx="230">
                  <c:v>41974</c:v>
                </c:pt>
                <c:pt idx="231">
                  <c:v>41975</c:v>
                </c:pt>
                <c:pt idx="232">
                  <c:v>41976</c:v>
                </c:pt>
                <c:pt idx="233">
                  <c:v>41977</c:v>
                </c:pt>
                <c:pt idx="234">
                  <c:v>41978</c:v>
                </c:pt>
                <c:pt idx="235">
                  <c:v>41981</c:v>
                </c:pt>
                <c:pt idx="236">
                  <c:v>41982</c:v>
                </c:pt>
                <c:pt idx="237">
                  <c:v>41983</c:v>
                </c:pt>
                <c:pt idx="238">
                  <c:v>41984</c:v>
                </c:pt>
                <c:pt idx="239">
                  <c:v>41985</c:v>
                </c:pt>
                <c:pt idx="240">
                  <c:v>41988</c:v>
                </c:pt>
                <c:pt idx="241">
                  <c:v>41989</c:v>
                </c:pt>
                <c:pt idx="242">
                  <c:v>41990</c:v>
                </c:pt>
                <c:pt idx="243">
                  <c:v>41991</c:v>
                </c:pt>
                <c:pt idx="244">
                  <c:v>41992</c:v>
                </c:pt>
                <c:pt idx="245">
                  <c:v>41995</c:v>
                </c:pt>
                <c:pt idx="246">
                  <c:v>41996</c:v>
                </c:pt>
                <c:pt idx="247">
                  <c:v>41997</c:v>
                </c:pt>
                <c:pt idx="248">
                  <c:v>41999</c:v>
                </c:pt>
                <c:pt idx="249">
                  <c:v>42002</c:v>
                </c:pt>
                <c:pt idx="250">
                  <c:v>42003</c:v>
                </c:pt>
                <c:pt idx="251">
                  <c:v>42004</c:v>
                </c:pt>
                <c:pt idx="252">
                  <c:v>42005</c:v>
                </c:pt>
                <c:pt idx="253">
                  <c:v>42006</c:v>
                </c:pt>
                <c:pt idx="254">
                  <c:v>42009</c:v>
                </c:pt>
                <c:pt idx="255">
                  <c:v>42010</c:v>
                </c:pt>
                <c:pt idx="256">
                  <c:v>42011</c:v>
                </c:pt>
                <c:pt idx="257">
                  <c:v>42012</c:v>
                </c:pt>
                <c:pt idx="258">
                  <c:v>42013</c:v>
                </c:pt>
                <c:pt idx="259">
                  <c:v>42016</c:v>
                </c:pt>
                <c:pt idx="260">
                  <c:v>42017</c:v>
                </c:pt>
                <c:pt idx="261">
                  <c:v>42018</c:v>
                </c:pt>
                <c:pt idx="262">
                  <c:v>42019</c:v>
                </c:pt>
                <c:pt idx="263">
                  <c:v>42020</c:v>
                </c:pt>
                <c:pt idx="264">
                  <c:v>42024</c:v>
                </c:pt>
                <c:pt idx="265">
                  <c:v>42025</c:v>
                </c:pt>
                <c:pt idx="266">
                  <c:v>42026</c:v>
                </c:pt>
                <c:pt idx="267">
                  <c:v>42027</c:v>
                </c:pt>
                <c:pt idx="268">
                  <c:v>42030</c:v>
                </c:pt>
                <c:pt idx="269">
                  <c:v>42031</c:v>
                </c:pt>
                <c:pt idx="270">
                  <c:v>42032</c:v>
                </c:pt>
                <c:pt idx="271">
                  <c:v>42033</c:v>
                </c:pt>
                <c:pt idx="272">
                  <c:v>42034</c:v>
                </c:pt>
                <c:pt idx="273">
                  <c:v>42037</c:v>
                </c:pt>
                <c:pt idx="274">
                  <c:v>42038</c:v>
                </c:pt>
                <c:pt idx="275">
                  <c:v>42039</c:v>
                </c:pt>
                <c:pt idx="276">
                  <c:v>42040</c:v>
                </c:pt>
                <c:pt idx="277">
                  <c:v>42041</c:v>
                </c:pt>
                <c:pt idx="278">
                  <c:v>42044</c:v>
                </c:pt>
                <c:pt idx="279">
                  <c:v>42045</c:v>
                </c:pt>
                <c:pt idx="280">
                  <c:v>42046</c:v>
                </c:pt>
                <c:pt idx="281">
                  <c:v>42047</c:v>
                </c:pt>
                <c:pt idx="282">
                  <c:v>42048</c:v>
                </c:pt>
                <c:pt idx="283">
                  <c:v>42052</c:v>
                </c:pt>
                <c:pt idx="284">
                  <c:v>42053</c:v>
                </c:pt>
                <c:pt idx="285">
                  <c:v>42054</c:v>
                </c:pt>
                <c:pt idx="286">
                  <c:v>42055</c:v>
                </c:pt>
                <c:pt idx="287">
                  <c:v>42058</c:v>
                </c:pt>
                <c:pt idx="288">
                  <c:v>42059</c:v>
                </c:pt>
                <c:pt idx="289">
                  <c:v>42060</c:v>
                </c:pt>
                <c:pt idx="290">
                  <c:v>42061</c:v>
                </c:pt>
                <c:pt idx="291">
                  <c:v>42062</c:v>
                </c:pt>
                <c:pt idx="292">
                  <c:v>42065</c:v>
                </c:pt>
                <c:pt idx="293">
                  <c:v>42066</c:v>
                </c:pt>
                <c:pt idx="294">
                  <c:v>42067</c:v>
                </c:pt>
                <c:pt idx="295">
                  <c:v>42068</c:v>
                </c:pt>
                <c:pt idx="296">
                  <c:v>42069</c:v>
                </c:pt>
                <c:pt idx="297">
                  <c:v>42072</c:v>
                </c:pt>
                <c:pt idx="298">
                  <c:v>42073</c:v>
                </c:pt>
                <c:pt idx="299">
                  <c:v>42074</c:v>
                </c:pt>
                <c:pt idx="300">
                  <c:v>42075</c:v>
                </c:pt>
                <c:pt idx="301">
                  <c:v>42076</c:v>
                </c:pt>
                <c:pt idx="302">
                  <c:v>42079</c:v>
                </c:pt>
                <c:pt idx="303">
                  <c:v>42080</c:v>
                </c:pt>
                <c:pt idx="304">
                  <c:v>42081</c:v>
                </c:pt>
                <c:pt idx="305">
                  <c:v>42082</c:v>
                </c:pt>
                <c:pt idx="306">
                  <c:v>42083</c:v>
                </c:pt>
                <c:pt idx="307">
                  <c:v>42086</c:v>
                </c:pt>
                <c:pt idx="308">
                  <c:v>42087</c:v>
                </c:pt>
                <c:pt idx="309">
                  <c:v>42088</c:v>
                </c:pt>
                <c:pt idx="310">
                  <c:v>42089</c:v>
                </c:pt>
                <c:pt idx="311">
                  <c:v>42090</c:v>
                </c:pt>
                <c:pt idx="312">
                  <c:v>42093</c:v>
                </c:pt>
                <c:pt idx="313">
                  <c:v>42094</c:v>
                </c:pt>
                <c:pt idx="314">
                  <c:v>42095</c:v>
                </c:pt>
                <c:pt idx="315">
                  <c:v>42096</c:v>
                </c:pt>
                <c:pt idx="316">
                  <c:v>42097</c:v>
                </c:pt>
                <c:pt idx="317">
                  <c:v>42100</c:v>
                </c:pt>
                <c:pt idx="318">
                  <c:v>42101</c:v>
                </c:pt>
                <c:pt idx="319">
                  <c:v>42102</c:v>
                </c:pt>
                <c:pt idx="320">
                  <c:v>42103</c:v>
                </c:pt>
                <c:pt idx="321">
                  <c:v>42104</c:v>
                </c:pt>
                <c:pt idx="322">
                  <c:v>42107</c:v>
                </c:pt>
                <c:pt idx="323">
                  <c:v>42108</c:v>
                </c:pt>
                <c:pt idx="324">
                  <c:v>42109</c:v>
                </c:pt>
                <c:pt idx="325">
                  <c:v>42110</c:v>
                </c:pt>
                <c:pt idx="326">
                  <c:v>42111</c:v>
                </c:pt>
                <c:pt idx="327">
                  <c:v>42114</c:v>
                </c:pt>
                <c:pt idx="328">
                  <c:v>42115</c:v>
                </c:pt>
                <c:pt idx="329">
                  <c:v>42116</c:v>
                </c:pt>
                <c:pt idx="330">
                  <c:v>42117</c:v>
                </c:pt>
                <c:pt idx="331">
                  <c:v>42118</c:v>
                </c:pt>
                <c:pt idx="332">
                  <c:v>42121</c:v>
                </c:pt>
                <c:pt idx="333">
                  <c:v>42122</c:v>
                </c:pt>
                <c:pt idx="334">
                  <c:v>42123</c:v>
                </c:pt>
                <c:pt idx="335">
                  <c:v>42124</c:v>
                </c:pt>
                <c:pt idx="336">
                  <c:v>42125</c:v>
                </c:pt>
                <c:pt idx="337">
                  <c:v>42128</c:v>
                </c:pt>
                <c:pt idx="338">
                  <c:v>42129</c:v>
                </c:pt>
                <c:pt idx="339">
                  <c:v>42130</c:v>
                </c:pt>
                <c:pt idx="340">
                  <c:v>42131</c:v>
                </c:pt>
                <c:pt idx="341">
                  <c:v>42132</c:v>
                </c:pt>
                <c:pt idx="342">
                  <c:v>42135</c:v>
                </c:pt>
                <c:pt idx="343">
                  <c:v>42136</c:v>
                </c:pt>
                <c:pt idx="344">
                  <c:v>42137</c:v>
                </c:pt>
                <c:pt idx="345">
                  <c:v>42138</c:v>
                </c:pt>
                <c:pt idx="346">
                  <c:v>42139</c:v>
                </c:pt>
                <c:pt idx="347">
                  <c:v>42142</c:v>
                </c:pt>
                <c:pt idx="348">
                  <c:v>42143</c:v>
                </c:pt>
                <c:pt idx="349">
                  <c:v>42144</c:v>
                </c:pt>
                <c:pt idx="350">
                  <c:v>42145</c:v>
                </c:pt>
                <c:pt idx="351">
                  <c:v>42146</c:v>
                </c:pt>
                <c:pt idx="352">
                  <c:v>42149</c:v>
                </c:pt>
                <c:pt idx="353">
                  <c:v>42150</c:v>
                </c:pt>
                <c:pt idx="354">
                  <c:v>42151</c:v>
                </c:pt>
                <c:pt idx="355">
                  <c:v>42152</c:v>
                </c:pt>
                <c:pt idx="356">
                  <c:v>42153</c:v>
                </c:pt>
                <c:pt idx="357">
                  <c:v>42156</c:v>
                </c:pt>
                <c:pt idx="358">
                  <c:v>42157</c:v>
                </c:pt>
                <c:pt idx="359">
                  <c:v>42158</c:v>
                </c:pt>
                <c:pt idx="360">
                  <c:v>42159</c:v>
                </c:pt>
                <c:pt idx="361">
                  <c:v>42160</c:v>
                </c:pt>
                <c:pt idx="362">
                  <c:v>42163</c:v>
                </c:pt>
                <c:pt idx="363">
                  <c:v>42164</c:v>
                </c:pt>
                <c:pt idx="364">
                  <c:v>42165</c:v>
                </c:pt>
                <c:pt idx="365">
                  <c:v>42166</c:v>
                </c:pt>
                <c:pt idx="366">
                  <c:v>42167</c:v>
                </c:pt>
                <c:pt idx="367">
                  <c:v>42170</c:v>
                </c:pt>
                <c:pt idx="368">
                  <c:v>42171</c:v>
                </c:pt>
                <c:pt idx="369">
                  <c:v>42172</c:v>
                </c:pt>
                <c:pt idx="370">
                  <c:v>42173</c:v>
                </c:pt>
                <c:pt idx="371">
                  <c:v>42174</c:v>
                </c:pt>
                <c:pt idx="372">
                  <c:v>42177</c:v>
                </c:pt>
                <c:pt idx="373">
                  <c:v>42178</c:v>
                </c:pt>
                <c:pt idx="374">
                  <c:v>42179</c:v>
                </c:pt>
                <c:pt idx="375">
                  <c:v>42180</c:v>
                </c:pt>
                <c:pt idx="376">
                  <c:v>42181</c:v>
                </c:pt>
                <c:pt idx="377">
                  <c:v>42184</c:v>
                </c:pt>
                <c:pt idx="378">
                  <c:v>42185</c:v>
                </c:pt>
                <c:pt idx="379">
                  <c:v>42186</c:v>
                </c:pt>
                <c:pt idx="380">
                  <c:v>42187</c:v>
                </c:pt>
                <c:pt idx="381">
                  <c:v>42188</c:v>
                </c:pt>
                <c:pt idx="382">
                  <c:v>42191</c:v>
                </c:pt>
                <c:pt idx="383">
                  <c:v>42192</c:v>
                </c:pt>
                <c:pt idx="384">
                  <c:v>42193</c:v>
                </c:pt>
                <c:pt idx="385">
                  <c:v>42194</c:v>
                </c:pt>
                <c:pt idx="386">
                  <c:v>42195</c:v>
                </c:pt>
                <c:pt idx="387">
                  <c:v>42198</c:v>
                </c:pt>
                <c:pt idx="388">
                  <c:v>42199</c:v>
                </c:pt>
                <c:pt idx="389">
                  <c:v>42200</c:v>
                </c:pt>
                <c:pt idx="390">
                  <c:v>42201</c:v>
                </c:pt>
                <c:pt idx="391">
                  <c:v>42202</c:v>
                </c:pt>
                <c:pt idx="392">
                  <c:v>42205</c:v>
                </c:pt>
                <c:pt idx="393">
                  <c:v>42206</c:v>
                </c:pt>
                <c:pt idx="394">
                  <c:v>42207</c:v>
                </c:pt>
                <c:pt idx="395">
                  <c:v>42208</c:v>
                </c:pt>
                <c:pt idx="396">
                  <c:v>42209</c:v>
                </c:pt>
                <c:pt idx="397">
                  <c:v>42212</c:v>
                </c:pt>
                <c:pt idx="398">
                  <c:v>42213</c:v>
                </c:pt>
                <c:pt idx="399">
                  <c:v>42214</c:v>
                </c:pt>
                <c:pt idx="400">
                  <c:v>42215</c:v>
                </c:pt>
                <c:pt idx="401">
                  <c:v>42216</c:v>
                </c:pt>
                <c:pt idx="402">
                  <c:v>42219</c:v>
                </c:pt>
                <c:pt idx="403">
                  <c:v>42220</c:v>
                </c:pt>
                <c:pt idx="404">
                  <c:v>42221</c:v>
                </c:pt>
                <c:pt idx="405">
                  <c:v>42222</c:v>
                </c:pt>
                <c:pt idx="406">
                  <c:v>42223</c:v>
                </c:pt>
                <c:pt idx="407">
                  <c:v>42226</c:v>
                </c:pt>
                <c:pt idx="408">
                  <c:v>42227</c:v>
                </c:pt>
                <c:pt idx="409">
                  <c:v>42228</c:v>
                </c:pt>
                <c:pt idx="410">
                  <c:v>42229</c:v>
                </c:pt>
                <c:pt idx="411">
                  <c:v>42230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42240</c:v>
                </c:pt>
                <c:pt idx="418">
                  <c:v>42241</c:v>
                </c:pt>
                <c:pt idx="419">
                  <c:v>42242</c:v>
                </c:pt>
                <c:pt idx="420">
                  <c:v>42243</c:v>
                </c:pt>
                <c:pt idx="421">
                  <c:v>42244</c:v>
                </c:pt>
                <c:pt idx="422">
                  <c:v>42247</c:v>
                </c:pt>
                <c:pt idx="423">
                  <c:v>42248</c:v>
                </c:pt>
                <c:pt idx="424">
                  <c:v>42249</c:v>
                </c:pt>
                <c:pt idx="425">
                  <c:v>42250</c:v>
                </c:pt>
                <c:pt idx="426">
                  <c:v>42251</c:v>
                </c:pt>
                <c:pt idx="427">
                  <c:v>42254</c:v>
                </c:pt>
                <c:pt idx="428">
                  <c:v>42255</c:v>
                </c:pt>
                <c:pt idx="429">
                  <c:v>42256</c:v>
                </c:pt>
                <c:pt idx="430">
                  <c:v>42257</c:v>
                </c:pt>
                <c:pt idx="431">
                  <c:v>42258</c:v>
                </c:pt>
                <c:pt idx="432">
                  <c:v>42261</c:v>
                </c:pt>
                <c:pt idx="433">
                  <c:v>42262</c:v>
                </c:pt>
                <c:pt idx="434">
                  <c:v>42263</c:v>
                </c:pt>
                <c:pt idx="435">
                  <c:v>42264</c:v>
                </c:pt>
                <c:pt idx="436">
                  <c:v>42265</c:v>
                </c:pt>
                <c:pt idx="437">
                  <c:v>42268</c:v>
                </c:pt>
                <c:pt idx="438">
                  <c:v>42269</c:v>
                </c:pt>
                <c:pt idx="439">
                  <c:v>42270</c:v>
                </c:pt>
                <c:pt idx="440">
                  <c:v>42271</c:v>
                </c:pt>
                <c:pt idx="441">
                  <c:v>42272</c:v>
                </c:pt>
                <c:pt idx="442">
                  <c:v>42275</c:v>
                </c:pt>
                <c:pt idx="443">
                  <c:v>42276</c:v>
                </c:pt>
                <c:pt idx="444">
                  <c:v>42277</c:v>
                </c:pt>
                <c:pt idx="445">
                  <c:v>42278</c:v>
                </c:pt>
                <c:pt idx="446">
                  <c:v>42279</c:v>
                </c:pt>
                <c:pt idx="447">
                  <c:v>42282</c:v>
                </c:pt>
                <c:pt idx="448">
                  <c:v>42283</c:v>
                </c:pt>
                <c:pt idx="449">
                  <c:v>42284</c:v>
                </c:pt>
                <c:pt idx="450">
                  <c:v>42285</c:v>
                </c:pt>
                <c:pt idx="451">
                  <c:v>42286</c:v>
                </c:pt>
                <c:pt idx="452">
                  <c:v>42289</c:v>
                </c:pt>
                <c:pt idx="453">
                  <c:v>42290</c:v>
                </c:pt>
                <c:pt idx="454">
                  <c:v>42291</c:v>
                </c:pt>
                <c:pt idx="455">
                  <c:v>42292</c:v>
                </c:pt>
                <c:pt idx="456">
                  <c:v>42293</c:v>
                </c:pt>
                <c:pt idx="457">
                  <c:v>42296</c:v>
                </c:pt>
                <c:pt idx="458">
                  <c:v>42297</c:v>
                </c:pt>
                <c:pt idx="459">
                  <c:v>42298</c:v>
                </c:pt>
                <c:pt idx="460">
                  <c:v>42299</c:v>
                </c:pt>
                <c:pt idx="461">
                  <c:v>42300</c:v>
                </c:pt>
                <c:pt idx="462">
                  <c:v>42303</c:v>
                </c:pt>
                <c:pt idx="463">
                  <c:v>42304</c:v>
                </c:pt>
                <c:pt idx="464">
                  <c:v>42305</c:v>
                </c:pt>
                <c:pt idx="465">
                  <c:v>42306</c:v>
                </c:pt>
                <c:pt idx="466">
                  <c:v>42307</c:v>
                </c:pt>
                <c:pt idx="467">
                  <c:v>42310</c:v>
                </c:pt>
                <c:pt idx="468">
                  <c:v>42311</c:v>
                </c:pt>
                <c:pt idx="469">
                  <c:v>42312</c:v>
                </c:pt>
                <c:pt idx="470">
                  <c:v>42313</c:v>
                </c:pt>
                <c:pt idx="471">
                  <c:v>42314</c:v>
                </c:pt>
                <c:pt idx="472">
                  <c:v>42317</c:v>
                </c:pt>
                <c:pt idx="473">
                  <c:v>42318</c:v>
                </c:pt>
                <c:pt idx="474">
                  <c:v>42319</c:v>
                </c:pt>
                <c:pt idx="475">
                  <c:v>42320</c:v>
                </c:pt>
                <c:pt idx="476">
                  <c:v>42321</c:v>
                </c:pt>
                <c:pt idx="477">
                  <c:v>42324</c:v>
                </c:pt>
                <c:pt idx="478">
                  <c:v>42325</c:v>
                </c:pt>
                <c:pt idx="479">
                  <c:v>42326</c:v>
                </c:pt>
                <c:pt idx="480">
                  <c:v>42327</c:v>
                </c:pt>
                <c:pt idx="481">
                  <c:v>42328</c:v>
                </c:pt>
                <c:pt idx="482">
                  <c:v>42331</c:v>
                </c:pt>
                <c:pt idx="483">
                  <c:v>42332</c:v>
                </c:pt>
                <c:pt idx="484">
                  <c:v>42333</c:v>
                </c:pt>
                <c:pt idx="485">
                  <c:v>42334</c:v>
                </c:pt>
                <c:pt idx="486">
                  <c:v>42335</c:v>
                </c:pt>
                <c:pt idx="487">
                  <c:v>42338</c:v>
                </c:pt>
                <c:pt idx="488">
                  <c:v>42339</c:v>
                </c:pt>
                <c:pt idx="489">
                  <c:v>42340</c:v>
                </c:pt>
                <c:pt idx="490">
                  <c:v>42341</c:v>
                </c:pt>
                <c:pt idx="491">
                  <c:v>42342</c:v>
                </c:pt>
                <c:pt idx="492">
                  <c:v>42345</c:v>
                </c:pt>
                <c:pt idx="493">
                  <c:v>42346</c:v>
                </c:pt>
                <c:pt idx="494">
                  <c:v>42347</c:v>
                </c:pt>
                <c:pt idx="495">
                  <c:v>42348</c:v>
                </c:pt>
                <c:pt idx="496">
                  <c:v>42349</c:v>
                </c:pt>
                <c:pt idx="497">
                  <c:v>42352</c:v>
                </c:pt>
                <c:pt idx="498">
                  <c:v>42353</c:v>
                </c:pt>
                <c:pt idx="499">
                  <c:v>42354</c:v>
                </c:pt>
                <c:pt idx="500">
                  <c:v>42355</c:v>
                </c:pt>
                <c:pt idx="501">
                  <c:v>42356</c:v>
                </c:pt>
                <c:pt idx="502">
                  <c:v>42359</c:v>
                </c:pt>
                <c:pt idx="503">
                  <c:v>42360</c:v>
                </c:pt>
                <c:pt idx="504">
                  <c:v>42361</c:v>
                </c:pt>
                <c:pt idx="505">
                  <c:v>42362</c:v>
                </c:pt>
                <c:pt idx="506">
                  <c:v>42363</c:v>
                </c:pt>
                <c:pt idx="507">
                  <c:v>42366</c:v>
                </c:pt>
                <c:pt idx="508">
                  <c:v>42367</c:v>
                </c:pt>
                <c:pt idx="509">
                  <c:v>42368</c:v>
                </c:pt>
                <c:pt idx="510">
                  <c:v>42369</c:v>
                </c:pt>
                <c:pt idx="511">
                  <c:v>42370</c:v>
                </c:pt>
                <c:pt idx="512">
                  <c:v>42373</c:v>
                </c:pt>
                <c:pt idx="513">
                  <c:v>42374</c:v>
                </c:pt>
                <c:pt idx="514">
                  <c:v>42375</c:v>
                </c:pt>
                <c:pt idx="515">
                  <c:v>42376</c:v>
                </c:pt>
                <c:pt idx="516">
                  <c:v>42377</c:v>
                </c:pt>
                <c:pt idx="517">
                  <c:v>42380</c:v>
                </c:pt>
                <c:pt idx="518">
                  <c:v>42381</c:v>
                </c:pt>
                <c:pt idx="519">
                  <c:v>42382</c:v>
                </c:pt>
                <c:pt idx="520">
                  <c:v>42383</c:v>
                </c:pt>
                <c:pt idx="521">
                  <c:v>42384</c:v>
                </c:pt>
                <c:pt idx="522">
                  <c:v>42388</c:v>
                </c:pt>
                <c:pt idx="523">
                  <c:v>42389</c:v>
                </c:pt>
                <c:pt idx="524">
                  <c:v>42390</c:v>
                </c:pt>
                <c:pt idx="525">
                  <c:v>42391</c:v>
                </c:pt>
                <c:pt idx="526">
                  <c:v>42394</c:v>
                </c:pt>
                <c:pt idx="527">
                  <c:v>42395</c:v>
                </c:pt>
                <c:pt idx="528">
                  <c:v>42396</c:v>
                </c:pt>
                <c:pt idx="529">
                  <c:v>42397</c:v>
                </c:pt>
                <c:pt idx="530">
                  <c:v>42398</c:v>
                </c:pt>
                <c:pt idx="531">
                  <c:v>42401</c:v>
                </c:pt>
                <c:pt idx="532">
                  <c:v>42402</c:v>
                </c:pt>
                <c:pt idx="533">
                  <c:v>42403</c:v>
                </c:pt>
                <c:pt idx="534">
                  <c:v>42404</c:v>
                </c:pt>
                <c:pt idx="535">
                  <c:v>42405</c:v>
                </c:pt>
                <c:pt idx="536">
                  <c:v>42408</c:v>
                </c:pt>
                <c:pt idx="537">
                  <c:v>42409</c:v>
                </c:pt>
                <c:pt idx="538">
                  <c:v>42410</c:v>
                </c:pt>
                <c:pt idx="539">
                  <c:v>42411</c:v>
                </c:pt>
                <c:pt idx="540">
                  <c:v>42412</c:v>
                </c:pt>
                <c:pt idx="541">
                  <c:v>42416</c:v>
                </c:pt>
                <c:pt idx="542">
                  <c:v>42417</c:v>
                </c:pt>
                <c:pt idx="543">
                  <c:v>42418</c:v>
                </c:pt>
                <c:pt idx="544">
                  <c:v>42419</c:v>
                </c:pt>
                <c:pt idx="545">
                  <c:v>42422</c:v>
                </c:pt>
                <c:pt idx="546">
                  <c:v>42423</c:v>
                </c:pt>
                <c:pt idx="547">
                  <c:v>42424</c:v>
                </c:pt>
                <c:pt idx="548">
                  <c:v>42425</c:v>
                </c:pt>
                <c:pt idx="549">
                  <c:v>42426</c:v>
                </c:pt>
                <c:pt idx="550">
                  <c:v>42429</c:v>
                </c:pt>
                <c:pt idx="551">
                  <c:v>42430</c:v>
                </c:pt>
                <c:pt idx="552">
                  <c:v>42431</c:v>
                </c:pt>
                <c:pt idx="553">
                  <c:v>42432</c:v>
                </c:pt>
                <c:pt idx="554">
                  <c:v>42433</c:v>
                </c:pt>
                <c:pt idx="555">
                  <c:v>42436</c:v>
                </c:pt>
                <c:pt idx="556">
                  <c:v>42437</c:v>
                </c:pt>
                <c:pt idx="557">
                  <c:v>42438</c:v>
                </c:pt>
                <c:pt idx="558">
                  <c:v>42439</c:v>
                </c:pt>
                <c:pt idx="559">
                  <c:v>42440</c:v>
                </c:pt>
                <c:pt idx="560">
                  <c:v>42443</c:v>
                </c:pt>
                <c:pt idx="561">
                  <c:v>42444</c:v>
                </c:pt>
                <c:pt idx="562">
                  <c:v>42445</c:v>
                </c:pt>
                <c:pt idx="563">
                  <c:v>42446</c:v>
                </c:pt>
                <c:pt idx="564">
                  <c:v>42447</c:v>
                </c:pt>
                <c:pt idx="565">
                  <c:v>42450</c:v>
                </c:pt>
                <c:pt idx="566">
                  <c:v>42451</c:v>
                </c:pt>
                <c:pt idx="567">
                  <c:v>42452</c:v>
                </c:pt>
                <c:pt idx="568">
                  <c:v>42453</c:v>
                </c:pt>
                <c:pt idx="569">
                  <c:v>42457</c:v>
                </c:pt>
                <c:pt idx="570">
                  <c:v>42458</c:v>
                </c:pt>
                <c:pt idx="571">
                  <c:v>42459</c:v>
                </c:pt>
                <c:pt idx="572">
                  <c:v>42460</c:v>
                </c:pt>
                <c:pt idx="573">
                  <c:v>42461</c:v>
                </c:pt>
                <c:pt idx="574">
                  <c:v>42464</c:v>
                </c:pt>
                <c:pt idx="575">
                  <c:v>42465</c:v>
                </c:pt>
                <c:pt idx="576">
                  <c:v>42466</c:v>
                </c:pt>
                <c:pt idx="577">
                  <c:v>42467</c:v>
                </c:pt>
                <c:pt idx="578">
                  <c:v>42468</c:v>
                </c:pt>
                <c:pt idx="579">
                  <c:v>42471</c:v>
                </c:pt>
                <c:pt idx="580">
                  <c:v>42472</c:v>
                </c:pt>
                <c:pt idx="581">
                  <c:v>42473</c:v>
                </c:pt>
                <c:pt idx="582">
                  <c:v>42474</c:v>
                </c:pt>
                <c:pt idx="583">
                  <c:v>42475</c:v>
                </c:pt>
                <c:pt idx="584">
                  <c:v>42478</c:v>
                </c:pt>
                <c:pt idx="585">
                  <c:v>42479</c:v>
                </c:pt>
                <c:pt idx="586">
                  <c:v>42480</c:v>
                </c:pt>
                <c:pt idx="587">
                  <c:v>42481</c:v>
                </c:pt>
                <c:pt idx="588">
                  <c:v>42482</c:v>
                </c:pt>
                <c:pt idx="589">
                  <c:v>42485</c:v>
                </c:pt>
                <c:pt idx="590">
                  <c:v>42486</c:v>
                </c:pt>
                <c:pt idx="591">
                  <c:v>42487</c:v>
                </c:pt>
                <c:pt idx="592">
                  <c:v>42488</c:v>
                </c:pt>
                <c:pt idx="593">
                  <c:v>42489</c:v>
                </c:pt>
                <c:pt idx="594">
                  <c:v>42492</c:v>
                </c:pt>
                <c:pt idx="595">
                  <c:v>42493</c:v>
                </c:pt>
                <c:pt idx="596">
                  <c:v>42494</c:v>
                </c:pt>
                <c:pt idx="597">
                  <c:v>42495</c:v>
                </c:pt>
                <c:pt idx="598">
                  <c:v>42496</c:v>
                </c:pt>
                <c:pt idx="599">
                  <c:v>42499</c:v>
                </c:pt>
                <c:pt idx="600">
                  <c:v>42500</c:v>
                </c:pt>
                <c:pt idx="601">
                  <c:v>42501</c:v>
                </c:pt>
                <c:pt idx="602">
                  <c:v>42502</c:v>
                </c:pt>
                <c:pt idx="603">
                  <c:v>42503</c:v>
                </c:pt>
                <c:pt idx="604">
                  <c:v>42506</c:v>
                </c:pt>
                <c:pt idx="605">
                  <c:v>42507</c:v>
                </c:pt>
                <c:pt idx="606">
                  <c:v>42508</c:v>
                </c:pt>
                <c:pt idx="607">
                  <c:v>42509</c:v>
                </c:pt>
                <c:pt idx="608">
                  <c:v>42510</c:v>
                </c:pt>
                <c:pt idx="609">
                  <c:v>42513</c:v>
                </c:pt>
                <c:pt idx="610">
                  <c:v>42514</c:v>
                </c:pt>
                <c:pt idx="611">
                  <c:v>42515</c:v>
                </c:pt>
                <c:pt idx="612">
                  <c:v>42516</c:v>
                </c:pt>
                <c:pt idx="613">
                  <c:v>42517</c:v>
                </c:pt>
                <c:pt idx="614">
                  <c:v>42521</c:v>
                </c:pt>
                <c:pt idx="615">
                  <c:v>42522</c:v>
                </c:pt>
                <c:pt idx="616">
                  <c:v>42523</c:v>
                </c:pt>
                <c:pt idx="617">
                  <c:v>42524</c:v>
                </c:pt>
                <c:pt idx="618">
                  <c:v>42527</c:v>
                </c:pt>
                <c:pt idx="619">
                  <c:v>42528</c:v>
                </c:pt>
                <c:pt idx="620">
                  <c:v>42529</c:v>
                </c:pt>
                <c:pt idx="621">
                  <c:v>42530</c:v>
                </c:pt>
                <c:pt idx="622">
                  <c:v>42531</c:v>
                </c:pt>
                <c:pt idx="623">
                  <c:v>42534</c:v>
                </c:pt>
                <c:pt idx="624">
                  <c:v>42535</c:v>
                </c:pt>
                <c:pt idx="625">
                  <c:v>42536</c:v>
                </c:pt>
                <c:pt idx="626">
                  <c:v>42537</c:v>
                </c:pt>
                <c:pt idx="627">
                  <c:v>42538</c:v>
                </c:pt>
                <c:pt idx="628">
                  <c:v>42541</c:v>
                </c:pt>
                <c:pt idx="629">
                  <c:v>42542</c:v>
                </c:pt>
                <c:pt idx="630">
                  <c:v>42543</c:v>
                </c:pt>
                <c:pt idx="631">
                  <c:v>42544</c:v>
                </c:pt>
                <c:pt idx="632">
                  <c:v>42545</c:v>
                </c:pt>
                <c:pt idx="633">
                  <c:v>42548</c:v>
                </c:pt>
                <c:pt idx="634">
                  <c:v>42549</c:v>
                </c:pt>
                <c:pt idx="635">
                  <c:v>42550</c:v>
                </c:pt>
                <c:pt idx="636">
                  <c:v>42551</c:v>
                </c:pt>
                <c:pt idx="637">
                  <c:v>42552</c:v>
                </c:pt>
                <c:pt idx="638">
                  <c:v>42556</c:v>
                </c:pt>
                <c:pt idx="639">
                  <c:v>42557</c:v>
                </c:pt>
                <c:pt idx="640">
                  <c:v>42558</c:v>
                </c:pt>
                <c:pt idx="641">
                  <c:v>42559</c:v>
                </c:pt>
                <c:pt idx="642">
                  <c:v>42562</c:v>
                </c:pt>
                <c:pt idx="643">
                  <c:v>42563</c:v>
                </c:pt>
                <c:pt idx="644">
                  <c:v>42564</c:v>
                </c:pt>
                <c:pt idx="645">
                  <c:v>42565</c:v>
                </c:pt>
                <c:pt idx="646">
                  <c:v>42566</c:v>
                </c:pt>
                <c:pt idx="647">
                  <c:v>42569</c:v>
                </c:pt>
                <c:pt idx="648">
                  <c:v>42570</c:v>
                </c:pt>
                <c:pt idx="649">
                  <c:v>42571</c:v>
                </c:pt>
                <c:pt idx="650">
                  <c:v>42572</c:v>
                </c:pt>
                <c:pt idx="651">
                  <c:v>42573</c:v>
                </c:pt>
                <c:pt idx="652">
                  <c:v>42576</c:v>
                </c:pt>
                <c:pt idx="653">
                  <c:v>42577</c:v>
                </c:pt>
                <c:pt idx="654">
                  <c:v>42578</c:v>
                </c:pt>
                <c:pt idx="655">
                  <c:v>42579</c:v>
                </c:pt>
                <c:pt idx="656">
                  <c:v>42580</c:v>
                </c:pt>
                <c:pt idx="657">
                  <c:v>42583</c:v>
                </c:pt>
                <c:pt idx="658">
                  <c:v>42584</c:v>
                </c:pt>
                <c:pt idx="659">
                  <c:v>42585</c:v>
                </c:pt>
                <c:pt idx="660">
                  <c:v>42586</c:v>
                </c:pt>
                <c:pt idx="661">
                  <c:v>42587</c:v>
                </c:pt>
                <c:pt idx="662">
                  <c:v>42590</c:v>
                </c:pt>
                <c:pt idx="663">
                  <c:v>42591</c:v>
                </c:pt>
                <c:pt idx="664">
                  <c:v>42592</c:v>
                </c:pt>
                <c:pt idx="665">
                  <c:v>42593</c:v>
                </c:pt>
                <c:pt idx="666">
                  <c:v>42594</c:v>
                </c:pt>
                <c:pt idx="667">
                  <c:v>42597</c:v>
                </c:pt>
                <c:pt idx="668">
                  <c:v>42598</c:v>
                </c:pt>
                <c:pt idx="669">
                  <c:v>42599</c:v>
                </c:pt>
                <c:pt idx="670">
                  <c:v>42600</c:v>
                </c:pt>
                <c:pt idx="671">
                  <c:v>42601</c:v>
                </c:pt>
                <c:pt idx="672">
                  <c:v>42604</c:v>
                </c:pt>
                <c:pt idx="673">
                  <c:v>42605</c:v>
                </c:pt>
                <c:pt idx="674">
                  <c:v>42606</c:v>
                </c:pt>
                <c:pt idx="675">
                  <c:v>42607</c:v>
                </c:pt>
                <c:pt idx="676">
                  <c:v>42608</c:v>
                </c:pt>
                <c:pt idx="677">
                  <c:v>42611</c:v>
                </c:pt>
                <c:pt idx="678">
                  <c:v>42612</c:v>
                </c:pt>
                <c:pt idx="679">
                  <c:v>42613</c:v>
                </c:pt>
                <c:pt idx="680">
                  <c:v>42614</c:v>
                </c:pt>
                <c:pt idx="681">
                  <c:v>42615</c:v>
                </c:pt>
                <c:pt idx="682">
                  <c:v>42618</c:v>
                </c:pt>
                <c:pt idx="683">
                  <c:v>42619</c:v>
                </c:pt>
                <c:pt idx="684">
                  <c:v>42620</c:v>
                </c:pt>
                <c:pt idx="685">
                  <c:v>42621</c:v>
                </c:pt>
                <c:pt idx="686">
                  <c:v>42622</c:v>
                </c:pt>
                <c:pt idx="687">
                  <c:v>42625</c:v>
                </c:pt>
                <c:pt idx="688">
                  <c:v>42626</c:v>
                </c:pt>
                <c:pt idx="689">
                  <c:v>42627</c:v>
                </c:pt>
                <c:pt idx="690">
                  <c:v>42628</c:v>
                </c:pt>
                <c:pt idx="691">
                  <c:v>42629</c:v>
                </c:pt>
                <c:pt idx="692">
                  <c:v>42632</c:v>
                </c:pt>
                <c:pt idx="693">
                  <c:v>42633</c:v>
                </c:pt>
                <c:pt idx="694">
                  <c:v>42634</c:v>
                </c:pt>
                <c:pt idx="695">
                  <c:v>42635</c:v>
                </c:pt>
                <c:pt idx="696">
                  <c:v>42636</c:v>
                </c:pt>
                <c:pt idx="697">
                  <c:v>42639</c:v>
                </c:pt>
                <c:pt idx="698">
                  <c:v>42640</c:v>
                </c:pt>
                <c:pt idx="699">
                  <c:v>42641</c:v>
                </c:pt>
                <c:pt idx="700">
                  <c:v>42642</c:v>
                </c:pt>
                <c:pt idx="701">
                  <c:v>42643</c:v>
                </c:pt>
                <c:pt idx="702">
                  <c:v>42646</c:v>
                </c:pt>
                <c:pt idx="703">
                  <c:v>42647</c:v>
                </c:pt>
                <c:pt idx="704">
                  <c:v>42648</c:v>
                </c:pt>
                <c:pt idx="705">
                  <c:v>42649</c:v>
                </c:pt>
                <c:pt idx="706">
                  <c:v>42650</c:v>
                </c:pt>
                <c:pt idx="707">
                  <c:v>42653</c:v>
                </c:pt>
                <c:pt idx="708">
                  <c:v>42654</c:v>
                </c:pt>
                <c:pt idx="709">
                  <c:v>42655</c:v>
                </c:pt>
                <c:pt idx="710">
                  <c:v>42656</c:v>
                </c:pt>
                <c:pt idx="711">
                  <c:v>42657</c:v>
                </c:pt>
                <c:pt idx="712">
                  <c:v>42660</c:v>
                </c:pt>
                <c:pt idx="713">
                  <c:v>42661</c:v>
                </c:pt>
                <c:pt idx="714">
                  <c:v>42662</c:v>
                </c:pt>
                <c:pt idx="715">
                  <c:v>42663</c:v>
                </c:pt>
                <c:pt idx="716">
                  <c:v>42664</c:v>
                </c:pt>
                <c:pt idx="717">
                  <c:v>42667</c:v>
                </c:pt>
                <c:pt idx="718">
                  <c:v>42668</c:v>
                </c:pt>
                <c:pt idx="719">
                  <c:v>42669</c:v>
                </c:pt>
                <c:pt idx="720">
                  <c:v>42670</c:v>
                </c:pt>
                <c:pt idx="721">
                  <c:v>42671</c:v>
                </c:pt>
                <c:pt idx="722">
                  <c:v>42674</c:v>
                </c:pt>
                <c:pt idx="723">
                  <c:v>42675</c:v>
                </c:pt>
                <c:pt idx="724">
                  <c:v>42676</c:v>
                </c:pt>
                <c:pt idx="725">
                  <c:v>42677</c:v>
                </c:pt>
                <c:pt idx="726">
                  <c:v>42678</c:v>
                </c:pt>
                <c:pt idx="727">
                  <c:v>42681</c:v>
                </c:pt>
                <c:pt idx="728">
                  <c:v>42682</c:v>
                </c:pt>
                <c:pt idx="729">
                  <c:v>42683</c:v>
                </c:pt>
                <c:pt idx="730">
                  <c:v>42684</c:v>
                </c:pt>
                <c:pt idx="731">
                  <c:v>42685</c:v>
                </c:pt>
                <c:pt idx="732">
                  <c:v>42688</c:v>
                </c:pt>
                <c:pt idx="733">
                  <c:v>42689</c:v>
                </c:pt>
                <c:pt idx="734">
                  <c:v>42690</c:v>
                </c:pt>
                <c:pt idx="735">
                  <c:v>42691</c:v>
                </c:pt>
                <c:pt idx="736">
                  <c:v>42692</c:v>
                </c:pt>
                <c:pt idx="737">
                  <c:v>42695</c:v>
                </c:pt>
                <c:pt idx="738">
                  <c:v>42696</c:v>
                </c:pt>
                <c:pt idx="739">
                  <c:v>42697</c:v>
                </c:pt>
                <c:pt idx="740">
                  <c:v>42698</c:v>
                </c:pt>
                <c:pt idx="741">
                  <c:v>42699</c:v>
                </c:pt>
                <c:pt idx="742">
                  <c:v>42702</c:v>
                </c:pt>
                <c:pt idx="743">
                  <c:v>42703</c:v>
                </c:pt>
                <c:pt idx="744">
                  <c:v>42704</c:v>
                </c:pt>
                <c:pt idx="745">
                  <c:v>42705</c:v>
                </c:pt>
                <c:pt idx="746">
                  <c:v>42706</c:v>
                </c:pt>
                <c:pt idx="747">
                  <c:v>42709</c:v>
                </c:pt>
                <c:pt idx="748">
                  <c:v>42710</c:v>
                </c:pt>
                <c:pt idx="749">
                  <c:v>42711</c:v>
                </c:pt>
                <c:pt idx="750">
                  <c:v>42712</c:v>
                </c:pt>
                <c:pt idx="751">
                  <c:v>42713</c:v>
                </c:pt>
                <c:pt idx="752">
                  <c:v>42716</c:v>
                </c:pt>
                <c:pt idx="753">
                  <c:v>42717</c:v>
                </c:pt>
                <c:pt idx="754">
                  <c:v>42718</c:v>
                </c:pt>
                <c:pt idx="755">
                  <c:v>42719</c:v>
                </c:pt>
                <c:pt idx="756">
                  <c:v>42720</c:v>
                </c:pt>
                <c:pt idx="757">
                  <c:v>42723</c:v>
                </c:pt>
                <c:pt idx="758">
                  <c:v>42724</c:v>
                </c:pt>
                <c:pt idx="759">
                  <c:v>42725</c:v>
                </c:pt>
                <c:pt idx="760">
                  <c:v>42726</c:v>
                </c:pt>
                <c:pt idx="761">
                  <c:v>42727</c:v>
                </c:pt>
                <c:pt idx="762">
                  <c:v>42731</c:v>
                </c:pt>
                <c:pt idx="763">
                  <c:v>42732</c:v>
                </c:pt>
                <c:pt idx="764">
                  <c:v>42733</c:v>
                </c:pt>
                <c:pt idx="765">
                  <c:v>42734</c:v>
                </c:pt>
                <c:pt idx="766">
                  <c:v>42738</c:v>
                </c:pt>
                <c:pt idx="767">
                  <c:v>42739</c:v>
                </c:pt>
                <c:pt idx="768">
                  <c:v>42740</c:v>
                </c:pt>
                <c:pt idx="769">
                  <c:v>42741</c:v>
                </c:pt>
                <c:pt idx="770">
                  <c:v>42744</c:v>
                </c:pt>
                <c:pt idx="771">
                  <c:v>42745</c:v>
                </c:pt>
                <c:pt idx="772">
                  <c:v>42746</c:v>
                </c:pt>
                <c:pt idx="773">
                  <c:v>42747</c:v>
                </c:pt>
                <c:pt idx="774">
                  <c:v>42748</c:v>
                </c:pt>
                <c:pt idx="775">
                  <c:v>42752</c:v>
                </c:pt>
                <c:pt idx="776">
                  <c:v>42753</c:v>
                </c:pt>
                <c:pt idx="777">
                  <c:v>42754</c:v>
                </c:pt>
                <c:pt idx="778">
                  <c:v>42755</c:v>
                </c:pt>
                <c:pt idx="779">
                  <c:v>42758</c:v>
                </c:pt>
                <c:pt idx="780">
                  <c:v>42759</c:v>
                </c:pt>
                <c:pt idx="781">
                  <c:v>42760</c:v>
                </c:pt>
                <c:pt idx="782">
                  <c:v>42761</c:v>
                </c:pt>
                <c:pt idx="783">
                  <c:v>42762</c:v>
                </c:pt>
                <c:pt idx="784">
                  <c:v>42765</c:v>
                </c:pt>
                <c:pt idx="785">
                  <c:v>42766</c:v>
                </c:pt>
                <c:pt idx="786">
                  <c:v>42767</c:v>
                </c:pt>
                <c:pt idx="787">
                  <c:v>42768</c:v>
                </c:pt>
                <c:pt idx="788">
                  <c:v>42769</c:v>
                </c:pt>
                <c:pt idx="789">
                  <c:v>42772</c:v>
                </c:pt>
                <c:pt idx="790">
                  <c:v>42773</c:v>
                </c:pt>
                <c:pt idx="791">
                  <c:v>42774</c:v>
                </c:pt>
                <c:pt idx="792">
                  <c:v>42775</c:v>
                </c:pt>
                <c:pt idx="793">
                  <c:v>42776</c:v>
                </c:pt>
                <c:pt idx="794">
                  <c:v>42779</c:v>
                </c:pt>
                <c:pt idx="795">
                  <c:v>42780</c:v>
                </c:pt>
                <c:pt idx="796">
                  <c:v>42781</c:v>
                </c:pt>
                <c:pt idx="797">
                  <c:v>42782</c:v>
                </c:pt>
                <c:pt idx="798">
                  <c:v>42783</c:v>
                </c:pt>
                <c:pt idx="799">
                  <c:v>42787</c:v>
                </c:pt>
                <c:pt idx="800">
                  <c:v>42788</c:v>
                </c:pt>
                <c:pt idx="801">
                  <c:v>42789</c:v>
                </c:pt>
                <c:pt idx="802">
                  <c:v>42790</c:v>
                </c:pt>
                <c:pt idx="803">
                  <c:v>42793</c:v>
                </c:pt>
                <c:pt idx="804">
                  <c:v>42794</c:v>
                </c:pt>
                <c:pt idx="805">
                  <c:v>42795</c:v>
                </c:pt>
                <c:pt idx="806">
                  <c:v>42796</c:v>
                </c:pt>
                <c:pt idx="807">
                  <c:v>42797</c:v>
                </c:pt>
                <c:pt idx="808">
                  <c:v>42800</c:v>
                </c:pt>
                <c:pt idx="809">
                  <c:v>42801</c:v>
                </c:pt>
                <c:pt idx="810">
                  <c:v>42802</c:v>
                </c:pt>
                <c:pt idx="811">
                  <c:v>42803</c:v>
                </c:pt>
                <c:pt idx="812">
                  <c:v>42804</c:v>
                </c:pt>
                <c:pt idx="813">
                  <c:v>42807</c:v>
                </c:pt>
                <c:pt idx="814">
                  <c:v>42808</c:v>
                </c:pt>
                <c:pt idx="815">
                  <c:v>42809</c:v>
                </c:pt>
                <c:pt idx="816">
                  <c:v>42810</c:v>
                </c:pt>
                <c:pt idx="817">
                  <c:v>42811</c:v>
                </c:pt>
                <c:pt idx="818">
                  <c:v>42814</c:v>
                </c:pt>
                <c:pt idx="819">
                  <c:v>42815</c:v>
                </c:pt>
                <c:pt idx="820">
                  <c:v>42816</c:v>
                </c:pt>
                <c:pt idx="821">
                  <c:v>42817</c:v>
                </c:pt>
                <c:pt idx="822">
                  <c:v>42818</c:v>
                </c:pt>
                <c:pt idx="823">
                  <c:v>42821</c:v>
                </c:pt>
                <c:pt idx="824">
                  <c:v>42822</c:v>
                </c:pt>
                <c:pt idx="825">
                  <c:v>42823</c:v>
                </c:pt>
                <c:pt idx="826">
                  <c:v>42824</c:v>
                </c:pt>
                <c:pt idx="827">
                  <c:v>42825</c:v>
                </c:pt>
                <c:pt idx="828">
                  <c:v>42828</c:v>
                </c:pt>
                <c:pt idx="829">
                  <c:v>42829</c:v>
                </c:pt>
                <c:pt idx="830">
                  <c:v>42830</c:v>
                </c:pt>
                <c:pt idx="831">
                  <c:v>42831</c:v>
                </c:pt>
                <c:pt idx="832">
                  <c:v>42832</c:v>
                </c:pt>
                <c:pt idx="833">
                  <c:v>42835</c:v>
                </c:pt>
                <c:pt idx="834">
                  <c:v>42836</c:v>
                </c:pt>
                <c:pt idx="835">
                  <c:v>42837</c:v>
                </c:pt>
                <c:pt idx="836">
                  <c:v>42838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42849</c:v>
                </c:pt>
                <c:pt idx="843">
                  <c:v>42850</c:v>
                </c:pt>
                <c:pt idx="844">
                  <c:v>42851</c:v>
                </c:pt>
                <c:pt idx="845">
                  <c:v>42852</c:v>
                </c:pt>
                <c:pt idx="846">
                  <c:v>42853</c:v>
                </c:pt>
                <c:pt idx="847">
                  <c:v>42856</c:v>
                </c:pt>
                <c:pt idx="848">
                  <c:v>42857</c:v>
                </c:pt>
                <c:pt idx="849">
                  <c:v>42858</c:v>
                </c:pt>
                <c:pt idx="850">
                  <c:v>42859</c:v>
                </c:pt>
                <c:pt idx="851">
                  <c:v>42860</c:v>
                </c:pt>
                <c:pt idx="852">
                  <c:v>42863</c:v>
                </c:pt>
                <c:pt idx="853">
                  <c:v>42864</c:v>
                </c:pt>
                <c:pt idx="854">
                  <c:v>42865</c:v>
                </c:pt>
                <c:pt idx="855">
                  <c:v>42866</c:v>
                </c:pt>
                <c:pt idx="856">
                  <c:v>42867</c:v>
                </c:pt>
                <c:pt idx="857">
                  <c:v>42870</c:v>
                </c:pt>
                <c:pt idx="858">
                  <c:v>42871</c:v>
                </c:pt>
                <c:pt idx="859">
                  <c:v>42872</c:v>
                </c:pt>
                <c:pt idx="860">
                  <c:v>42873</c:v>
                </c:pt>
                <c:pt idx="861">
                  <c:v>42874</c:v>
                </c:pt>
                <c:pt idx="862">
                  <c:v>42877</c:v>
                </c:pt>
                <c:pt idx="863">
                  <c:v>42878</c:v>
                </c:pt>
                <c:pt idx="864">
                  <c:v>42879</c:v>
                </c:pt>
                <c:pt idx="865">
                  <c:v>42880</c:v>
                </c:pt>
                <c:pt idx="866">
                  <c:v>42881</c:v>
                </c:pt>
                <c:pt idx="867">
                  <c:v>42885</c:v>
                </c:pt>
                <c:pt idx="868">
                  <c:v>42886</c:v>
                </c:pt>
                <c:pt idx="869">
                  <c:v>42887</c:v>
                </c:pt>
                <c:pt idx="870">
                  <c:v>42888</c:v>
                </c:pt>
                <c:pt idx="871">
                  <c:v>42891</c:v>
                </c:pt>
                <c:pt idx="872">
                  <c:v>42892</c:v>
                </c:pt>
                <c:pt idx="873">
                  <c:v>42893</c:v>
                </c:pt>
                <c:pt idx="874">
                  <c:v>42894</c:v>
                </c:pt>
                <c:pt idx="875">
                  <c:v>42895</c:v>
                </c:pt>
                <c:pt idx="876">
                  <c:v>42898</c:v>
                </c:pt>
                <c:pt idx="877">
                  <c:v>42899</c:v>
                </c:pt>
                <c:pt idx="878">
                  <c:v>42900</c:v>
                </c:pt>
                <c:pt idx="879">
                  <c:v>42901</c:v>
                </c:pt>
                <c:pt idx="880">
                  <c:v>42902</c:v>
                </c:pt>
                <c:pt idx="881">
                  <c:v>42905</c:v>
                </c:pt>
                <c:pt idx="882">
                  <c:v>42906</c:v>
                </c:pt>
                <c:pt idx="883">
                  <c:v>42907</c:v>
                </c:pt>
                <c:pt idx="884">
                  <c:v>42908</c:v>
                </c:pt>
                <c:pt idx="885">
                  <c:v>42909</c:v>
                </c:pt>
                <c:pt idx="886">
                  <c:v>42912</c:v>
                </c:pt>
                <c:pt idx="887">
                  <c:v>42913</c:v>
                </c:pt>
                <c:pt idx="888">
                  <c:v>42914</c:v>
                </c:pt>
                <c:pt idx="889">
                  <c:v>42915</c:v>
                </c:pt>
                <c:pt idx="890">
                  <c:v>42916</c:v>
                </c:pt>
                <c:pt idx="891">
                  <c:v>42919</c:v>
                </c:pt>
                <c:pt idx="892">
                  <c:v>42921</c:v>
                </c:pt>
                <c:pt idx="893">
                  <c:v>42922</c:v>
                </c:pt>
                <c:pt idx="894">
                  <c:v>42923</c:v>
                </c:pt>
                <c:pt idx="895">
                  <c:v>42926</c:v>
                </c:pt>
                <c:pt idx="896">
                  <c:v>42927</c:v>
                </c:pt>
                <c:pt idx="897">
                  <c:v>42928</c:v>
                </c:pt>
                <c:pt idx="898">
                  <c:v>42929</c:v>
                </c:pt>
                <c:pt idx="899">
                  <c:v>42930</c:v>
                </c:pt>
                <c:pt idx="900">
                  <c:v>42933</c:v>
                </c:pt>
                <c:pt idx="901">
                  <c:v>42934</c:v>
                </c:pt>
                <c:pt idx="902">
                  <c:v>42935</c:v>
                </c:pt>
                <c:pt idx="903">
                  <c:v>42936</c:v>
                </c:pt>
                <c:pt idx="904">
                  <c:v>42937</c:v>
                </c:pt>
                <c:pt idx="905">
                  <c:v>42940</c:v>
                </c:pt>
                <c:pt idx="906">
                  <c:v>42941</c:v>
                </c:pt>
                <c:pt idx="907">
                  <c:v>42942</c:v>
                </c:pt>
                <c:pt idx="908">
                  <c:v>42943</c:v>
                </c:pt>
                <c:pt idx="909">
                  <c:v>42944</c:v>
                </c:pt>
                <c:pt idx="910">
                  <c:v>42947</c:v>
                </c:pt>
                <c:pt idx="911">
                  <c:v>42948</c:v>
                </c:pt>
                <c:pt idx="912">
                  <c:v>42949</c:v>
                </c:pt>
                <c:pt idx="913">
                  <c:v>42950</c:v>
                </c:pt>
                <c:pt idx="914">
                  <c:v>42951</c:v>
                </c:pt>
                <c:pt idx="915">
                  <c:v>42954</c:v>
                </c:pt>
                <c:pt idx="916">
                  <c:v>42955</c:v>
                </c:pt>
                <c:pt idx="917">
                  <c:v>42956</c:v>
                </c:pt>
                <c:pt idx="918">
                  <c:v>42957</c:v>
                </c:pt>
                <c:pt idx="919">
                  <c:v>42958</c:v>
                </c:pt>
                <c:pt idx="920">
                  <c:v>42961</c:v>
                </c:pt>
                <c:pt idx="921">
                  <c:v>42962</c:v>
                </c:pt>
                <c:pt idx="922">
                  <c:v>42963</c:v>
                </c:pt>
                <c:pt idx="923">
                  <c:v>42964</c:v>
                </c:pt>
                <c:pt idx="924">
                  <c:v>42965</c:v>
                </c:pt>
                <c:pt idx="925">
                  <c:v>42968</c:v>
                </c:pt>
                <c:pt idx="926">
                  <c:v>42969</c:v>
                </c:pt>
                <c:pt idx="927">
                  <c:v>42970</c:v>
                </c:pt>
                <c:pt idx="928">
                  <c:v>42971</c:v>
                </c:pt>
                <c:pt idx="929">
                  <c:v>42972</c:v>
                </c:pt>
                <c:pt idx="930">
                  <c:v>42975</c:v>
                </c:pt>
                <c:pt idx="931">
                  <c:v>42976</c:v>
                </c:pt>
                <c:pt idx="932">
                  <c:v>42977</c:v>
                </c:pt>
                <c:pt idx="933">
                  <c:v>42978</c:v>
                </c:pt>
                <c:pt idx="934">
                  <c:v>42979</c:v>
                </c:pt>
                <c:pt idx="935">
                  <c:v>42983</c:v>
                </c:pt>
                <c:pt idx="936">
                  <c:v>42984</c:v>
                </c:pt>
                <c:pt idx="937">
                  <c:v>42985</c:v>
                </c:pt>
                <c:pt idx="938">
                  <c:v>42986</c:v>
                </c:pt>
                <c:pt idx="939">
                  <c:v>42989</c:v>
                </c:pt>
                <c:pt idx="940">
                  <c:v>42990</c:v>
                </c:pt>
                <c:pt idx="941">
                  <c:v>42991</c:v>
                </c:pt>
                <c:pt idx="942">
                  <c:v>42992</c:v>
                </c:pt>
                <c:pt idx="943">
                  <c:v>42993</c:v>
                </c:pt>
                <c:pt idx="944">
                  <c:v>42996</c:v>
                </c:pt>
                <c:pt idx="945">
                  <c:v>42997</c:v>
                </c:pt>
                <c:pt idx="946">
                  <c:v>42998</c:v>
                </c:pt>
                <c:pt idx="947">
                  <c:v>42999</c:v>
                </c:pt>
                <c:pt idx="948">
                  <c:v>43000</c:v>
                </c:pt>
                <c:pt idx="949">
                  <c:v>43003</c:v>
                </c:pt>
                <c:pt idx="950">
                  <c:v>43004</c:v>
                </c:pt>
                <c:pt idx="951">
                  <c:v>43005</c:v>
                </c:pt>
                <c:pt idx="952">
                  <c:v>43006</c:v>
                </c:pt>
                <c:pt idx="953">
                  <c:v>43007</c:v>
                </c:pt>
                <c:pt idx="954">
                  <c:v>43010</c:v>
                </c:pt>
                <c:pt idx="955">
                  <c:v>43011</c:v>
                </c:pt>
                <c:pt idx="956">
                  <c:v>43012</c:v>
                </c:pt>
                <c:pt idx="957">
                  <c:v>43013</c:v>
                </c:pt>
                <c:pt idx="958">
                  <c:v>43014</c:v>
                </c:pt>
                <c:pt idx="959">
                  <c:v>43017</c:v>
                </c:pt>
                <c:pt idx="960">
                  <c:v>43018</c:v>
                </c:pt>
                <c:pt idx="961">
                  <c:v>43019</c:v>
                </c:pt>
                <c:pt idx="962">
                  <c:v>43020</c:v>
                </c:pt>
                <c:pt idx="963">
                  <c:v>43021</c:v>
                </c:pt>
                <c:pt idx="964">
                  <c:v>43024</c:v>
                </c:pt>
                <c:pt idx="965">
                  <c:v>43025</c:v>
                </c:pt>
                <c:pt idx="966">
                  <c:v>43026</c:v>
                </c:pt>
                <c:pt idx="967">
                  <c:v>43027</c:v>
                </c:pt>
                <c:pt idx="968">
                  <c:v>43028</c:v>
                </c:pt>
                <c:pt idx="969">
                  <c:v>43031</c:v>
                </c:pt>
                <c:pt idx="970">
                  <c:v>43032</c:v>
                </c:pt>
                <c:pt idx="971">
                  <c:v>43033</c:v>
                </c:pt>
                <c:pt idx="972">
                  <c:v>43034</c:v>
                </c:pt>
                <c:pt idx="973">
                  <c:v>43035</c:v>
                </c:pt>
                <c:pt idx="974">
                  <c:v>43038</c:v>
                </c:pt>
                <c:pt idx="975">
                  <c:v>43039</c:v>
                </c:pt>
                <c:pt idx="976">
                  <c:v>43040</c:v>
                </c:pt>
                <c:pt idx="977">
                  <c:v>43041</c:v>
                </c:pt>
                <c:pt idx="978">
                  <c:v>43042</c:v>
                </c:pt>
                <c:pt idx="979">
                  <c:v>43045</c:v>
                </c:pt>
                <c:pt idx="980">
                  <c:v>43046</c:v>
                </c:pt>
                <c:pt idx="981">
                  <c:v>43047</c:v>
                </c:pt>
                <c:pt idx="982">
                  <c:v>43048</c:v>
                </c:pt>
                <c:pt idx="983">
                  <c:v>43049</c:v>
                </c:pt>
                <c:pt idx="984">
                  <c:v>43052</c:v>
                </c:pt>
                <c:pt idx="985">
                  <c:v>43053</c:v>
                </c:pt>
                <c:pt idx="986">
                  <c:v>43054</c:v>
                </c:pt>
                <c:pt idx="987">
                  <c:v>43055</c:v>
                </c:pt>
                <c:pt idx="988">
                  <c:v>43056</c:v>
                </c:pt>
                <c:pt idx="989">
                  <c:v>43059</c:v>
                </c:pt>
                <c:pt idx="990">
                  <c:v>43060</c:v>
                </c:pt>
                <c:pt idx="991">
                  <c:v>43061</c:v>
                </c:pt>
                <c:pt idx="992">
                  <c:v>43063</c:v>
                </c:pt>
                <c:pt idx="993">
                  <c:v>43066</c:v>
                </c:pt>
                <c:pt idx="994">
                  <c:v>43067</c:v>
                </c:pt>
                <c:pt idx="995">
                  <c:v>43068</c:v>
                </c:pt>
                <c:pt idx="996">
                  <c:v>43069</c:v>
                </c:pt>
                <c:pt idx="997">
                  <c:v>43070</c:v>
                </c:pt>
                <c:pt idx="998">
                  <c:v>43073</c:v>
                </c:pt>
                <c:pt idx="999">
                  <c:v>43074</c:v>
                </c:pt>
                <c:pt idx="1000">
                  <c:v>43075</c:v>
                </c:pt>
                <c:pt idx="1001">
                  <c:v>43076</c:v>
                </c:pt>
                <c:pt idx="1002">
                  <c:v>43077</c:v>
                </c:pt>
                <c:pt idx="1003">
                  <c:v>43080</c:v>
                </c:pt>
                <c:pt idx="1004">
                  <c:v>43081</c:v>
                </c:pt>
                <c:pt idx="1005">
                  <c:v>43082</c:v>
                </c:pt>
                <c:pt idx="1006">
                  <c:v>43083</c:v>
                </c:pt>
                <c:pt idx="1007">
                  <c:v>43084</c:v>
                </c:pt>
                <c:pt idx="1008">
                  <c:v>43087</c:v>
                </c:pt>
                <c:pt idx="1009">
                  <c:v>43088</c:v>
                </c:pt>
                <c:pt idx="1010">
                  <c:v>43089</c:v>
                </c:pt>
                <c:pt idx="1011">
                  <c:v>43090</c:v>
                </c:pt>
                <c:pt idx="1012">
                  <c:v>43091</c:v>
                </c:pt>
                <c:pt idx="1013">
                  <c:v>43095</c:v>
                </c:pt>
                <c:pt idx="1014">
                  <c:v>43096</c:v>
                </c:pt>
                <c:pt idx="1015">
                  <c:v>43097</c:v>
                </c:pt>
                <c:pt idx="1016">
                  <c:v>43098</c:v>
                </c:pt>
                <c:pt idx="1017">
                  <c:v>43102</c:v>
                </c:pt>
                <c:pt idx="1018">
                  <c:v>43103</c:v>
                </c:pt>
                <c:pt idx="1019">
                  <c:v>43104</c:v>
                </c:pt>
                <c:pt idx="1020">
                  <c:v>43105</c:v>
                </c:pt>
                <c:pt idx="1021">
                  <c:v>43108</c:v>
                </c:pt>
                <c:pt idx="1022">
                  <c:v>43109</c:v>
                </c:pt>
                <c:pt idx="1023">
                  <c:v>43110</c:v>
                </c:pt>
                <c:pt idx="1024">
                  <c:v>43111</c:v>
                </c:pt>
                <c:pt idx="1025">
                  <c:v>43112</c:v>
                </c:pt>
                <c:pt idx="1026">
                  <c:v>43116</c:v>
                </c:pt>
                <c:pt idx="1027">
                  <c:v>43117</c:v>
                </c:pt>
                <c:pt idx="1028">
                  <c:v>43118</c:v>
                </c:pt>
                <c:pt idx="1029">
                  <c:v>43119</c:v>
                </c:pt>
                <c:pt idx="1030">
                  <c:v>43122</c:v>
                </c:pt>
                <c:pt idx="1031">
                  <c:v>43123</c:v>
                </c:pt>
                <c:pt idx="1032">
                  <c:v>43124</c:v>
                </c:pt>
                <c:pt idx="1033">
                  <c:v>43125</c:v>
                </c:pt>
                <c:pt idx="1034">
                  <c:v>43126</c:v>
                </c:pt>
                <c:pt idx="1035">
                  <c:v>43129</c:v>
                </c:pt>
                <c:pt idx="1036">
                  <c:v>43130</c:v>
                </c:pt>
                <c:pt idx="1037">
                  <c:v>43131</c:v>
                </c:pt>
                <c:pt idx="1038">
                  <c:v>43132</c:v>
                </c:pt>
                <c:pt idx="1039">
                  <c:v>43133</c:v>
                </c:pt>
                <c:pt idx="1040">
                  <c:v>43136</c:v>
                </c:pt>
                <c:pt idx="1041">
                  <c:v>43137</c:v>
                </c:pt>
                <c:pt idx="1042">
                  <c:v>43138</c:v>
                </c:pt>
                <c:pt idx="1043">
                  <c:v>43139</c:v>
                </c:pt>
                <c:pt idx="1044">
                  <c:v>43140</c:v>
                </c:pt>
                <c:pt idx="1045">
                  <c:v>43143</c:v>
                </c:pt>
                <c:pt idx="1046">
                  <c:v>43144</c:v>
                </c:pt>
                <c:pt idx="1047">
                  <c:v>43145</c:v>
                </c:pt>
                <c:pt idx="1048">
                  <c:v>43146</c:v>
                </c:pt>
                <c:pt idx="1049">
                  <c:v>43147</c:v>
                </c:pt>
                <c:pt idx="1050">
                  <c:v>43151</c:v>
                </c:pt>
                <c:pt idx="1051">
                  <c:v>43152</c:v>
                </c:pt>
                <c:pt idx="1052">
                  <c:v>43153</c:v>
                </c:pt>
                <c:pt idx="1053">
                  <c:v>43154</c:v>
                </c:pt>
                <c:pt idx="1054">
                  <c:v>43157</c:v>
                </c:pt>
                <c:pt idx="1055">
                  <c:v>43158</c:v>
                </c:pt>
                <c:pt idx="1056">
                  <c:v>43159</c:v>
                </c:pt>
                <c:pt idx="1057">
                  <c:v>43160</c:v>
                </c:pt>
                <c:pt idx="1058">
                  <c:v>43161</c:v>
                </c:pt>
                <c:pt idx="1059">
                  <c:v>43164</c:v>
                </c:pt>
                <c:pt idx="1060">
                  <c:v>43165</c:v>
                </c:pt>
                <c:pt idx="1061">
                  <c:v>43166</c:v>
                </c:pt>
                <c:pt idx="1062">
                  <c:v>43167</c:v>
                </c:pt>
                <c:pt idx="1063">
                  <c:v>43168</c:v>
                </c:pt>
                <c:pt idx="1064">
                  <c:v>43171</c:v>
                </c:pt>
                <c:pt idx="1065">
                  <c:v>43172</c:v>
                </c:pt>
                <c:pt idx="1066">
                  <c:v>43173</c:v>
                </c:pt>
                <c:pt idx="1067">
                  <c:v>43174</c:v>
                </c:pt>
                <c:pt idx="1068">
                  <c:v>43175</c:v>
                </c:pt>
                <c:pt idx="1069">
                  <c:v>43178</c:v>
                </c:pt>
                <c:pt idx="1070">
                  <c:v>43179</c:v>
                </c:pt>
                <c:pt idx="1071">
                  <c:v>43180</c:v>
                </c:pt>
                <c:pt idx="1072">
                  <c:v>43181</c:v>
                </c:pt>
                <c:pt idx="1073">
                  <c:v>43182</c:v>
                </c:pt>
                <c:pt idx="1074">
                  <c:v>43185</c:v>
                </c:pt>
                <c:pt idx="1075">
                  <c:v>43186</c:v>
                </c:pt>
                <c:pt idx="1076">
                  <c:v>43187</c:v>
                </c:pt>
                <c:pt idx="1077">
                  <c:v>43188</c:v>
                </c:pt>
                <c:pt idx="1078">
                  <c:v>43192</c:v>
                </c:pt>
              </c:numCache>
            </c:numRef>
          </c:cat>
          <c:val>
            <c:numRef>
              <c:f>'WTI CRUDE OIL SPOT PRICE  '!$C$2:$C$1080</c:f>
              <c:numCache>
                <c:formatCode>0.00%</c:formatCode>
                <c:ptCount val="1079"/>
                <c:pt idx="0">
                  <c:v>0</c:v>
                </c:pt>
                <c:pt idx="1">
                  <c:v>-1.5556022703384527E-2</c:v>
                </c:pt>
                <c:pt idx="2">
                  <c:v>-5.7655349135168916E-3</c:v>
                </c:pt>
                <c:pt idx="3">
                  <c:v>2.0403780068728276E-3</c:v>
                </c:pt>
                <c:pt idx="4">
                  <c:v>-1.5110920587289642E-2</c:v>
                </c:pt>
                <c:pt idx="5">
                  <c:v>-5.8759521218716675E-3</c:v>
                </c:pt>
                <c:pt idx="6">
                  <c:v>1.1274080560420327E-2</c:v>
                </c:pt>
                <c:pt idx="7">
                  <c:v>-1.0174261283688686E-2</c:v>
                </c:pt>
                <c:pt idx="8">
                  <c:v>7.6544559868781063E-3</c:v>
                </c:pt>
                <c:pt idx="9">
                  <c:v>1.7688551275094902E-2</c:v>
                </c:pt>
                <c:pt idx="10">
                  <c:v>-2.559181062060086E-3</c:v>
                </c:pt>
                <c:pt idx="11">
                  <c:v>4.4900577293135284E-3</c:v>
                </c:pt>
                <c:pt idx="12">
                  <c:v>5.8535547041295381E-3</c:v>
                </c:pt>
                <c:pt idx="13">
                  <c:v>1.9468839276266945E-2</c:v>
                </c:pt>
                <c:pt idx="14">
                  <c:v>9.1333679294240758E-3</c:v>
                </c:pt>
                <c:pt idx="15">
                  <c:v>-5.8623881518050742E-3</c:v>
                </c:pt>
                <c:pt idx="16">
                  <c:v>-8.6902545003104022E-3</c:v>
                </c:pt>
                <c:pt idx="17">
                  <c:v>1.7428511792945123E-2</c:v>
                </c:pt>
                <c:pt idx="18">
                  <c:v>-1.5386193455738176E-3</c:v>
                </c:pt>
                <c:pt idx="19">
                  <c:v>9.3486747483048759E-3</c:v>
                </c:pt>
                <c:pt idx="20">
                  <c:v>-7.1246819338422682E-3</c:v>
                </c:pt>
                <c:pt idx="21">
                  <c:v>-1.1378780112762681E-2</c:v>
                </c:pt>
                <c:pt idx="22">
                  <c:v>8.2953131480713108E-3</c:v>
                </c:pt>
                <c:pt idx="23">
                  <c:v>1.6454134101194036E-3</c:v>
                </c:pt>
                <c:pt idx="24">
                  <c:v>4.5174537987679435E-3</c:v>
                </c:pt>
                <c:pt idx="25">
                  <c:v>2.1872444807849556E-2</c:v>
                </c:pt>
                <c:pt idx="26">
                  <c:v>1.4002800560112079E-3</c:v>
                </c:pt>
                <c:pt idx="27">
                  <c:v>-1.5980823012386215E-3</c:v>
                </c:pt>
                <c:pt idx="28">
                  <c:v>4.2016806722689247E-3</c:v>
                </c:pt>
                <c:pt idx="29">
                  <c:v>-1.095835823869291E-3</c:v>
                </c:pt>
                <c:pt idx="30">
                  <c:v>3.9892290814806279E-4</c:v>
                </c:pt>
                <c:pt idx="31">
                  <c:v>2.2231083640713828E-2</c:v>
                </c:pt>
                <c:pt idx="32">
                  <c:v>8.9721084454845671E-3</c:v>
                </c:pt>
                <c:pt idx="33">
                  <c:v>-2.5130485211675132E-3</c:v>
                </c:pt>
                <c:pt idx="34">
                  <c:v>-6.4922480620155203E-3</c:v>
                </c:pt>
                <c:pt idx="35">
                  <c:v>6.2420754901004643E-3</c:v>
                </c:pt>
                <c:pt idx="36">
                  <c:v>-9.4019579335077909E-3</c:v>
                </c:pt>
                <c:pt idx="37">
                  <c:v>7.1428571428571817E-3</c:v>
                </c:pt>
                <c:pt idx="38">
                  <c:v>-2.4288351306713299E-3</c:v>
                </c:pt>
                <c:pt idx="39">
                  <c:v>1.9477989871444158E-3</c:v>
                </c:pt>
                <c:pt idx="40">
                  <c:v>2.3911353032659486E-2</c:v>
                </c:pt>
                <c:pt idx="41">
                  <c:v>-1.6138219100056986E-2</c:v>
                </c:pt>
                <c:pt idx="42">
                  <c:v>-1.8236202238517952E-2</c:v>
                </c:pt>
                <c:pt idx="43">
                  <c:v>6.8796068796062092E-4</c:v>
                </c:pt>
                <c:pt idx="44">
                  <c:v>9.8212531919072872E-3</c:v>
                </c:pt>
                <c:pt idx="45">
                  <c:v>-1.3907800038902867E-2</c:v>
                </c:pt>
                <c:pt idx="46">
                  <c:v>-1.0849196173192566E-2</c:v>
                </c:pt>
                <c:pt idx="47">
                  <c:v>-1.9942167713630471E-2</c:v>
                </c:pt>
                <c:pt idx="48">
                  <c:v>2.8487129921659061E-3</c:v>
                </c:pt>
                <c:pt idx="49">
                  <c:v>6.6957492137568308E-3</c:v>
                </c:pt>
                <c:pt idx="50">
                  <c:v>-8.062078000604626E-3</c:v>
                </c:pt>
                <c:pt idx="51">
                  <c:v>1.6763181956720424E-2</c:v>
                </c:pt>
                <c:pt idx="52">
                  <c:v>6.2949640287769332E-3</c:v>
                </c:pt>
                <c:pt idx="53">
                  <c:v>-1.0227385562506077E-2</c:v>
                </c:pt>
                <c:pt idx="54">
                  <c:v>2.9093097913321831E-3</c:v>
                </c:pt>
                <c:pt idx="55">
                  <c:v>8.0024007202158945E-4</c:v>
                </c:pt>
                <c:pt idx="56">
                  <c:v>-3.8980509745127493E-3</c:v>
                </c:pt>
                <c:pt idx="57">
                  <c:v>9.5324101946618785E-3</c:v>
                </c:pt>
                <c:pt idx="58">
                  <c:v>6.3611967001292171E-3</c:v>
                </c:pt>
                <c:pt idx="59">
                  <c:v>4.7407407407407797E-3</c:v>
                </c:pt>
                <c:pt idx="60">
                  <c:v>-1.572790720534855E-3</c:v>
                </c:pt>
                <c:pt idx="61">
                  <c:v>-1.8509402382593243E-2</c:v>
                </c:pt>
                <c:pt idx="62">
                  <c:v>-9.0279867589530957E-4</c:v>
                </c:pt>
                <c:pt idx="63">
                  <c:v>6.9277108433736141E-3</c:v>
                </c:pt>
                <c:pt idx="64">
                  <c:v>8.674842955429158E-3</c:v>
                </c:pt>
                <c:pt idx="65">
                  <c:v>-7.2162910241201049E-3</c:v>
                </c:pt>
                <c:pt idx="66">
                  <c:v>2.130837399183497E-2</c:v>
                </c:pt>
                <c:pt idx="67">
                  <c:v>9.554450619089442E-3</c:v>
                </c:pt>
                <c:pt idx="68">
                  <c:v>-1.7382906808304454E-3</c:v>
                </c:pt>
                <c:pt idx="69">
                  <c:v>2.9989358614685331E-3</c:v>
                </c:pt>
                <c:pt idx="70">
                  <c:v>3.5686728395060794E-3</c:v>
                </c:pt>
                <c:pt idx="71">
                  <c:v>-3.3637674195097964E-3</c:v>
                </c:pt>
                <c:pt idx="72">
                  <c:v>9.643201542903476E-5</c:v>
                </c:pt>
                <c:pt idx="73">
                  <c:v>5.9782084659146138E-3</c:v>
                </c:pt>
                <c:pt idx="74">
                  <c:v>1.9169941531674514E-4</c:v>
                </c:pt>
                <c:pt idx="75">
                  <c:v>-2.5491135601341607E-2</c:v>
                </c:pt>
                <c:pt idx="76">
                  <c:v>-2.1634378994984647E-3</c:v>
                </c:pt>
                <c:pt idx="77">
                  <c:v>7.1942446043165862E-3</c:v>
                </c:pt>
                <c:pt idx="78">
                  <c:v>-1.320939334637973E-2</c:v>
                </c:pt>
                <c:pt idx="79">
                  <c:v>2.776400594942996E-3</c:v>
                </c:pt>
                <c:pt idx="80">
                  <c:v>4.2519529318699378E-3</c:v>
                </c:pt>
                <c:pt idx="81">
                  <c:v>-1.4671130366286029E-2</c:v>
                </c:pt>
                <c:pt idx="82">
                  <c:v>-3.7973418606974665E-3</c:v>
                </c:pt>
                <c:pt idx="83">
                  <c:v>4.0124385595346141E-3</c:v>
                </c:pt>
                <c:pt idx="84">
                  <c:v>-3.4968528324508794E-3</c:v>
                </c:pt>
                <c:pt idx="85">
                  <c:v>7.0182474433534584E-4</c:v>
                </c:pt>
                <c:pt idx="86">
                  <c:v>1.2523795210900711E-2</c:v>
                </c:pt>
                <c:pt idx="87">
                  <c:v>-5.3433603799723558E-3</c:v>
                </c:pt>
                <c:pt idx="88">
                  <c:v>-1.9896538002387868E-3</c:v>
                </c:pt>
                <c:pt idx="89">
                  <c:v>5.6818181818182557E-3</c:v>
                </c:pt>
                <c:pt idx="90">
                  <c:v>1.1101199325998658E-2</c:v>
                </c:pt>
                <c:pt idx="91">
                  <c:v>6.0778355063228146E-3</c:v>
                </c:pt>
                <c:pt idx="92">
                  <c:v>-8.6719282860762015E-3</c:v>
                </c:pt>
                <c:pt idx="93">
                  <c:v>5.6025162178101771E-3</c:v>
                </c:pt>
                <c:pt idx="94">
                  <c:v>6.2554979962858035E-3</c:v>
                </c:pt>
                <c:pt idx="95">
                  <c:v>-1.4570179698883505E-3</c:v>
                </c:pt>
                <c:pt idx="96">
                  <c:v>1.4688715953307443E-2</c:v>
                </c:pt>
                <c:pt idx="97">
                  <c:v>-2.6843063944013146E-3</c:v>
                </c:pt>
                <c:pt idx="98">
                  <c:v>9.4203595116793618E-3</c:v>
                </c:pt>
                <c:pt idx="99">
                  <c:v>-2.1902675935625555E-3</c:v>
                </c:pt>
                <c:pt idx="100">
                  <c:v>-1.3456766558503499E-2</c:v>
                </c:pt>
                <c:pt idx="101">
                  <c:v>8.6098481184096014E-3</c:v>
                </c:pt>
                <c:pt idx="102">
                  <c:v>-8.248609246115474E-3</c:v>
                </c:pt>
                <c:pt idx="103">
                  <c:v>-3.1914893617022485E-3</c:v>
                </c:pt>
                <c:pt idx="104">
                  <c:v>2.6195789269429538E-3</c:v>
                </c:pt>
                <c:pt idx="105">
                  <c:v>-6.7737565318373705E-4</c:v>
                </c:pt>
                <c:pt idx="106">
                  <c:v>-9.6833543139337964E-4</c:v>
                </c:pt>
                <c:pt idx="107">
                  <c:v>1.4539110206454539E-3</c:v>
                </c:pt>
                <c:pt idx="108">
                  <c:v>1.7131242740998937E-2</c:v>
                </c:pt>
                <c:pt idx="109">
                  <c:v>-6.6609572747176123E-4</c:v>
                </c:pt>
                <c:pt idx="110">
                  <c:v>1.9043991620653432E-4</c:v>
                </c:pt>
                <c:pt idx="111">
                  <c:v>2.056359482102053E-2</c:v>
                </c:pt>
                <c:pt idx="112">
                  <c:v>2.7052238805969405E-3</c:v>
                </c:pt>
                <c:pt idx="113">
                  <c:v>2.7909572983534411E-4</c:v>
                </c:pt>
                <c:pt idx="114">
                  <c:v>-5.3013392857142226E-3</c:v>
                </c:pt>
                <c:pt idx="115">
                  <c:v>-2.8985507246377024E-3</c:v>
                </c:pt>
                <c:pt idx="116">
                  <c:v>4.1260315078769476E-3</c:v>
                </c:pt>
                <c:pt idx="117">
                  <c:v>8.124766529697465E-3</c:v>
                </c:pt>
                <c:pt idx="118">
                  <c:v>-1.0375173691523895E-2</c:v>
                </c:pt>
                <c:pt idx="119">
                  <c:v>-1.7785266310961128E-3</c:v>
                </c:pt>
                <c:pt idx="120">
                  <c:v>3.7509377344336617E-3</c:v>
                </c:pt>
                <c:pt idx="121">
                  <c:v>-5.1382660687594485E-3</c:v>
                </c:pt>
                <c:pt idx="122">
                  <c:v>-2.817165931073447E-4</c:v>
                </c:pt>
                <c:pt idx="123">
                  <c:v>-3.6633477362389686E-3</c:v>
                </c:pt>
                <c:pt idx="124">
                  <c:v>-9.4277364004816678E-5</c:v>
                </c:pt>
                <c:pt idx="125">
                  <c:v>-8.2971902696586403E-3</c:v>
                </c:pt>
                <c:pt idx="126">
                  <c:v>-3.9931545921277969E-3</c:v>
                </c:pt>
                <c:pt idx="127">
                  <c:v>-5.441008018327676E-3</c:v>
                </c:pt>
                <c:pt idx="128">
                  <c:v>-1.2477205106055807E-3</c:v>
                </c:pt>
                <c:pt idx="129">
                  <c:v>-1.0859119738612295E-2</c:v>
                </c:pt>
                <c:pt idx="130">
                  <c:v>6.6064315554259451E-3</c:v>
                </c:pt>
                <c:pt idx="131">
                  <c:v>-2.0557861210307841E-2</c:v>
                </c:pt>
                <c:pt idx="132">
                  <c:v>2.4635396137169885E-3</c:v>
                </c:pt>
                <c:pt idx="133">
                  <c:v>-1.1501032143910368E-2</c:v>
                </c:pt>
                <c:pt idx="134">
                  <c:v>1.3126491646777975E-2</c:v>
                </c:pt>
                <c:pt idx="135">
                  <c:v>1.9238319591676562E-2</c:v>
                </c:pt>
                <c:pt idx="136">
                  <c:v>-9.6302003081713365E-5</c:v>
                </c:pt>
                <c:pt idx="137">
                  <c:v>1.4543002985649669E-2</c:v>
                </c:pt>
                <c:pt idx="138">
                  <c:v>-7.1198025441427757E-3</c:v>
                </c:pt>
                <c:pt idx="139">
                  <c:v>-7.4576919399560295E-3</c:v>
                </c:pt>
                <c:pt idx="140">
                  <c:v>-1.0114632501685745E-2</c:v>
                </c:pt>
                <c:pt idx="141">
                  <c:v>2.4036590112884379E-2</c:v>
                </c:pt>
                <c:pt idx="142">
                  <c:v>4.276347049320563E-3</c:v>
                </c:pt>
                <c:pt idx="143">
                  <c:v>-7.2861468584406713E-3</c:v>
                </c:pt>
                <c:pt idx="144">
                  <c:v>-5.9098274711656693E-3</c:v>
                </c:pt>
                <c:pt idx="145">
                  <c:v>-5.8107201073928486E-2</c:v>
                </c:pt>
                <c:pt idx="146">
                  <c:v>-3.7666700600631634E-3</c:v>
                </c:pt>
                <c:pt idx="147">
                  <c:v>4.0874718986307554E-3</c:v>
                </c:pt>
                <c:pt idx="148">
                  <c:v>-9.3629147160594513E-3</c:v>
                </c:pt>
                <c:pt idx="149">
                  <c:v>-4.2120402712142648E-3</c:v>
                </c:pt>
                <c:pt idx="150">
                  <c:v>4.2298565975445847E-3</c:v>
                </c:pt>
                <c:pt idx="151">
                  <c:v>2.7737826176288884E-3</c:v>
                </c:pt>
                <c:pt idx="152">
                  <c:v>4.9175289417068332E-3</c:v>
                </c:pt>
                <c:pt idx="153">
                  <c:v>-7.4421449689061467E-3</c:v>
                </c:pt>
                <c:pt idx="154">
                  <c:v>2.1569433032045371E-3</c:v>
                </c:pt>
                <c:pt idx="155">
                  <c:v>-2.0805575484267574E-2</c:v>
                </c:pt>
                <c:pt idx="156">
                  <c:v>1.8421603516851483E-2</c:v>
                </c:pt>
                <c:pt idx="157">
                  <c:v>-8.8386433710174669E-3</c:v>
                </c:pt>
                <c:pt idx="158">
                  <c:v>-2.1671505599336411E-2</c:v>
                </c:pt>
                <c:pt idx="159">
                  <c:v>2.1727609962904203E-2</c:v>
                </c:pt>
                <c:pt idx="160">
                  <c:v>-2.520746887966812E-2</c:v>
                </c:pt>
                <c:pt idx="161">
                  <c:v>-3.8310098967755607E-3</c:v>
                </c:pt>
                <c:pt idx="162">
                  <c:v>1.9015062493323374E-2</c:v>
                </c:pt>
                <c:pt idx="163">
                  <c:v>4.0884788761924792E-3</c:v>
                </c:pt>
                <c:pt idx="164">
                  <c:v>4.1762372102727125E-4</c:v>
                </c:pt>
                <c:pt idx="165">
                  <c:v>6.4704654560635002E-3</c:v>
                </c:pt>
                <c:pt idx="166">
                  <c:v>1.4724180837826647E-2</c:v>
                </c:pt>
                <c:pt idx="167">
                  <c:v>-5.0480277948089083E-2</c:v>
                </c:pt>
                <c:pt idx="168">
                  <c:v>2.7765820060266878E-2</c:v>
                </c:pt>
                <c:pt idx="169">
                  <c:v>-1.0366492146596806E-2</c:v>
                </c:pt>
                <c:pt idx="170">
                  <c:v>-1.2591260184107627E-2</c:v>
                </c:pt>
                <c:pt idx="171">
                  <c:v>-7.2867552507500282E-3</c:v>
                </c:pt>
                <c:pt idx="172">
                  <c:v>9.7150259067361197E-4</c:v>
                </c:pt>
                <c:pt idx="173">
                  <c:v>-1.0999676480103636E-2</c:v>
                </c:pt>
                <c:pt idx="174">
                  <c:v>1.28666448587941E-2</c:v>
                </c:pt>
                <c:pt idx="175">
                  <c:v>-7.6434492410377194E-3</c:v>
                </c:pt>
                <c:pt idx="176">
                  <c:v>7.3768713386851001E-3</c:v>
                </c:pt>
                <c:pt idx="177">
                  <c:v>2.2076243807882805E-2</c:v>
                </c:pt>
                <c:pt idx="178">
                  <c:v>-6.1110525761247318E-3</c:v>
                </c:pt>
                <c:pt idx="179">
                  <c:v>-1.3357362450970054E-2</c:v>
                </c:pt>
                <c:pt idx="180">
                  <c:v>-6.8765445363703276E-3</c:v>
                </c:pt>
                <c:pt idx="181">
                  <c:v>-1.0494428215947343E-2</c:v>
                </c:pt>
                <c:pt idx="182">
                  <c:v>9.8403673737156592E-4</c:v>
                </c:pt>
                <c:pt idx="183">
                  <c:v>2.239213544511193E-2</c:v>
                </c:pt>
                <c:pt idx="184">
                  <c:v>-1.0683760683750968E-4</c:v>
                </c:pt>
                <c:pt idx="185">
                  <c:v>2.0942408376963283E-2</c:v>
                </c:pt>
                <c:pt idx="186">
                  <c:v>-1.0675039246467776E-2</c:v>
                </c:pt>
                <c:pt idx="187">
                  <c:v>-3.5544271659790537E-2</c:v>
                </c:pt>
                <c:pt idx="188">
                  <c:v>-4.7164637490403295E-3</c:v>
                </c:pt>
                <c:pt idx="189">
                  <c:v>3.085739475424302E-3</c:v>
                </c:pt>
                <c:pt idx="190">
                  <c:v>-1.3843111404086915E-2</c:v>
                </c:pt>
                <c:pt idx="191">
                  <c:v>6.3502673796790683E-3</c:v>
                </c:pt>
                <c:pt idx="192">
                  <c:v>-1.5941547658585162E-2</c:v>
                </c:pt>
                <c:pt idx="193">
                  <c:v>-1.7999775002812402E-2</c:v>
                </c:pt>
                <c:pt idx="194">
                  <c:v>-1.7527780960018342E-2</c:v>
                </c:pt>
                <c:pt idx="195">
                  <c:v>1.2826492537313366E-3</c:v>
                </c:pt>
                <c:pt idx="196">
                  <c:v>-1.6303714917899215E-3</c:v>
                </c:pt>
                <c:pt idx="197">
                  <c:v>-4.6774757961040532E-2</c:v>
                </c:pt>
                <c:pt idx="198">
                  <c:v>1.2236906510033568E-3</c:v>
                </c:pt>
                <c:pt idx="199">
                  <c:v>6.233194817892999E-3</c:v>
                </c:pt>
                <c:pt idx="200">
                  <c:v>5.7087331470909615E-3</c:v>
                </c:pt>
                <c:pt idx="201">
                  <c:v>-4.8309178743951745E-4</c:v>
                </c:pt>
                <c:pt idx="202">
                  <c:v>5.9207346544223639E-3</c:v>
                </c:pt>
                <c:pt idx="203">
                  <c:v>-3.2792792792792839E-2</c:v>
                </c:pt>
                <c:pt idx="204">
                  <c:v>2.8440139095876879E-2</c:v>
                </c:pt>
                <c:pt idx="205">
                  <c:v>-1.8596787827557134E-2</c:v>
                </c:pt>
                <c:pt idx="206">
                  <c:v>-1.2304663467442974E-4</c:v>
                </c:pt>
                <c:pt idx="207">
                  <c:v>1.2306177701205305E-3</c:v>
                </c:pt>
                <c:pt idx="208">
                  <c:v>1.0939036381514264E-2</c:v>
                </c:pt>
                <c:pt idx="209">
                  <c:v>-1.4468085106382951E-2</c:v>
                </c:pt>
                <c:pt idx="210">
                  <c:v>-6.5383666419935992E-3</c:v>
                </c:pt>
                <c:pt idx="211">
                  <c:v>-2.1855209238793059E-2</c:v>
                </c:pt>
                <c:pt idx="212">
                  <c:v>-2.0566205408150188E-2</c:v>
                </c:pt>
                <c:pt idx="213">
                  <c:v>2.0220349967595436E-2</c:v>
                </c:pt>
                <c:pt idx="214">
                  <c:v>-1.0672087409477693E-2</c:v>
                </c:pt>
                <c:pt idx="215">
                  <c:v>1.0787209451650046E-2</c:v>
                </c:pt>
                <c:pt idx="216">
                  <c:v>-1.6262228433489862E-2</c:v>
                </c:pt>
                <c:pt idx="217">
                  <c:v>5.4242541650521437E-3</c:v>
                </c:pt>
                <c:pt idx="218">
                  <c:v>-8.8631984585741518E-3</c:v>
                </c:pt>
                <c:pt idx="219">
                  <c:v>-3.9269051321928476E-2</c:v>
                </c:pt>
                <c:pt idx="220">
                  <c:v>2.4011871037366805E-2</c:v>
                </c:pt>
                <c:pt idx="221">
                  <c:v>-3.55684363061515E-3</c:v>
                </c:pt>
                <c:pt idx="222">
                  <c:v>-1.4410364886303588E-2</c:v>
                </c:pt>
                <c:pt idx="223">
                  <c:v>0</c:v>
                </c:pt>
                <c:pt idx="224">
                  <c:v>1.4486921529175028E-2</c:v>
                </c:pt>
                <c:pt idx="225">
                  <c:v>1.1767817003834466E-2</c:v>
                </c:pt>
                <c:pt idx="226">
                  <c:v>-1.0193413486670168E-2</c:v>
                </c:pt>
                <c:pt idx="227">
                  <c:v>-2.2445207288090688E-2</c:v>
                </c:pt>
                <c:pt idx="228">
                  <c:v>-4.5921123716910232E-3</c:v>
                </c:pt>
                <c:pt idx="229">
                  <c:v>-0.10529172320217103</c:v>
                </c:pt>
                <c:pt idx="230">
                  <c:v>4.6102517440097156E-2</c:v>
                </c:pt>
                <c:pt idx="231">
                  <c:v>-2.8848941722238459E-2</c:v>
                </c:pt>
                <c:pt idx="232">
                  <c:v>4.6275563516943174E-3</c:v>
                </c:pt>
                <c:pt idx="233">
                  <c:v>-8.4695393759285763E-3</c:v>
                </c:pt>
                <c:pt idx="234">
                  <c:v>-1.2588041360707378E-2</c:v>
                </c:pt>
                <c:pt idx="235">
                  <c:v>-4.1887995143420821E-2</c:v>
                </c:pt>
                <c:pt idx="236">
                  <c:v>9.6626009821004187E-3</c:v>
                </c:pt>
                <c:pt idx="237">
                  <c:v>-4.3144022591779102E-2</c:v>
                </c:pt>
                <c:pt idx="238">
                  <c:v>-1.6068207902934971E-2</c:v>
                </c:pt>
                <c:pt idx="239">
                  <c:v>-3.6660556573904282E-2</c:v>
                </c:pt>
                <c:pt idx="240">
                  <c:v>-3.2001383843625691E-2</c:v>
                </c:pt>
                <c:pt idx="241">
                  <c:v>1.7869907076479647E-4</c:v>
                </c:pt>
                <c:pt idx="242">
                  <c:v>8.21868858316957E-3</c:v>
                </c:pt>
                <c:pt idx="243">
                  <c:v>-3.9872408293460927E-2</c:v>
                </c:pt>
                <c:pt idx="244">
                  <c:v>5.038759689922475E-2</c:v>
                </c:pt>
                <c:pt idx="245">
                  <c:v>-2.9168863117202543E-2</c:v>
                </c:pt>
                <c:pt idx="246">
                  <c:v>2.7692307692307714E-2</c:v>
                </c:pt>
                <c:pt idx="247">
                  <c:v>-1.9020781965480772E-2</c:v>
                </c:pt>
                <c:pt idx="248">
                  <c:v>-1.9928186714542179E-2</c:v>
                </c:pt>
                <c:pt idx="249">
                  <c:v>-2.0699761861146776E-2</c:v>
                </c:pt>
                <c:pt idx="250">
                  <c:v>1.2719790497568269E-2</c:v>
                </c:pt>
                <c:pt idx="251">
                  <c:v>-1.274473586996671E-2</c:v>
                </c:pt>
                <c:pt idx="252">
                  <c:v>0</c:v>
                </c:pt>
                <c:pt idx="253">
                  <c:v>-1.3657623947614666E-2</c:v>
                </c:pt>
                <c:pt idx="254">
                  <c:v>-5.0644916540212477E-2</c:v>
                </c:pt>
                <c:pt idx="255">
                  <c:v>-4.1358641358641368E-2</c:v>
                </c:pt>
                <c:pt idx="256">
                  <c:v>1.4797832430179261E-2</c:v>
                </c:pt>
                <c:pt idx="257">
                  <c:v>2.2591907989320073E-3</c:v>
                </c:pt>
                <c:pt idx="258">
                  <c:v>-9.2213114754097492E-3</c:v>
                </c:pt>
                <c:pt idx="259">
                  <c:v>-4.7362978283350551E-2</c:v>
                </c:pt>
                <c:pt idx="260">
                  <c:v>-3.0395136778115623E-3</c:v>
                </c:pt>
                <c:pt idx="261">
                  <c:v>5.5966898954703838E-2</c:v>
                </c:pt>
                <c:pt idx="262">
                  <c:v>-4.3720354712311907E-2</c:v>
                </c:pt>
                <c:pt idx="263">
                  <c:v>4.5719215009704654E-2</c:v>
                </c:pt>
                <c:pt idx="264">
                  <c:v>-3.5058775005155758E-2</c:v>
                </c:pt>
                <c:pt idx="265">
                  <c:v>2.2654413336182993E-2</c:v>
                </c:pt>
                <c:pt idx="266">
                  <c:v>-4.0125391849529818E-2</c:v>
                </c:pt>
                <c:pt idx="267">
                  <c:v>-1.4587415632484252E-2</c:v>
                </c:pt>
                <c:pt idx="268">
                  <c:v>-1.0163499779054373E-2</c:v>
                </c:pt>
                <c:pt idx="269">
                  <c:v>2.3214285714285854E-2</c:v>
                </c:pt>
                <c:pt idx="270">
                  <c:v>-3.8394415357766255E-2</c:v>
                </c:pt>
                <c:pt idx="271">
                  <c:v>9.0744101633391896E-4</c:v>
                </c:pt>
                <c:pt idx="272">
                  <c:v>8.3182230281051719E-2</c:v>
                </c:pt>
                <c:pt idx="273">
                  <c:v>3.0550324335635089E-2</c:v>
                </c:pt>
                <c:pt idx="274">
                  <c:v>7.695431472081217E-2</c:v>
                </c:pt>
                <c:pt idx="275">
                  <c:v>-8.6538461538461467E-2</c:v>
                </c:pt>
                <c:pt idx="276">
                  <c:v>4.18988648090814E-2</c:v>
                </c:pt>
                <c:pt idx="277">
                  <c:v>2.3375594294770201E-2</c:v>
                </c:pt>
                <c:pt idx="278">
                  <c:v>2.5745257452574631E-2</c:v>
                </c:pt>
                <c:pt idx="279">
                  <c:v>-5.529345159464049E-2</c:v>
                </c:pt>
                <c:pt idx="280">
                  <c:v>-2.5169796244506694E-2</c:v>
                </c:pt>
                <c:pt idx="281">
                  <c:v>4.85655737704919E-2</c:v>
                </c:pt>
                <c:pt idx="282">
                  <c:v>2.911862419386349E-2</c:v>
                </c:pt>
                <c:pt idx="283">
                  <c:v>1.7090770983668929E-2</c:v>
                </c:pt>
                <c:pt idx="284">
                  <c:v>-2.6699029126213587E-2</c:v>
                </c:pt>
                <c:pt idx="285">
                  <c:v>-1.9374640322271344E-2</c:v>
                </c:pt>
                <c:pt idx="286">
                  <c:v>-2.2887323943661868E-2</c:v>
                </c:pt>
                <c:pt idx="287">
                  <c:v>-7.8078078078078188E-3</c:v>
                </c:pt>
                <c:pt idx="288">
                  <c:v>-2.1791767554479528E-2</c:v>
                </c:pt>
                <c:pt idx="289">
                  <c:v>3.6509900990099077E-2</c:v>
                </c:pt>
                <c:pt idx="290">
                  <c:v>-5.1741293532338334E-2</c:v>
                </c:pt>
                <c:pt idx="291">
                  <c:v>4.5960125918153301E-2</c:v>
                </c:pt>
                <c:pt idx="292">
                  <c:v>-5.0160513643659711E-3</c:v>
                </c:pt>
                <c:pt idx="293">
                  <c:v>1.6938898971566772E-2</c:v>
                </c:pt>
                <c:pt idx="294">
                  <c:v>2.1812413246083708E-2</c:v>
                </c:pt>
                <c:pt idx="295">
                  <c:v>-1.4942751795070893E-2</c:v>
                </c:pt>
                <c:pt idx="296">
                  <c:v>-2.2655634357761991E-2</c:v>
                </c:pt>
                <c:pt idx="297">
                  <c:v>6.8534569643217778E-3</c:v>
                </c:pt>
                <c:pt idx="298">
                  <c:v>-3.0630630630630651E-2</c:v>
                </c:pt>
                <c:pt idx="299">
                  <c:v>-7.434944237918204E-3</c:v>
                </c:pt>
                <c:pt idx="300">
                  <c:v>-1.9558884727424154E-2</c:v>
                </c:pt>
                <c:pt idx="301">
                  <c:v>-4.7538200339558467E-2</c:v>
                </c:pt>
                <c:pt idx="302">
                  <c:v>-2.1167557932263877E-2</c:v>
                </c:pt>
                <c:pt idx="303">
                  <c:v>-1.2292283177782817E-2</c:v>
                </c:pt>
                <c:pt idx="304">
                  <c:v>2.8578013367135328E-2</c:v>
                </c:pt>
                <c:pt idx="305">
                  <c:v>-1.3667936365673301E-2</c:v>
                </c:pt>
                <c:pt idx="306">
                  <c:v>4.4979554747841814E-2</c:v>
                </c:pt>
                <c:pt idx="307">
                  <c:v>3.0434782608695622E-2</c:v>
                </c:pt>
                <c:pt idx="308">
                  <c:v>-7.8059071729957271E-3</c:v>
                </c:pt>
                <c:pt idx="309">
                  <c:v>3.6572400595364637E-2</c:v>
                </c:pt>
                <c:pt idx="310">
                  <c:v>5.4564102564102497E-2</c:v>
                </c:pt>
                <c:pt idx="311">
                  <c:v>-5.0184788951565813E-2</c:v>
                </c:pt>
                <c:pt idx="312">
                  <c:v>-3.481466311693666E-3</c:v>
                </c:pt>
                <c:pt idx="313">
                  <c:v>-1.9317714755445907E-2</c:v>
                </c:pt>
                <c:pt idx="314">
                  <c:v>5.0293378038558226E-2</c:v>
                </c:pt>
                <c:pt idx="315">
                  <c:v>-1.9752593774940042E-2</c:v>
                </c:pt>
                <c:pt idx="316">
                  <c:v>0</c:v>
                </c:pt>
                <c:pt idx="317">
                  <c:v>6.0044779157337587E-2</c:v>
                </c:pt>
                <c:pt idx="318">
                  <c:v>3.5906298003072282E-2</c:v>
                </c:pt>
                <c:pt idx="319">
                  <c:v>-6.5060240963855515E-2</c:v>
                </c:pt>
                <c:pt idx="320">
                  <c:v>6.9389373513085136E-3</c:v>
                </c:pt>
                <c:pt idx="321">
                  <c:v>1.653868871825169E-2</c:v>
                </c:pt>
                <c:pt idx="322">
                  <c:v>6.1979469300794164E-3</c:v>
                </c:pt>
                <c:pt idx="323">
                  <c:v>2.5986525505293439E-2</c:v>
                </c:pt>
                <c:pt idx="324">
                  <c:v>5.5347091932457841E-2</c:v>
                </c:pt>
                <c:pt idx="325">
                  <c:v>7.8222222222221818E-3</c:v>
                </c:pt>
                <c:pt idx="326">
                  <c:v>-1.7286999470806086E-2</c:v>
                </c:pt>
                <c:pt idx="327">
                  <c:v>1.1847065158858312E-2</c:v>
                </c:pt>
                <c:pt idx="328">
                  <c:v>-1.4014546744722356E-2</c:v>
                </c:pt>
                <c:pt idx="329">
                  <c:v>1.0615329255127806E-2</c:v>
                </c:pt>
                <c:pt idx="330">
                  <c:v>7.4773010503827965E-3</c:v>
                </c:pt>
                <c:pt idx="331">
                  <c:v>-1.0779289627142719E-2</c:v>
                </c:pt>
                <c:pt idx="332">
                  <c:v>-7.5026795284029047E-3</c:v>
                </c:pt>
                <c:pt idx="333">
                  <c:v>2.6817854571634176E-2</c:v>
                </c:pt>
                <c:pt idx="334">
                  <c:v>2.6292725679228749E-2</c:v>
                </c:pt>
                <c:pt idx="335">
                  <c:v>1.827497865072588E-2</c:v>
                </c:pt>
                <c:pt idx="336">
                  <c:v>-8.721905400872124E-3</c:v>
                </c:pt>
                <c:pt idx="337">
                  <c:v>-3.0456852791878124E-3</c:v>
                </c:pt>
                <c:pt idx="338">
                  <c:v>2.4779361846571635E-2</c:v>
                </c:pt>
                <c:pt idx="339">
                  <c:v>9.1089764822788535E-3</c:v>
                </c:pt>
                <c:pt idx="340">
                  <c:v>-3.1839816182504477E-2</c:v>
                </c:pt>
                <c:pt idx="341">
                  <c:v>7.1198508221731582E-3</c:v>
                </c:pt>
                <c:pt idx="342">
                  <c:v>-3.0297929641474454E-3</c:v>
                </c:pt>
                <c:pt idx="343">
                  <c:v>2.5156170859361844E-2</c:v>
                </c:pt>
                <c:pt idx="344">
                  <c:v>-3.6231884057970828E-3</c:v>
                </c:pt>
                <c:pt idx="345">
                  <c:v>-1.0082644628099165E-2</c:v>
                </c:pt>
                <c:pt idx="346">
                  <c:v>-2.6715645349808599E-3</c:v>
                </c:pt>
                <c:pt idx="347">
                  <c:v>-4.8551816507617475E-3</c:v>
                </c:pt>
                <c:pt idx="348">
                  <c:v>-3.6002691790040391E-2</c:v>
                </c:pt>
                <c:pt idx="349">
                  <c:v>2.8970331588132701E-2</c:v>
                </c:pt>
                <c:pt idx="350">
                  <c:v>2.069199457259157E-2</c:v>
                </c:pt>
                <c:pt idx="351">
                  <c:v>-2.1601861083416371E-2</c:v>
                </c:pt>
                <c:pt idx="352">
                  <c:v>0</c:v>
                </c:pt>
                <c:pt idx="353">
                  <c:v>-2.7004076086956579E-2</c:v>
                </c:pt>
                <c:pt idx="354">
                  <c:v>3.8401117123407027E-3</c:v>
                </c:pt>
                <c:pt idx="355">
                  <c:v>3.1298904538341111E-3</c:v>
                </c:pt>
                <c:pt idx="356">
                  <c:v>4.4375108337666884E-2</c:v>
                </c:pt>
                <c:pt idx="357">
                  <c:v>-1.6597510373440682E-4</c:v>
                </c:pt>
                <c:pt idx="358">
                  <c:v>1.7596281540504567E-2</c:v>
                </c:pt>
                <c:pt idx="359">
                  <c:v>-2.6590538336052131E-2</c:v>
                </c:pt>
                <c:pt idx="360">
                  <c:v>-2.7987263281380955E-2</c:v>
                </c:pt>
                <c:pt idx="361">
                  <c:v>1.913793103448275E-2</c:v>
                </c:pt>
                <c:pt idx="362">
                  <c:v>-1.624090678396212E-2</c:v>
                </c:pt>
                <c:pt idx="363">
                  <c:v>3.4393809114359415E-2</c:v>
                </c:pt>
                <c:pt idx="364">
                  <c:v>2.0116375727348309E-2</c:v>
                </c:pt>
                <c:pt idx="365">
                  <c:v>-1.0104302477183792E-2</c:v>
                </c:pt>
                <c:pt idx="366">
                  <c:v>-1.2841620019756356E-2</c:v>
                </c:pt>
                <c:pt idx="367">
                  <c:v>-7.1714476317544977E-3</c:v>
                </c:pt>
                <c:pt idx="368">
                  <c:v>8.0631614312111008E-3</c:v>
                </c:pt>
                <c:pt idx="369">
                  <c:v>-1.999666722212922E-3</c:v>
                </c:pt>
                <c:pt idx="370">
                  <c:v>8.6825847386875279E-3</c:v>
                </c:pt>
                <c:pt idx="371">
                  <c:v>-1.3077305081940063E-2</c:v>
                </c:pt>
                <c:pt idx="372">
                  <c:v>6.5414290506541524E-3</c:v>
                </c:pt>
                <c:pt idx="373">
                  <c:v>1.7330444925845678E-2</c:v>
                </c:pt>
                <c:pt idx="374">
                  <c:v>-1.7035217035217022E-2</c:v>
                </c:pt>
                <c:pt idx="375">
                  <c:v>-6.9988335277452862E-3</c:v>
                </c:pt>
                <c:pt idx="376">
                  <c:v>-3.0206410471556775E-3</c:v>
                </c:pt>
                <c:pt idx="377">
                  <c:v>-1.8010435953543062E-2</c:v>
                </c:pt>
                <c:pt idx="378">
                  <c:v>1.954062392869375E-2</c:v>
                </c:pt>
                <c:pt idx="379">
                  <c:v>-4.2703429724277056E-2</c:v>
                </c:pt>
                <c:pt idx="380">
                  <c:v>-1.7562346329466123E-4</c:v>
                </c:pt>
                <c:pt idx="381">
                  <c:v>0</c:v>
                </c:pt>
                <c:pt idx="382">
                  <c:v>-7.8166168979448503E-2</c:v>
                </c:pt>
                <c:pt idx="383">
                  <c:v>-2.8582317073170462E-3</c:v>
                </c:pt>
                <c:pt idx="384">
                  <c:v>-1.375883814255683E-2</c:v>
                </c:pt>
                <c:pt idx="385">
                  <c:v>2.2282503390815705E-2</c:v>
                </c:pt>
                <c:pt idx="386">
                  <c:v>-3.7907505686118312E-4</c:v>
                </c:pt>
                <c:pt idx="387">
                  <c:v>-1.0428517254455901E-2</c:v>
                </c:pt>
                <c:pt idx="388">
                  <c:v>1.6478252538800527E-2</c:v>
                </c:pt>
                <c:pt idx="389">
                  <c:v>-3.1102733270499505E-2</c:v>
                </c:pt>
                <c:pt idx="390">
                  <c:v>-9.727626459143969E-3</c:v>
                </c:pt>
                <c:pt idx="391">
                  <c:v>-3.9292730844785894E-4</c:v>
                </c:pt>
                <c:pt idx="392">
                  <c:v>-1.5133647798742199E-2</c:v>
                </c:pt>
                <c:pt idx="393">
                  <c:v>9.5789263620036716E-3</c:v>
                </c:pt>
                <c:pt idx="394">
                  <c:v>-2.6092113065823288E-2</c:v>
                </c:pt>
                <c:pt idx="395">
                  <c:v>-2.3543738583316494E-2</c:v>
                </c:pt>
                <c:pt idx="396">
                  <c:v>-2.7021409270422481E-3</c:v>
                </c:pt>
                <c:pt idx="397">
                  <c:v>-1.6882034180908612E-2</c:v>
                </c:pt>
                <c:pt idx="398">
                  <c:v>1.6959932160271297E-2</c:v>
                </c:pt>
                <c:pt idx="399">
                  <c:v>1.6677089847821645E-2</c:v>
                </c:pt>
                <c:pt idx="400">
                  <c:v>-4.9210580274759476E-3</c:v>
                </c:pt>
                <c:pt idx="401">
                  <c:v>-2.9260251390892267E-2</c:v>
                </c:pt>
                <c:pt idx="402">
                  <c:v>-3.9482063256208864E-2</c:v>
                </c:pt>
                <c:pt idx="403">
                  <c:v>1.1049723756906077E-2</c:v>
                </c:pt>
                <c:pt idx="404">
                  <c:v>-1.3551912568305955E-2</c:v>
                </c:pt>
                <c:pt idx="405">
                  <c:v>-9.7496122313318143E-3</c:v>
                </c:pt>
                <c:pt idx="406">
                  <c:v>-1.8348623853211017E-2</c:v>
                </c:pt>
                <c:pt idx="407">
                  <c:v>2.4390243902439032E-2</c:v>
                </c:pt>
                <c:pt idx="408">
                  <c:v>-4.0720961281708906E-2</c:v>
                </c:pt>
                <c:pt idx="409">
                  <c:v>2.5516121549524341E-3</c:v>
                </c:pt>
                <c:pt idx="410">
                  <c:v>-2.1980564553447379E-2</c:v>
                </c:pt>
                <c:pt idx="411">
                  <c:v>4.2583392476933926E-3</c:v>
                </c:pt>
                <c:pt idx="412">
                  <c:v>-1.224970553592469E-2</c:v>
                </c:pt>
                <c:pt idx="413">
                  <c:v>1.5502027188170727E-2</c:v>
                </c:pt>
                <c:pt idx="414">
                  <c:v>-4.2977923907937962E-2</c:v>
                </c:pt>
                <c:pt idx="415">
                  <c:v>6.1349693251533744E-3</c:v>
                </c:pt>
                <c:pt idx="416">
                  <c:v>-1.3414634146341394E-2</c:v>
                </c:pt>
                <c:pt idx="417">
                  <c:v>-5.5129789864029763E-2</c:v>
                </c:pt>
                <c:pt idx="418">
                  <c:v>2.4332810047095754E-2</c:v>
                </c:pt>
                <c:pt idx="419">
                  <c:v>-1.6602809706257948E-2</c:v>
                </c:pt>
                <c:pt idx="420">
                  <c:v>0.10311688311688309</c:v>
                </c:pt>
                <c:pt idx="421">
                  <c:v>6.6399811631740066E-2</c:v>
                </c:pt>
                <c:pt idx="422">
                  <c:v>8.6332523735924122E-2</c:v>
                </c:pt>
                <c:pt idx="423">
                  <c:v>-7.7642276422764223E-2</c:v>
                </c:pt>
                <c:pt idx="424">
                  <c:v>2.0273248126928042E-2</c:v>
                </c:pt>
                <c:pt idx="425">
                  <c:v>9.7192224622030862E-3</c:v>
                </c:pt>
                <c:pt idx="426">
                  <c:v>-1.5614973262032018E-2</c:v>
                </c:pt>
                <c:pt idx="427">
                  <c:v>0</c:v>
                </c:pt>
                <c:pt idx="428">
                  <c:v>-2.1729682746632205E-3</c:v>
                </c:pt>
                <c:pt idx="429">
                  <c:v>-3.8980836236933776E-2</c:v>
                </c:pt>
                <c:pt idx="430">
                  <c:v>3.8975753455699043E-2</c:v>
                </c:pt>
                <c:pt idx="431">
                  <c:v>-2.3991275899672877E-2</c:v>
                </c:pt>
                <c:pt idx="432">
                  <c:v>-1.5195530726256977E-2</c:v>
                </c:pt>
                <c:pt idx="433">
                  <c:v>1.157249829816197E-2</c:v>
                </c:pt>
                <c:pt idx="434">
                  <c:v>5.6976222521309988E-2</c:v>
                </c:pt>
                <c:pt idx="435">
                  <c:v>-4.0322580645160812E-3</c:v>
                </c:pt>
                <c:pt idx="436">
                  <c:v>-4.7304496057958639E-2</c:v>
                </c:pt>
                <c:pt idx="437">
                  <c:v>4.3838067546410217E-2</c:v>
                </c:pt>
                <c:pt idx="438">
                  <c:v>-1.0713520462824084E-2</c:v>
                </c:pt>
                <c:pt idx="439">
                  <c:v>-3.5520901017977051E-2</c:v>
                </c:pt>
                <c:pt idx="440">
                  <c:v>9.2072759937120267E-3</c:v>
                </c:pt>
                <c:pt idx="441">
                  <c:v>1.3573653760569637E-2</c:v>
                </c:pt>
                <c:pt idx="442">
                  <c:v>-2.5246981339187676E-2</c:v>
                </c:pt>
                <c:pt idx="443">
                  <c:v>1.8918918918918996E-2</c:v>
                </c:pt>
                <c:pt idx="444">
                  <c:v>-3.9787798408488003E-3</c:v>
                </c:pt>
                <c:pt idx="445">
                  <c:v>-6.8797159343098593E-3</c:v>
                </c:pt>
                <c:pt idx="446">
                  <c:v>1.765363128491618E-2</c:v>
                </c:pt>
                <c:pt idx="447">
                  <c:v>1.6249451032059773E-2</c:v>
                </c:pt>
                <c:pt idx="448">
                  <c:v>4.8617113223854792E-2</c:v>
                </c:pt>
                <c:pt idx="449">
                  <c:v>-1.380589326189989E-2</c:v>
                </c:pt>
                <c:pt idx="450">
                  <c:v>3.3430839949853769E-2</c:v>
                </c:pt>
                <c:pt idx="451">
                  <c:v>4.2458552365548085E-3</c:v>
                </c:pt>
                <c:pt idx="452">
                  <c:v>-5.1942822629353701E-2</c:v>
                </c:pt>
                <c:pt idx="453">
                  <c:v>-8.2820131662773525E-3</c:v>
                </c:pt>
                <c:pt idx="454">
                  <c:v>-1.4989293361884427E-3</c:v>
                </c:pt>
                <c:pt idx="455">
                  <c:v>-5.3613553506326401E-3</c:v>
                </c:pt>
                <c:pt idx="456">
                  <c:v>1.9836136265631622E-2</c:v>
                </c:pt>
                <c:pt idx="457">
                  <c:v>-2.9386892177589864E-2</c:v>
                </c:pt>
                <c:pt idx="458">
                  <c:v>-1.5247222827269263E-3</c:v>
                </c:pt>
                <c:pt idx="459">
                  <c:v>-1.3525305410122262E-2</c:v>
                </c:pt>
                <c:pt idx="460">
                  <c:v>-7.0765148164529034E-3</c:v>
                </c:pt>
                <c:pt idx="461">
                  <c:v>-2.2048997772828552E-2</c:v>
                </c:pt>
                <c:pt idx="462">
                  <c:v>-1.6397176041903869E-2</c:v>
                </c:pt>
                <c:pt idx="463">
                  <c:v>4.6307015512857437E-4</c:v>
                </c:pt>
                <c:pt idx="464">
                  <c:v>6.294839157602404E-2</c:v>
                </c:pt>
                <c:pt idx="465">
                  <c:v>1.959503592423327E-3</c:v>
                </c:pt>
                <c:pt idx="466">
                  <c:v>1.2603215993046464E-2</c:v>
                </c:pt>
                <c:pt idx="467">
                  <c:v>-1.0300429184549442E-2</c:v>
                </c:pt>
                <c:pt idx="468">
                  <c:v>3.8161318300086844E-2</c:v>
                </c:pt>
                <c:pt idx="469">
                  <c:v>-3.258145363408526E-2</c:v>
                </c:pt>
                <c:pt idx="470">
                  <c:v>-2.2668393782383358E-2</c:v>
                </c:pt>
                <c:pt idx="471">
                  <c:v>-2.0985199911641324E-2</c:v>
                </c:pt>
                <c:pt idx="472">
                  <c:v>-1.0153429602888151E-2</c:v>
                </c:pt>
                <c:pt idx="473">
                  <c:v>8.2060633690448932E-3</c:v>
                </c:pt>
                <c:pt idx="474">
                  <c:v>-2.8939633732760438E-2</c:v>
                </c:pt>
                <c:pt idx="475">
                  <c:v>-2.81722933643772E-2</c:v>
                </c:pt>
                <c:pt idx="476">
                  <c:v>-2.5155725922376717E-2</c:v>
                </c:pt>
                <c:pt idx="477">
                  <c:v>2.4330302285573903E-2</c:v>
                </c:pt>
                <c:pt idx="478">
                  <c:v>-2.2792706333973196E-2</c:v>
                </c:pt>
                <c:pt idx="479">
                  <c:v>4.9103854652597905E-4</c:v>
                </c:pt>
                <c:pt idx="480">
                  <c:v>-4.9079754601227691E-3</c:v>
                </c:pt>
                <c:pt idx="481">
                  <c:v>-2.8606658446362433E-2</c:v>
                </c:pt>
                <c:pt idx="482">
                  <c:v>-3.0464584920029815E-3</c:v>
                </c:pt>
                <c:pt idx="483">
                  <c:v>4.125286478227648E-2</c:v>
                </c:pt>
                <c:pt idx="484">
                  <c:v>8.0704328686720048E-3</c:v>
                </c:pt>
                <c:pt idx="485">
                  <c:v>0</c:v>
                </c:pt>
                <c:pt idx="486">
                  <c:v>-1.5769044153323596E-2</c:v>
                </c:pt>
                <c:pt idx="487">
                  <c:v>-3.4508257333004822E-3</c:v>
                </c:pt>
                <c:pt idx="488">
                  <c:v>3.7101162503091413E-3</c:v>
                </c:pt>
                <c:pt idx="489">
                  <c:v>-1.6017742730409033E-2</c:v>
                </c:pt>
                <c:pt idx="490">
                  <c:v>2.8800400701227111E-2</c:v>
                </c:pt>
                <c:pt idx="491">
                  <c:v>-2.629016553067182E-2</c:v>
                </c:pt>
                <c:pt idx="492">
                  <c:v>-5.8999999999999983E-2</c:v>
                </c:pt>
                <c:pt idx="493">
                  <c:v>-4.7821466524973358E-3</c:v>
                </c:pt>
                <c:pt idx="494">
                  <c:v>-8.0085424452750742E-3</c:v>
                </c:pt>
                <c:pt idx="495">
                  <c:v>-1.0764262648008574E-2</c:v>
                </c:pt>
                <c:pt idx="496">
                  <c:v>-3.0195865070729039E-2</c:v>
                </c:pt>
                <c:pt idx="497">
                  <c:v>1.8513323983169811E-2</c:v>
                </c:pt>
                <c:pt idx="498">
                  <c:v>2.7816028642247258E-2</c:v>
                </c:pt>
                <c:pt idx="499">
                  <c:v>-4.7427652733119052E-2</c:v>
                </c:pt>
                <c:pt idx="500">
                  <c:v>-1.6033755274261614E-2</c:v>
                </c:pt>
                <c:pt idx="501">
                  <c:v>-7.4328187535734145E-3</c:v>
                </c:pt>
                <c:pt idx="502">
                  <c:v>-4.8963133640553486E-3</c:v>
                </c:pt>
                <c:pt idx="503">
                  <c:v>4.5441389290882789E-2</c:v>
                </c:pt>
                <c:pt idx="504">
                  <c:v>1.7718715393134014E-2</c:v>
                </c:pt>
                <c:pt idx="505">
                  <c:v>2.3394994559303578E-2</c:v>
                </c:pt>
                <c:pt idx="506">
                  <c:v>-5.3163211057937322E-4</c:v>
                </c:pt>
                <c:pt idx="507">
                  <c:v>-3.2978723404255374E-2</c:v>
                </c:pt>
                <c:pt idx="508">
                  <c:v>4.1804180418041889E-2</c:v>
                </c:pt>
                <c:pt idx="509">
                  <c:v>-3.4054910242872202E-2</c:v>
                </c:pt>
                <c:pt idx="510">
                  <c:v>1.4758130636785983E-2</c:v>
                </c:pt>
                <c:pt idx="511">
                  <c:v>0</c:v>
                </c:pt>
                <c:pt idx="512">
                  <c:v>-8.6183678965795919E-3</c:v>
                </c:pt>
                <c:pt idx="513">
                  <c:v>-2.2819885900570588E-2</c:v>
                </c:pt>
                <c:pt idx="514">
                  <c:v>-5.5601890464275786E-2</c:v>
                </c:pt>
                <c:pt idx="515">
                  <c:v>-2.001766264350897E-2</c:v>
                </c:pt>
                <c:pt idx="516">
                  <c:v>-2.7035145689395107E-3</c:v>
                </c:pt>
                <c:pt idx="517">
                  <c:v>-5.3614457831325332E-2</c:v>
                </c:pt>
                <c:pt idx="518">
                  <c:v>-3.1826861871419476E-2</c:v>
                </c:pt>
                <c:pt idx="519">
                  <c:v>0</c:v>
                </c:pt>
                <c:pt idx="520">
                  <c:v>2.629848783694928E-2</c:v>
                </c:pt>
                <c:pt idx="521">
                  <c:v>-5.6694426649583587E-2</c:v>
                </c:pt>
                <c:pt idx="522">
                  <c:v>-3.3276740237691019E-2</c:v>
                </c:pt>
                <c:pt idx="523">
                  <c:v>-6.2873199859501197E-2</c:v>
                </c:pt>
                <c:pt idx="524">
                  <c:v>0.10757121439280364</c:v>
                </c:pt>
                <c:pt idx="525">
                  <c:v>8.5279187817258864E-2</c:v>
                </c:pt>
                <c:pt idx="526">
                  <c:v>-5.4879950109136315E-2</c:v>
                </c:pt>
                <c:pt idx="527">
                  <c:v>-2.5404157043879893E-2</c:v>
                </c:pt>
                <c:pt idx="528">
                  <c:v>9.4109681787406946E-2</c:v>
                </c:pt>
                <c:pt idx="529">
                  <c:v>2.7537128712871305E-2</c:v>
                </c:pt>
                <c:pt idx="530">
                  <c:v>1.3550135501354884E-2</c:v>
                </c:pt>
                <c:pt idx="531">
                  <c:v>-6.0606060606060483E-2</c:v>
                </c:pt>
                <c:pt idx="532">
                  <c:v>-5.4395951929158838E-2</c:v>
                </c:pt>
                <c:pt idx="533">
                  <c:v>7.9933110367892996E-2</c:v>
                </c:pt>
                <c:pt idx="534">
                  <c:v>-2.0439764633013321E-2</c:v>
                </c:pt>
                <c:pt idx="535">
                  <c:v>-2.4343977236800492E-2</c:v>
                </c:pt>
                <c:pt idx="536">
                  <c:v>-3.7265068049254654E-2</c:v>
                </c:pt>
                <c:pt idx="537">
                  <c:v>-5.8902726354762708E-2</c:v>
                </c:pt>
                <c:pt idx="538">
                  <c:v>-1.5021459227467872E-2</c:v>
                </c:pt>
                <c:pt idx="539">
                  <c:v>-4.9019607843137178E-2</c:v>
                </c:pt>
                <c:pt idx="540">
                  <c:v>0.1195112638411607</c:v>
                </c:pt>
                <c:pt idx="541">
                  <c:v>-9.2087312414733825E-3</c:v>
                </c:pt>
                <c:pt idx="542">
                  <c:v>5.6110154905335594E-2</c:v>
                </c:pt>
                <c:pt idx="543">
                  <c:v>2.9335071707953016E-3</c:v>
                </c:pt>
                <c:pt idx="544">
                  <c:v>-3.834904127396814E-2</c:v>
                </c:pt>
                <c:pt idx="545">
                  <c:v>6.015545792497469E-2</c:v>
                </c:pt>
                <c:pt idx="546">
                  <c:v>1.4982467325470157E-2</c:v>
                </c:pt>
                <c:pt idx="547">
                  <c:v>-4.6796482412060254E-2</c:v>
                </c:pt>
                <c:pt idx="548">
                  <c:v>3.459637561779233E-2</c:v>
                </c:pt>
                <c:pt idx="549">
                  <c:v>7.9617834394904458E-3</c:v>
                </c:pt>
                <c:pt idx="550">
                  <c:v>3.4439178515008009E-2</c:v>
                </c:pt>
                <c:pt idx="551">
                  <c:v>5.0397067806963909E-2</c:v>
                </c:pt>
                <c:pt idx="552">
                  <c:v>5.2340796743239231E-3</c:v>
                </c:pt>
                <c:pt idx="553">
                  <c:v>-2.8926815157645389E-4</c:v>
                </c:pt>
                <c:pt idx="554">
                  <c:v>3.9062499999999833E-2</c:v>
                </c:pt>
                <c:pt idx="555">
                  <c:v>5.541631857421337E-2</c:v>
                </c:pt>
                <c:pt idx="556">
                  <c:v>-3.2453825857519707E-2</c:v>
                </c:pt>
                <c:pt idx="557">
                  <c:v>2.5906735751295221E-2</c:v>
                </c:pt>
                <c:pt idx="558">
                  <c:v>3.987240829346244E-3</c:v>
                </c:pt>
                <c:pt idx="559">
                  <c:v>1.9592268996557978E-2</c:v>
                </c:pt>
                <c:pt idx="560">
                  <c:v>-3.4017138405608806E-2</c:v>
                </c:pt>
                <c:pt idx="561">
                  <c:v>-2.3655913978494692E-2</c:v>
                </c:pt>
                <c:pt idx="562">
                  <c:v>5.8094713656387652E-2</c:v>
                </c:pt>
                <c:pt idx="563">
                  <c:v>4.5277127244340409E-2</c:v>
                </c:pt>
                <c:pt idx="564">
                  <c:v>-1.7425939756036915E-2</c:v>
                </c:pt>
                <c:pt idx="565">
                  <c:v>1.1147707119331079E-2</c:v>
                </c:pt>
                <c:pt idx="566">
                  <c:v>3.8586820345778164E-2</c:v>
                </c:pt>
                <c:pt idx="567">
                  <c:v>-7.6477683956574227E-2</c:v>
                </c:pt>
                <c:pt idx="568">
                  <c:v>-3.657262277951948E-3</c:v>
                </c:pt>
                <c:pt idx="569">
                  <c:v>-3.9328788673308485E-3</c:v>
                </c:pt>
                <c:pt idx="570">
                  <c:v>-2.8428533824690849E-2</c:v>
                </c:pt>
                <c:pt idx="571">
                  <c:v>0</c:v>
                </c:pt>
                <c:pt idx="572">
                  <c:v>8.127878623679528E-4</c:v>
                </c:pt>
                <c:pt idx="573">
                  <c:v>-4.2772062804547872E-2</c:v>
                </c:pt>
                <c:pt idx="574">
                  <c:v>-2.9977375565610923E-2</c:v>
                </c:pt>
                <c:pt idx="575">
                  <c:v>6.4139941690963846E-3</c:v>
                </c:pt>
                <c:pt idx="576">
                  <c:v>9.3279258400926962E-2</c:v>
                </c:pt>
                <c:pt idx="577">
                  <c:v>-1.1658717541070609E-2</c:v>
                </c:pt>
                <c:pt idx="578">
                  <c:v>6.5415549597855366E-2</c:v>
                </c:pt>
                <c:pt idx="579">
                  <c:v>1.8117765475591314E-2</c:v>
                </c:pt>
                <c:pt idx="580">
                  <c:v>4.1028175976272778E-2</c:v>
                </c:pt>
                <c:pt idx="581">
                  <c:v>-9.9715099715098447E-3</c:v>
                </c:pt>
                <c:pt idx="582">
                  <c:v>-5.9952038369304557E-3</c:v>
                </c:pt>
                <c:pt idx="583">
                  <c:v>-2.5331724969843285E-2</c:v>
                </c:pt>
                <c:pt idx="584">
                  <c:v>-1.6336633663366254E-2</c:v>
                </c:pt>
                <c:pt idx="585">
                  <c:v>2.8686462003019639E-2</c:v>
                </c:pt>
                <c:pt idx="586">
                  <c:v>4.500978473581204E-2</c:v>
                </c:pt>
                <c:pt idx="587">
                  <c:v>1.0767790262172306E-2</c:v>
                </c:pt>
                <c:pt idx="588">
                  <c:v>-9.7267253358036525E-3</c:v>
                </c:pt>
                <c:pt idx="589">
                  <c:v>-2.5491113189897014E-2</c:v>
                </c:pt>
                <c:pt idx="590">
                  <c:v>2.0398368130549589E-2</c:v>
                </c:pt>
                <c:pt idx="591">
                  <c:v>6.5145813734712982E-2</c:v>
                </c:pt>
                <c:pt idx="592">
                  <c:v>1.6339147714727355E-2</c:v>
                </c:pt>
                <c:pt idx="593">
                  <c:v>-1.0862480990659193E-3</c:v>
                </c:pt>
                <c:pt idx="594">
                  <c:v>-2.6750761200521899E-2</c:v>
                </c:pt>
                <c:pt idx="595">
                  <c:v>-2.4581005586592212E-2</c:v>
                </c:pt>
                <c:pt idx="596">
                  <c:v>2.7491408934708947E-3</c:v>
                </c:pt>
                <c:pt idx="597">
                  <c:v>1.2794151245144965E-2</c:v>
                </c:pt>
                <c:pt idx="598">
                  <c:v>5.6395217685540266E-3</c:v>
                </c:pt>
                <c:pt idx="599">
                  <c:v>-2.5347689546881907E-2</c:v>
                </c:pt>
                <c:pt idx="600">
                  <c:v>2.8308400460299119E-2</c:v>
                </c:pt>
                <c:pt idx="601">
                  <c:v>3.4243509400179076E-2</c:v>
                </c:pt>
                <c:pt idx="602">
                  <c:v>9.3053451633845433E-3</c:v>
                </c:pt>
                <c:pt idx="603">
                  <c:v>-9.0051457975986651E-3</c:v>
                </c:pt>
                <c:pt idx="604">
                  <c:v>3.2453483340545222E-2</c:v>
                </c:pt>
                <c:pt idx="605">
                  <c:v>1.1944677284157592E-2</c:v>
                </c:pt>
                <c:pt idx="606">
                  <c:v>-3.5203975978463802E-3</c:v>
                </c:pt>
                <c:pt idx="607">
                  <c:v>8.3125519534495325E-4</c:v>
                </c:pt>
                <c:pt idx="608">
                  <c:v>-1.0174418604651058E-2</c:v>
                </c:pt>
                <c:pt idx="609">
                  <c:v>9.439899307740628E-3</c:v>
                </c:pt>
                <c:pt idx="610">
                  <c:v>-1.6625103906899065E-3</c:v>
                </c:pt>
                <c:pt idx="611">
                  <c:v>2.2064945878434685E-2</c:v>
                </c:pt>
                <c:pt idx="612">
                  <c:v>-2.0366598778004362E-3</c:v>
                </c:pt>
                <c:pt idx="613">
                  <c:v>7.3469387755101924E-3</c:v>
                </c:pt>
                <c:pt idx="614">
                  <c:v>-5.2674230145866698E-3</c:v>
                </c:pt>
                <c:pt idx="615">
                  <c:v>-6.1099796334014534E-4</c:v>
                </c:pt>
                <c:pt idx="616">
                  <c:v>1.4265335235378088E-3</c:v>
                </c:pt>
                <c:pt idx="617">
                  <c:v>-9.1575091575092152E-3</c:v>
                </c:pt>
                <c:pt idx="618">
                  <c:v>2.0948860135551514E-2</c:v>
                </c:pt>
                <c:pt idx="619">
                  <c:v>1.3277006638503251E-2</c:v>
                </c:pt>
                <c:pt idx="620">
                  <c:v>1.7073654953345233E-2</c:v>
                </c:pt>
                <c:pt idx="621">
                  <c:v>-1.385906695295713E-2</c:v>
                </c:pt>
                <c:pt idx="622">
                  <c:v>-2.8305621536025328E-2</c:v>
                </c:pt>
                <c:pt idx="623">
                  <c:v>-4.0741495212874889E-3</c:v>
                </c:pt>
                <c:pt idx="624">
                  <c:v>-8.1816322356309795E-3</c:v>
                </c:pt>
                <c:pt idx="625">
                  <c:v>-1.1755001031140447E-2</c:v>
                </c:pt>
                <c:pt idx="626">
                  <c:v>-3.7145242070116886E-2</c:v>
                </c:pt>
                <c:pt idx="627">
                  <c:v>4.0312093628088415E-2</c:v>
                </c:pt>
                <c:pt idx="628">
                  <c:v>2.9166666666666636E-2</c:v>
                </c:pt>
                <c:pt idx="629">
                  <c:v>-9.1093117408906025E-3</c:v>
                </c:pt>
                <c:pt idx="630">
                  <c:v>4.2900919305412406E-3</c:v>
                </c:pt>
                <c:pt idx="631">
                  <c:v>3.6615134255493661E-3</c:v>
                </c:pt>
                <c:pt idx="632">
                  <c:v>-5.350628293473856E-2</c:v>
                </c:pt>
                <c:pt idx="633">
                  <c:v>-1.9271948608137166E-2</c:v>
                </c:pt>
                <c:pt idx="634">
                  <c:v>4.6506550218340673E-2</c:v>
                </c:pt>
                <c:pt idx="635">
                  <c:v>4.0058418527018608E-2</c:v>
                </c:pt>
                <c:pt idx="636">
                  <c:v>-3.1695085255767266E-2</c:v>
                </c:pt>
                <c:pt idx="637">
                  <c:v>1.5537600994406462E-2</c:v>
                </c:pt>
                <c:pt idx="638">
                  <c:v>-4.6715626274989923E-2</c:v>
                </c:pt>
                <c:pt idx="639">
                  <c:v>1.369569869462873E-2</c:v>
                </c:pt>
                <c:pt idx="640">
                  <c:v>-4.5387375976356316E-2</c:v>
                </c:pt>
                <c:pt idx="641">
                  <c:v>3.317116320212264E-3</c:v>
                </c:pt>
                <c:pt idx="642">
                  <c:v>-1.410623760193962E-2</c:v>
                </c:pt>
                <c:pt idx="643">
                  <c:v>4.6724793203666522E-2</c:v>
                </c:pt>
                <c:pt idx="644">
                  <c:v>-4.1648868005126072E-2</c:v>
                </c:pt>
                <c:pt idx="645">
                  <c:v>1.7160686427457168E-2</c:v>
                </c:pt>
                <c:pt idx="646">
                  <c:v>6.3540753724802617E-3</c:v>
                </c:pt>
                <c:pt idx="647">
                  <c:v>-1.5240583496625361E-2</c:v>
                </c:pt>
                <c:pt idx="648">
                  <c:v>-1.3044439531284464E-2</c:v>
                </c:pt>
                <c:pt idx="649">
                  <c:v>7.1684587813620132E-3</c:v>
                </c:pt>
                <c:pt idx="650">
                  <c:v>-2.2241992882562279E-2</c:v>
                </c:pt>
                <c:pt idx="651">
                  <c:v>-1.2511373976342227E-2</c:v>
                </c:pt>
                <c:pt idx="652">
                  <c:v>-2.3266528449665931E-2</c:v>
                </c:pt>
                <c:pt idx="653">
                  <c:v>-5.6603773584906134E-3</c:v>
                </c:pt>
                <c:pt idx="654">
                  <c:v>-6.1669829222010921E-3</c:v>
                </c:pt>
                <c:pt idx="655">
                  <c:v>-1.8377088305489165E-2</c:v>
                </c:pt>
                <c:pt idx="656">
                  <c:v>9.9683929005591181E-3</c:v>
                </c:pt>
                <c:pt idx="657">
                  <c:v>-3.5869041887337555E-2</c:v>
                </c:pt>
                <c:pt idx="658">
                  <c:v>-1.3732833957552988E-2</c:v>
                </c:pt>
                <c:pt idx="659">
                  <c:v>3.2911392405063217E-2</c:v>
                </c:pt>
                <c:pt idx="660">
                  <c:v>2.7450980392156977E-2</c:v>
                </c:pt>
                <c:pt idx="661">
                  <c:v>-2.1469465648855774E-3</c:v>
                </c:pt>
                <c:pt idx="662">
                  <c:v>2.9404733444896105E-2</c:v>
                </c:pt>
                <c:pt idx="663">
                  <c:v>-6.5025545750116379E-3</c:v>
                </c:pt>
                <c:pt idx="664">
                  <c:v>-2.4076671341748505E-2</c:v>
                </c:pt>
                <c:pt idx="665">
                  <c:v>4.2155688622754442E-2</c:v>
                </c:pt>
                <c:pt idx="666">
                  <c:v>2.206389335784879E-2</c:v>
                </c:pt>
                <c:pt idx="667">
                  <c:v>2.8108837418484373E-2</c:v>
                </c:pt>
                <c:pt idx="668">
                  <c:v>1.8591426071741062E-2</c:v>
                </c:pt>
                <c:pt idx="669">
                  <c:v>5.1535323169422803E-3</c:v>
                </c:pt>
                <c:pt idx="670">
                  <c:v>2.9694509720145278E-2</c:v>
                </c:pt>
                <c:pt idx="671">
                  <c:v>5.8091286307052703E-3</c:v>
                </c:pt>
                <c:pt idx="672">
                  <c:v>-3.465346534653465E-2</c:v>
                </c:pt>
                <c:pt idx="673">
                  <c:v>1.5811965811965856E-2</c:v>
                </c:pt>
                <c:pt idx="674">
                  <c:v>-2.6293647454774926E-2</c:v>
                </c:pt>
                <c:pt idx="675">
                  <c:v>1.4689997839706195E-2</c:v>
                </c:pt>
                <c:pt idx="676">
                  <c:v>1.4264424100489712E-2</c:v>
                </c:pt>
                <c:pt idx="677">
                  <c:v>-1.4063811922754023E-2</c:v>
                </c:pt>
                <c:pt idx="678">
                  <c:v>-1.3838620395997415E-2</c:v>
                </c:pt>
                <c:pt idx="679">
                  <c:v>-3.5405872193436973E-2</c:v>
                </c:pt>
                <c:pt idx="680">
                  <c:v>-3.3795881826320456E-2</c:v>
                </c:pt>
                <c:pt idx="681">
                  <c:v>2.8260365994903842E-2</c:v>
                </c:pt>
                <c:pt idx="682">
                  <c:v>0</c:v>
                </c:pt>
                <c:pt idx="683">
                  <c:v>1.0362694300518154E-2</c:v>
                </c:pt>
                <c:pt idx="684">
                  <c:v>1.3823857302118114E-2</c:v>
                </c:pt>
                <c:pt idx="685">
                  <c:v>4.7503848691444993E-2</c:v>
                </c:pt>
                <c:pt idx="686">
                  <c:v>-3.6741549443627966E-2</c:v>
                </c:pt>
                <c:pt idx="687">
                  <c:v>8.718395815169977E-3</c:v>
                </c:pt>
                <c:pt idx="688">
                  <c:v>-2.9602420051858352E-2</c:v>
                </c:pt>
                <c:pt idx="689">
                  <c:v>-2.8724114896459568E-2</c:v>
                </c:pt>
                <c:pt idx="690">
                  <c:v>5.2728106373224207E-3</c:v>
                </c:pt>
                <c:pt idx="691">
                  <c:v>-1.847206385404794E-2</c:v>
                </c:pt>
                <c:pt idx="692">
                  <c:v>6.9702602230484259E-3</c:v>
                </c:pt>
                <c:pt idx="693">
                  <c:v>1.1767420396861974E-2</c:v>
                </c:pt>
                <c:pt idx="694">
                  <c:v>3.3751425313568915E-2</c:v>
                </c:pt>
                <c:pt idx="695">
                  <c:v>1.6986543128171258E-2</c:v>
                </c:pt>
                <c:pt idx="696">
                  <c:v>-3.774403470715839E-2</c:v>
                </c:pt>
                <c:pt idx="697">
                  <c:v>2.7953110910730432E-2</c:v>
                </c:pt>
                <c:pt idx="698">
                  <c:v>-2.0833333333333395E-2</c:v>
                </c:pt>
                <c:pt idx="699">
                  <c:v>5.4199328107502838E-2</c:v>
                </c:pt>
                <c:pt idx="700">
                  <c:v>1.3809220310176304E-2</c:v>
                </c:pt>
                <c:pt idx="701">
                  <c:v>0</c:v>
                </c:pt>
                <c:pt idx="702">
                  <c:v>2.263202011735118E-2</c:v>
                </c:pt>
                <c:pt idx="703">
                  <c:v>-2.6639344262294152E-3</c:v>
                </c:pt>
                <c:pt idx="704">
                  <c:v>2.2190260941031402E-2</c:v>
                </c:pt>
                <c:pt idx="705">
                  <c:v>1.3869346733668296E-2</c:v>
                </c:pt>
                <c:pt idx="706">
                  <c:v>-1.348136399682791E-2</c:v>
                </c:pt>
                <c:pt idx="707">
                  <c:v>0</c:v>
                </c:pt>
                <c:pt idx="708">
                  <c:v>1.9292604501607736E-2</c:v>
                </c:pt>
                <c:pt idx="709">
                  <c:v>-1.1435331230283879E-2</c:v>
                </c:pt>
                <c:pt idx="710">
                  <c:v>6.5815715995213063E-3</c:v>
                </c:pt>
                <c:pt idx="711">
                  <c:v>-2.3776500891618279E-3</c:v>
                </c:pt>
                <c:pt idx="712">
                  <c:v>-7.5471698113208051E-3</c:v>
                </c:pt>
                <c:pt idx="713">
                  <c:v>6.6039623774264223E-3</c:v>
                </c:pt>
                <c:pt idx="714">
                  <c:v>2.5646123260437501E-2</c:v>
                </c:pt>
                <c:pt idx="715">
                  <c:v>-2.4811009885636771E-2</c:v>
                </c:pt>
                <c:pt idx="716">
                  <c:v>5.9630292188431154E-3</c:v>
                </c:pt>
                <c:pt idx="717">
                  <c:v>-8.4963445959296523E-3</c:v>
                </c:pt>
                <c:pt idx="718">
                  <c:v>-1.454762853726578E-2</c:v>
                </c:pt>
                <c:pt idx="719">
                  <c:v>-1.4155712841253849E-2</c:v>
                </c:pt>
                <c:pt idx="720">
                  <c:v>1.969230769230771E-2</c:v>
                </c:pt>
                <c:pt idx="721">
                  <c:v>-1.9915509957755019E-2</c:v>
                </c:pt>
                <c:pt idx="722">
                  <c:v>-3.8793103448275877E-2</c:v>
                </c:pt>
                <c:pt idx="723">
                  <c:v>-3.6301516122144292E-3</c:v>
                </c:pt>
                <c:pt idx="724">
                  <c:v>-2.871838834119152E-2</c:v>
                </c:pt>
                <c:pt idx="725">
                  <c:v>-1.4563106796116587E-2</c:v>
                </c:pt>
                <c:pt idx="726">
                  <c:v>-1.3210927004030371E-2</c:v>
                </c:pt>
                <c:pt idx="727">
                  <c:v>1.8379850238257368E-2</c:v>
                </c:pt>
                <c:pt idx="728">
                  <c:v>1.7825311942958621E-3</c:v>
                </c:pt>
                <c:pt idx="729">
                  <c:v>5.338078291814991E-3</c:v>
                </c:pt>
                <c:pt idx="730">
                  <c:v>-1.2831858407079766E-2</c:v>
                </c:pt>
                <c:pt idx="731">
                  <c:v>-2.7566113850291282E-2</c:v>
                </c:pt>
                <c:pt idx="732">
                  <c:v>-2.3046784973496525E-3</c:v>
                </c:pt>
                <c:pt idx="733">
                  <c:v>5.9367059367059376E-2</c:v>
                </c:pt>
                <c:pt idx="734">
                  <c:v>-6.541648495420784E-3</c:v>
                </c:pt>
                <c:pt idx="735">
                  <c:v>-4.170324846356559E-3</c:v>
                </c:pt>
                <c:pt idx="736">
                  <c:v>7.0531188009698102E-3</c:v>
                </c:pt>
                <c:pt idx="737">
                  <c:v>3.9177062814620252E-2</c:v>
                </c:pt>
                <c:pt idx="738">
                  <c:v>1.2426284751474377E-2</c:v>
                </c:pt>
                <c:pt idx="739">
                  <c:v>-2.8084044102350769E-2</c:v>
                </c:pt>
                <c:pt idx="740">
                  <c:v>0</c:v>
                </c:pt>
                <c:pt idx="741">
                  <c:v>0</c:v>
                </c:pt>
                <c:pt idx="742">
                  <c:v>-2.2688356164383611E-2</c:v>
                </c:pt>
                <c:pt idx="743">
                  <c:v>-8.1033727551466806E-3</c:v>
                </c:pt>
                <c:pt idx="744">
                  <c:v>9.0969308898211476E-2</c:v>
                </c:pt>
                <c:pt idx="745">
                  <c:v>3.3798826148552959E-2</c:v>
                </c:pt>
                <c:pt idx="746">
                  <c:v>1.2137823022709564E-2</c:v>
                </c:pt>
                <c:pt idx="747">
                  <c:v>3.8684719535775667E-4</c:v>
                </c:pt>
                <c:pt idx="748">
                  <c:v>-1.4887857695282213E-2</c:v>
                </c:pt>
                <c:pt idx="749">
                  <c:v>-2.1589793915603561E-2</c:v>
                </c:pt>
                <c:pt idx="750">
                  <c:v>1.9859578736208666E-2</c:v>
                </c:pt>
                <c:pt idx="751">
                  <c:v>1.3178599527930657E-2</c:v>
                </c:pt>
                <c:pt idx="752">
                  <c:v>2.3878858474082779E-2</c:v>
                </c:pt>
                <c:pt idx="753">
                  <c:v>4.7402351156617369E-3</c:v>
                </c:pt>
                <c:pt idx="754">
                  <c:v>-3.7365540668050652E-2</c:v>
                </c:pt>
                <c:pt idx="755">
                  <c:v>-2.1564399137423925E-3</c:v>
                </c:pt>
                <c:pt idx="756">
                  <c:v>2.0235756385068786E-2</c:v>
                </c:pt>
                <c:pt idx="757">
                  <c:v>3.8513383400732302E-3</c:v>
                </c:pt>
                <c:pt idx="758">
                  <c:v>1.7264530980240994E-3</c:v>
                </c:pt>
                <c:pt idx="759">
                  <c:v>-1.4936805821524343E-2</c:v>
                </c:pt>
                <c:pt idx="760">
                  <c:v>1.0497667185069968E-2</c:v>
                </c:pt>
                <c:pt idx="761">
                  <c:v>5.7714505579071064E-4</c:v>
                </c:pt>
                <c:pt idx="762">
                  <c:v>1.5573928090751823E-2</c:v>
                </c:pt>
                <c:pt idx="763">
                  <c:v>2.2529344945096511E-2</c:v>
                </c:pt>
                <c:pt idx="764">
                  <c:v>-3.8881688576189754E-3</c:v>
                </c:pt>
                <c:pt idx="765">
                  <c:v>-9.2936802973972422E-4</c:v>
                </c:pt>
                <c:pt idx="766">
                  <c:v>-2.5860465116279079E-2</c:v>
                </c:pt>
                <c:pt idx="767">
                  <c:v>1.7188693659281867E-2</c:v>
                </c:pt>
                <c:pt idx="768">
                  <c:v>9.5756665414946512E-3</c:v>
                </c:pt>
                <c:pt idx="769">
                  <c:v>3.9055235261296955E-3</c:v>
                </c:pt>
                <c:pt idx="770">
                  <c:v>-3.7606520933679034E-2</c:v>
                </c:pt>
                <c:pt idx="771">
                  <c:v>-2.1751684311838354E-2</c:v>
                </c:pt>
                <c:pt idx="772">
                  <c:v>2.6957890594254179E-2</c:v>
                </c:pt>
                <c:pt idx="773">
                  <c:v>1.5711822188158656E-2</c:v>
                </c:pt>
                <c:pt idx="774">
                  <c:v>-1.2261837389171828E-2</c:v>
                </c:pt>
                <c:pt idx="775">
                  <c:v>1.7188693659282545E-3</c:v>
                </c:pt>
                <c:pt idx="776">
                  <c:v>-2.5357483317445289E-2</c:v>
                </c:pt>
                <c:pt idx="777">
                  <c:v>5.2816901408451319E-3</c:v>
                </c:pt>
                <c:pt idx="778">
                  <c:v>1.8291496400077791E-2</c:v>
                </c:pt>
                <c:pt idx="779">
                  <c:v>8.4081788648959453E-3</c:v>
                </c:pt>
                <c:pt idx="780">
                  <c:v>-7.3905628197839784E-3</c:v>
                </c:pt>
                <c:pt idx="781">
                  <c:v>-4.5819014891180215E-3</c:v>
                </c:pt>
                <c:pt idx="782">
                  <c:v>2.1097046413502137E-2</c:v>
                </c:pt>
                <c:pt idx="783">
                  <c:v>-1.1269722013524093E-3</c:v>
                </c:pt>
                <c:pt idx="784">
                  <c:v>-1.0342233922527212E-2</c:v>
                </c:pt>
                <c:pt idx="785">
                  <c:v>2.2800684020520129E-3</c:v>
                </c:pt>
                <c:pt idx="786">
                  <c:v>2.180094786729855E-2</c:v>
                </c:pt>
                <c:pt idx="787">
                  <c:v>-6.49350649350652E-3</c:v>
                </c:pt>
                <c:pt idx="788">
                  <c:v>4.8552754435108331E-3</c:v>
                </c:pt>
                <c:pt idx="789">
                  <c:v>-1.4867125069689728E-2</c:v>
                </c:pt>
                <c:pt idx="790">
                  <c:v>-1.5468779475570653E-2</c:v>
                </c:pt>
                <c:pt idx="791">
                  <c:v>3.4489365778884789E-3</c:v>
                </c:pt>
                <c:pt idx="792">
                  <c:v>1.1838839029979084E-2</c:v>
                </c:pt>
                <c:pt idx="793">
                  <c:v>1.6040762408001535E-2</c:v>
                </c:pt>
                <c:pt idx="794">
                  <c:v>-1.6344725111441354E-2</c:v>
                </c:pt>
                <c:pt idx="795">
                  <c:v>4.7205438066465254E-3</c:v>
                </c:pt>
                <c:pt idx="796">
                  <c:v>-1.8793459875963432E-3</c:v>
                </c:pt>
                <c:pt idx="797">
                  <c:v>5.6486537375258364E-3</c:v>
                </c:pt>
                <c:pt idx="798">
                  <c:v>0</c:v>
                </c:pt>
                <c:pt idx="799">
                  <c:v>1.1421082194345752E-2</c:v>
                </c:pt>
                <c:pt idx="800">
                  <c:v>-7.5897815623843703E-3</c:v>
                </c:pt>
                <c:pt idx="801">
                  <c:v>1.6228315612758767E-2</c:v>
                </c:pt>
                <c:pt idx="802">
                  <c:v>-8.9941262848750904E-3</c:v>
                </c:pt>
                <c:pt idx="803">
                  <c:v>9.2609742544910462E-4</c:v>
                </c:pt>
                <c:pt idx="804">
                  <c:v>-7.4019245003699387E-4</c:v>
                </c:pt>
                <c:pt idx="805">
                  <c:v>-3.3333333333333279E-3</c:v>
                </c:pt>
                <c:pt idx="806">
                  <c:v>-2.2110739502043807E-2</c:v>
                </c:pt>
                <c:pt idx="807">
                  <c:v>1.3300399011970278E-2</c:v>
                </c:pt>
                <c:pt idx="808">
                  <c:v>-2.6251640727545577E-3</c:v>
                </c:pt>
                <c:pt idx="809">
                  <c:v>-9.5882684715171661E-3</c:v>
                </c:pt>
                <c:pt idx="810">
                  <c:v>-5.4100227790432831E-2</c:v>
                </c:pt>
                <c:pt idx="811">
                  <c:v>-2.1673690547862699E-2</c:v>
                </c:pt>
                <c:pt idx="812">
                  <c:v>-1.4358974358974418E-2</c:v>
                </c:pt>
                <c:pt idx="813">
                  <c:v>-2.0811654526533678E-3</c:v>
                </c:pt>
                <c:pt idx="814">
                  <c:v>-1.4807090719499495E-2</c:v>
                </c:pt>
                <c:pt idx="815">
                  <c:v>2.3285351397121113E-2</c:v>
                </c:pt>
                <c:pt idx="816">
                  <c:v>-8.274720728176717E-4</c:v>
                </c:pt>
                <c:pt idx="817">
                  <c:v>8.2815734989660989E-4</c:v>
                </c:pt>
                <c:pt idx="818">
                  <c:v>-1.1377741001241296E-2</c:v>
                </c:pt>
                <c:pt idx="819">
                  <c:v>-1.6112157355095125E-2</c:v>
                </c:pt>
                <c:pt idx="820">
                  <c:v>5.7422373458102085E-3</c:v>
                </c:pt>
                <c:pt idx="821">
                  <c:v>-6.1323747092408365E-3</c:v>
                </c:pt>
                <c:pt idx="822">
                  <c:v>6.3829787234041951E-3</c:v>
                </c:pt>
                <c:pt idx="823">
                  <c:v>-5.9196617336150963E-3</c:v>
                </c:pt>
                <c:pt idx="824">
                  <c:v>2.8498511271799153E-2</c:v>
                </c:pt>
                <c:pt idx="825">
                  <c:v>2.2952853598014876E-2</c:v>
                </c:pt>
                <c:pt idx="826">
                  <c:v>1.6777845158681994E-2</c:v>
                </c:pt>
                <c:pt idx="827">
                  <c:v>4.7713717693837372E-3</c:v>
                </c:pt>
                <c:pt idx="828">
                  <c:v>-5.7380292837356378E-3</c:v>
                </c:pt>
                <c:pt idx="829">
                  <c:v>1.472636815920402E-2</c:v>
                </c:pt>
                <c:pt idx="830">
                  <c:v>2.941753284957807E-3</c:v>
                </c:pt>
                <c:pt idx="831">
                  <c:v>1.0754790770434047E-2</c:v>
                </c:pt>
                <c:pt idx="832">
                  <c:v>1.083381698587739E-2</c:v>
                </c:pt>
                <c:pt idx="833">
                  <c:v>1.5502392344497651E-2</c:v>
                </c:pt>
                <c:pt idx="834">
                  <c:v>6.0309084055785956E-3</c:v>
                </c:pt>
                <c:pt idx="835">
                  <c:v>-4.870738104158957E-3</c:v>
                </c:pt>
                <c:pt idx="836">
                  <c:v>1.3177710843373547E-3</c:v>
                </c:pt>
                <c:pt idx="837">
                  <c:v>-1.0716300056401585E-2</c:v>
                </c:pt>
                <c:pt idx="838">
                  <c:v>-3.0406689471683124E-3</c:v>
                </c:pt>
                <c:pt idx="839">
                  <c:v>-3.7552420892108251E-2</c:v>
                </c:pt>
                <c:pt idx="840">
                  <c:v>-4.555357496534046E-3</c:v>
                </c:pt>
                <c:pt idx="841">
                  <c:v>-1.2335853561480252E-2</c:v>
                </c:pt>
                <c:pt idx="842">
                  <c:v>-1.4907332796132192E-2</c:v>
                </c:pt>
                <c:pt idx="843">
                  <c:v>6.5439672801636053E-3</c:v>
                </c:pt>
                <c:pt idx="844">
                  <c:v>0</c:v>
                </c:pt>
                <c:pt idx="845">
                  <c:v>-5.2824055262088183E-3</c:v>
                </c:pt>
                <c:pt idx="846">
                  <c:v>7.1486928104575456E-3</c:v>
                </c:pt>
                <c:pt idx="847">
                  <c:v>-9.7343338065301963E-3</c:v>
                </c:pt>
                <c:pt idx="848">
                  <c:v>-2.4165472045873434E-2</c:v>
                </c:pt>
                <c:pt idx="849">
                  <c:v>2.938090241343139E-3</c:v>
                </c:pt>
                <c:pt idx="850">
                  <c:v>-4.6871730487549737E-2</c:v>
                </c:pt>
                <c:pt idx="851">
                  <c:v>1.4928649835345769E-2</c:v>
                </c:pt>
                <c:pt idx="852">
                  <c:v>4.9751243781095394E-3</c:v>
                </c:pt>
                <c:pt idx="853">
                  <c:v>-1.3344812742143724E-2</c:v>
                </c:pt>
                <c:pt idx="854">
                  <c:v>3.1413612565444976E-2</c:v>
                </c:pt>
                <c:pt idx="855">
                  <c:v>1.1209813874788518E-2</c:v>
                </c:pt>
                <c:pt idx="856">
                  <c:v>4.1832252666797784E-4</c:v>
                </c:pt>
                <c:pt idx="857">
                  <c:v>2.1534601714405209E-2</c:v>
                </c:pt>
                <c:pt idx="858">
                  <c:v>-4.502660663119093E-3</c:v>
                </c:pt>
                <c:pt idx="859">
                  <c:v>8.2236842105262858E-3</c:v>
                </c:pt>
                <c:pt idx="860">
                  <c:v>6.5252854812398097E-3</c:v>
                </c:pt>
                <c:pt idx="861">
                  <c:v>1.9448946515397102E-2</c:v>
                </c:pt>
                <c:pt idx="862">
                  <c:v>9.7376788553259538E-3</c:v>
                </c:pt>
                <c:pt idx="863">
                  <c:v>6.1011611887422778E-3</c:v>
                </c:pt>
                <c:pt idx="864">
                  <c:v>-2.5430359937401305E-3</c:v>
                </c:pt>
                <c:pt idx="865">
                  <c:v>-4.7460286330653099E-2</c:v>
                </c:pt>
                <c:pt idx="866">
                  <c:v>2.0794729256742805E-2</c:v>
                </c:pt>
                <c:pt idx="867">
                  <c:v>1.0084711577249752E-3</c:v>
                </c:pt>
                <c:pt idx="868">
                  <c:v>-2.699979850896642E-2</c:v>
                </c:pt>
                <c:pt idx="869">
                  <c:v>6.2124663491408441E-4</c:v>
                </c:pt>
                <c:pt idx="870">
                  <c:v>-1.3245033112582794E-2</c:v>
                </c:pt>
                <c:pt idx="871">
                  <c:v>-5.8724832214765337E-3</c:v>
                </c:pt>
                <c:pt idx="872">
                  <c:v>1.5400843881856625E-2</c:v>
                </c:pt>
                <c:pt idx="873">
                  <c:v>-4.8410554747558808E-2</c:v>
                </c:pt>
                <c:pt idx="874">
                  <c:v>-2.6200873362444859E-3</c:v>
                </c:pt>
                <c:pt idx="875">
                  <c:v>3.0647985989492245E-3</c:v>
                </c:pt>
                <c:pt idx="876">
                  <c:v>6.1108686163247735E-3</c:v>
                </c:pt>
                <c:pt idx="877">
                  <c:v>6.7245119305855781E-3</c:v>
                </c:pt>
                <c:pt idx="878">
                  <c:v>-3.4906270200387793E-2</c:v>
                </c:pt>
                <c:pt idx="879">
                  <c:v>-7.1444518865818327E-3</c:v>
                </c:pt>
                <c:pt idx="880">
                  <c:v>5.8466381830447047E-3</c:v>
                </c:pt>
                <c:pt idx="881">
                  <c:v>-1.0954616588419291E-2</c:v>
                </c:pt>
                <c:pt idx="882">
                  <c:v>-2.0343580470162714E-2</c:v>
                </c:pt>
                <c:pt idx="883">
                  <c:v>-1.9843101061375323E-2</c:v>
                </c:pt>
                <c:pt idx="884">
                  <c:v>1.1770244821093284E-3</c:v>
                </c:pt>
                <c:pt idx="885">
                  <c:v>7.7592287796848878E-3</c:v>
                </c:pt>
                <c:pt idx="886">
                  <c:v>8.8660755949603962E-3</c:v>
                </c:pt>
                <c:pt idx="887">
                  <c:v>2.3358001850138713E-2</c:v>
                </c:pt>
                <c:pt idx="888">
                  <c:v>1.107344632768366E-2</c:v>
                </c:pt>
                <c:pt idx="889">
                  <c:v>3.129190880643732E-3</c:v>
                </c:pt>
                <c:pt idx="890">
                  <c:v>2.5401069518716589E-2</c:v>
                </c:pt>
                <c:pt idx="891">
                  <c:v>0</c:v>
                </c:pt>
                <c:pt idx="892">
                  <c:v>-1.9774011299435106E-2</c:v>
                </c:pt>
                <c:pt idx="893">
                  <c:v>9.0888938151186816E-3</c:v>
                </c:pt>
                <c:pt idx="894">
                  <c:v>-2.7899824253075637E-2</c:v>
                </c:pt>
                <c:pt idx="895">
                  <c:v>3.3898305084745441E-3</c:v>
                </c:pt>
                <c:pt idx="896">
                  <c:v>1.4864864864864949E-2</c:v>
                </c:pt>
                <c:pt idx="897">
                  <c:v>9.3209054593873623E-3</c:v>
                </c:pt>
                <c:pt idx="898">
                  <c:v>1.2752858399296513E-2</c:v>
                </c:pt>
                <c:pt idx="899">
                  <c:v>1.0204081632653036E-2</c:v>
                </c:pt>
                <c:pt idx="900">
                  <c:v>-1.0960670535138578E-2</c:v>
                </c:pt>
                <c:pt idx="901">
                  <c:v>8.2572794437200218E-3</c:v>
                </c:pt>
                <c:pt idx="902">
                  <c:v>1.5086206896551786E-2</c:v>
                </c:pt>
                <c:pt idx="903">
                  <c:v>-7.8556263269640037E-3</c:v>
                </c:pt>
                <c:pt idx="904">
                  <c:v>-2.0329552749839414E-2</c:v>
                </c:pt>
                <c:pt idx="905">
                  <c:v>9.3927479248580095E-3</c:v>
                </c:pt>
                <c:pt idx="906">
                  <c:v>3.3758926639255622E-2</c:v>
                </c:pt>
                <c:pt idx="907">
                  <c:v>1.6956248691647375E-2</c:v>
                </c:pt>
                <c:pt idx="908">
                  <c:v>9.6747632770687302E-3</c:v>
                </c:pt>
                <c:pt idx="909">
                  <c:v>1.3659531090723787E-2</c:v>
                </c:pt>
                <c:pt idx="910">
                  <c:v>9.8551890587289213E-3</c:v>
                </c:pt>
                <c:pt idx="911">
                  <c:v>-2.0314678350926173E-2</c:v>
                </c:pt>
                <c:pt idx="912">
                  <c:v>8.3350274446026378E-3</c:v>
                </c:pt>
                <c:pt idx="913">
                  <c:v>-1.1491935483870973E-2</c:v>
                </c:pt>
                <c:pt idx="914">
                  <c:v>1.1013665102998147E-2</c:v>
                </c:pt>
                <c:pt idx="915">
                  <c:v>-4.0346984062941864E-3</c:v>
                </c:pt>
                <c:pt idx="916">
                  <c:v>-6.0765647154141615E-3</c:v>
                </c:pt>
                <c:pt idx="917">
                  <c:v>1.0597106174852315E-2</c:v>
                </c:pt>
                <c:pt idx="918">
                  <c:v>-2.1173623714458644E-2</c:v>
                </c:pt>
                <c:pt idx="919">
                  <c:v>5.5624227441286181E-3</c:v>
                </c:pt>
                <c:pt idx="920">
                  <c:v>-2.4994878098750232E-2</c:v>
                </c:pt>
                <c:pt idx="921">
                  <c:v>-4.2025635637745585E-4</c:v>
                </c:pt>
                <c:pt idx="922">
                  <c:v>-1.618667227244068E-2</c:v>
                </c:pt>
                <c:pt idx="923">
                  <c:v>5.7692307692308363E-3</c:v>
                </c:pt>
                <c:pt idx="924">
                  <c:v>3.2292330571489336E-2</c:v>
                </c:pt>
                <c:pt idx="925">
                  <c:v>-2.4696439596624875E-2</c:v>
                </c:pt>
                <c:pt idx="926">
                  <c:v>5.4863895336568474E-3</c:v>
                </c:pt>
                <c:pt idx="927">
                  <c:v>1.6789087093389388E-2</c:v>
                </c:pt>
                <c:pt idx="928">
                  <c:v>-2.4974200206398366E-2</c:v>
                </c:pt>
                <c:pt idx="929">
                  <c:v>8.6790855207450595E-3</c:v>
                </c:pt>
                <c:pt idx="930">
                  <c:v>-2.6232948583420776E-2</c:v>
                </c:pt>
                <c:pt idx="931">
                  <c:v>1.2931034482759111E-3</c:v>
                </c:pt>
                <c:pt idx="932">
                  <c:v>-1.0761945759793371E-2</c:v>
                </c:pt>
                <c:pt idx="933">
                  <c:v>2.8285465622280181E-2</c:v>
                </c:pt>
                <c:pt idx="934">
                  <c:v>1.26957257723238E-3</c:v>
                </c:pt>
                <c:pt idx="935">
                  <c:v>2.7683854606931579E-2</c:v>
                </c:pt>
                <c:pt idx="936">
                  <c:v>1.0281719103434093E-2</c:v>
                </c:pt>
                <c:pt idx="937">
                  <c:v>-6.1062487278650793E-4</c:v>
                </c:pt>
                <c:pt idx="938">
                  <c:v>-3.3808553971486834E-2</c:v>
                </c:pt>
                <c:pt idx="939">
                  <c:v>1.3069139966273284E-2</c:v>
                </c:pt>
                <c:pt idx="940">
                  <c:v>3.1210986267165746E-3</c:v>
                </c:pt>
                <c:pt idx="941">
                  <c:v>2.2609417133374742E-2</c:v>
                </c:pt>
                <c:pt idx="942">
                  <c:v>1.1359026369168404E-2</c:v>
                </c:pt>
                <c:pt idx="943">
                  <c:v>8.0224628961089348E-4</c:v>
                </c:pt>
                <c:pt idx="944">
                  <c:v>-4.0080160320633308E-4</c:v>
                </c:pt>
                <c:pt idx="945">
                  <c:v>-6.8163592622294189E-3</c:v>
                </c:pt>
                <c:pt idx="946">
                  <c:v>1.5139281388776746E-2</c:v>
                </c:pt>
                <c:pt idx="947">
                  <c:v>5.7665539868761015E-3</c:v>
                </c:pt>
                <c:pt idx="948">
                  <c:v>-4.9426650850138395E-3</c:v>
                </c:pt>
                <c:pt idx="949">
                  <c:v>3.0200675541426646E-2</c:v>
                </c:pt>
                <c:pt idx="950">
                  <c:v>-5.0144648023143302E-3</c:v>
                </c:pt>
                <c:pt idx="951">
                  <c:v>1.0660980810234486E-2</c:v>
                </c:pt>
                <c:pt idx="952">
                  <c:v>-9.9731492136556025E-3</c:v>
                </c:pt>
                <c:pt idx="953">
                  <c:v>9.6861681518799431E-4</c:v>
                </c:pt>
                <c:pt idx="954">
                  <c:v>-2.0901877298238791E-2</c:v>
                </c:pt>
                <c:pt idx="955">
                  <c:v>-2.9650128483891219E-3</c:v>
                </c:pt>
                <c:pt idx="956">
                  <c:v>-8.7232355273591938E-3</c:v>
                </c:pt>
                <c:pt idx="957">
                  <c:v>1.5799999999999984E-2</c:v>
                </c:pt>
                <c:pt idx="958">
                  <c:v>-2.8548926954124743E-2</c:v>
                </c:pt>
                <c:pt idx="959">
                  <c:v>4.8642075395215825E-3</c:v>
                </c:pt>
                <c:pt idx="960">
                  <c:v>2.7228721258572033E-2</c:v>
                </c:pt>
                <c:pt idx="961">
                  <c:v>7.2648733555860483E-3</c:v>
                </c:pt>
                <c:pt idx="962">
                  <c:v>-1.3450292397660775E-2</c:v>
                </c:pt>
                <c:pt idx="963">
                  <c:v>1.6202331555028655E-2</c:v>
                </c:pt>
                <c:pt idx="964">
                  <c:v>8.3608788644759808E-3</c:v>
                </c:pt>
                <c:pt idx="965">
                  <c:v>1.9282684149629794E-4</c:v>
                </c:pt>
                <c:pt idx="966">
                  <c:v>3.4702139965297808E-3</c:v>
                </c:pt>
                <c:pt idx="967">
                  <c:v>-1.4601344860710817E-2</c:v>
                </c:pt>
                <c:pt idx="968">
                  <c:v>6.628972509261131E-3</c:v>
                </c:pt>
                <c:pt idx="969">
                  <c:v>5.4232035638193685E-3</c:v>
                </c:pt>
                <c:pt idx="970">
                  <c:v>7.898285494124517E-3</c:v>
                </c:pt>
                <c:pt idx="971">
                  <c:v>-6.6896024464832074E-3</c:v>
                </c:pt>
                <c:pt idx="972">
                  <c:v>8.4664229363093663E-3</c:v>
                </c:pt>
                <c:pt idx="973">
                  <c:v>2.8811295554283634E-2</c:v>
                </c:pt>
                <c:pt idx="974">
                  <c:v>3.5237388724035186E-3</c:v>
                </c:pt>
                <c:pt idx="975">
                  <c:v>4.620218074293107E-3</c:v>
                </c:pt>
                <c:pt idx="976">
                  <c:v>-7.3583517292124991E-4</c:v>
                </c:pt>
                <c:pt idx="977">
                  <c:v>4.2341678939616509E-3</c:v>
                </c:pt>
                <c:pt idx="978">
                  <c:v>1.9798350137488641E-2</c:v>
                </c:pt>
                <c:pt idx="979">
                  <c:v>3.0738809994607239E-2</c:v>
                </c:pt>
                <c:pt idx="980">
                  <c:v>-2.6159748866411872E-3</c:v>
                </c:pt>
                <c:pt idx="981">
                  <c:v>-6.4696625284140141E-3</c:v>
                </c:pt>
                <c:pt idx="982">
                  <c:v>5.9838085181273546E-3</c:v>
                </c:pt>
                <c:pt idx="983">
                  <c:v>-7.1728481455562735E-3</c:v>
                </c:pt>
                <c:pt idx="984">
                  <c:v>3.5242290748904189E-4</c:v>
                </c:pt>
                <c:pt idx="985">
                  <c:v>-1.9376431213669214E-2</c:v>
                </c:pt>
                <c:pt idx="986">
                  <c:v>-7.0055685288306193E-3</c:v>
                </c:pt>
                <c:pt idx="987">
                  <c:v>-2.5325615050651334E-3</c:v>
                </c:pt>
                <c:pt idx="988">
                  <c:v>1.940515052593399E-2</c:v>
                </c:pt>
                <c:pt idx="989">
                  <c:v>0</c:v>
                </c:pt>
                <c:pt idx="990">
                  <c:v>1.1207970112079746E-2</c:v>
                </c:pt>
                <c:pt idx="991">
                  <c:v>1.8296973961998576E-2</c:v>
                </c:pt>
                <c:pt idx="992">
                  <c:v>1.8313752591568679E-2</c:v>
                </c:pt>
                <c:pt idx="993">
                  <c:v>-1.4251781472684024E-2</c:v>
                </c:pt>
                <c:pt idx="994">
                  <c:v>-2.4096385542168772E-3</c:v>
                </c:pt>
                <c:pt idx="995">
                  <c:v>-1.2249827467218786E-2</c:v>
                </c:pt>
                <c:pt idx="996">
                  <c:v>2.6200873362445167E-3</c:v>
                </c:pt>
                <c:pt idx="997">
                  <c:v>1.6550522648083675E-2</c:v>
                </c:pt>
                <c:pt idx="998">
                  <c:v>-1.4910025706940952E-2</c:v>
                </c:pt>
                <c:pt idx="999">
                  <c:v>3.131524008350726E-3</c:v>
                </c:pt>
                <c:pt idx="1000">
                  <c:v>-3.2431494970516783E-2</c:v>
                </c:pt>
                <c:pt idx="1001">
                  <c:v>1.2726295034952515E-2</c:v>
                </c:pt>
                <c:pt idx="1002">
                  <c:v>1.1504424778761038E-2</c:v>
                </c:pt>
                <c:pt idx="1003">
                  <c:v>1.2073490813648379E-2</c:v>
                </c:pt>
                <c:pt idx="1004">
                  <c:v>-1.2448132780083091E-2</c:v>
                </c:pt>
                <c:pt idx="1005">
                  <c:v>-9.2787114845937334E-3</c:v>
                </c:pt>
                <c:pt idx="1006">
                  <c:v>7.2450963067679196E-3</c:v>
                </c:pt>
                <c:pt idx="1007">
                  <c:v>5.0877192982455993E-3</c:v>
                </c:pt>
                <c:pt idx="1008">
                  <c:v>-2.0946063885494406E-3</c:v>
                </c:pt>
                <c:pt idx="1009">
                  <c:v>5.5973412629001275E-3</c:v>
                </c:pt>
                <c:pt idx="1010">
                  <c:v>1.0436597669159877E-2</c:v>
                </c:pt>
                <c:pt idx="1011">
                  <c:v>4.3036667240488897E-3</c:v>
                </c:pt>
                <c:pt idx="1012">
                  <c:v>-1.5426808364758897E-3</c:v>
                </c:pt>
                <c:pt idx="1013">
                  <c:v>2.2317596566523556E-2</c:v>
                </c:pt>
                <c:pt idx="1014">
                  <c:v>2.0151133501260209E-3</c:v>
                </c:pt>
                <c:pt idx="1015">
                  <c:v>2.8490028490028773E-3</c:v>
                </c:pt>
                <c:pt idx="1016">
                  <c:v>1.0360962566844876E-2</c:v>
                </c:pt>
                <c:pt idx="1017">
                  <c:v>-1.4885874958650912E-3</c:v>
                </c:pt>
                <c:pt idx="1018">
                  <c:v>2.0540003312903794E-2</c:v>
                </c:pt>
                <c:pt idx="1019">
                  <c:v>6.0055185846453083E-3</c:v>
                </c:pt>
                <c:pt idx="1020">
                  <c:v>-7.9057760567924316E-3</c:v>
                </c:pt>
                <c:pt idx="1021">
                  <c:v>3.9030736705154478E-3</c:v>
                </c:pt>
                <c:pt idx="1022">
                  <c:v>1.9277498785031669E-2</c:v>
                </c:pt>
                <c:pt idx="1023">
                  <c:v>1.0807374443738076E-2</c:v>
                </c:pt>
                <c:pt idx="1024">
                  <c:v>3.3018867924528433E-3</c:v>
                </c:pt>
                <c:pt idx="1025">
                  <c:v>6.4253251841403635E-3</c:v>
                </c:pt>
                <c:pt idx="1026">
                  <c:v>-6.2285892245406193E-3</c:v>
                </c:pt>
                <c:pt idx="1027">
                  <c:v>1.566906925728634E-3</c:v>
                </c:pt>
                <c:pt idx="1028">
                  <c:v>6.2578222778471759E-4</c:v>
                </c:pt>
                <c:pt idx="1029">
                  <c:v>-9.0681676047529441E-3</c:v>
                </c:pt>
                <c:pt idx="1030">
                  <c:v>4.4177974124328494E-3</c:v>
                </c:pt>
                <c:pt idx="1031">
                  <c:v>1.2409676405906477E-2</c:v>
                </c:pt>
                <c:pt idx="1032">
                  <c:v>1.9239720713731496E-2</c:v>
                </c:pt>
                <c:pt idx="1033">
                  <c:v>-1.0656112041405568E-3</c:v>
                </c:pt>
                <c:pt idx="1034">
                  <c:v>9.9055166107892625E-3</c:v>
                </c:pt>
                <c:pt idx="1035">
                  <c:v>-8.4502791610080331E-3</c:v>
                </c:pt>
                <c:pt idx="1036">
                  <c:v>-1.62836706741743E-2</c:v>
                </c:pt>
                <c:pt idx="1037">
                  <c:v>2.7846534653464205E-3</c:v>
                </c:pt>
                <c:pt idx="1038">
                  <c:v>1.6970070965751444E-2</c:v>
                </c:pt>
                <c:pt idx="1039">
                  <c:v>-6.3713592233009967E-3</c:v>
                </c:pt>
                <c:pt idx="1040">
                  <c:v>-2.0152671755725087E-2</c:v>
                </c:pt>
                <c:pt idx="1041">
                  <c:v>-1.0906824555936582E-2</c:v>
                </c:pt>
                <c:pt idx="1042">
                  <c:v>-2.4732199117832393E-2</c:v>
                </c:pt>
                <c:pt idx="1043">
                  <c:v>-9.8530124374091345E-3</c:v>
                </c:pt>
                <c:pt idx="1044">
                  <c:v>-3.4257748776508883E-2</c:v>
                </c:pt>
                <c:pt idx="1045">
                  <c:v>3.5472972972971917E-3</c:v>
                </c:pt>
                <c:pt idx="1046">
                  <c:v>-1.3465746507321714E-3</c:v>
                </c:pt>
                <c:pt idx="1047">
                  <c:v>2.3091184898028055E-2</c:v>
                </c:pt>
                <c:pt idx="1048">
                  <c:v>1.28500823723228E-2</c:v>
                </c:pt>
                <c:pt idx="1049">
                  <c:v>6.6688353936240029E-3</c:v>
                </c:pt>
                <c:pt idx="1050">
                  <c:v>3.2315398287277461E-4</c:v>
                </c:pt>
                <c:pt idx="1051">
                  <c:v>-2.9074462930059721E-3</c:v>
                </c:pt>
                <c:pt idx="1052">
                  <c:v>1.6037583022841438E-2</c:v>
                </c:pt>
                <c:pt idx="1053">
                  <c:v>1.2755102040816394E-2</c:v>
                </c:pt>
                <c:pt idx="1054">
                  <c:v>4.5654911838790791E-3</c:v>
                </c:pt>
                <c:pt idx="1055">
                  <c:v>-1.3634226610249248E-2</c:v>
                </c:pt>
                <c:pt idx="1056">
                  <c:v>-2.3991102637432444E-2</c:v>
                </c:pt>
                <c:pt idx="1057">
                  <c:v>-7.3254110369526757E-3</c:v>
                </c:pt>
                <c:pt idx="1058">
                  <c:v>3.4437520498524247E-3</c:v>
                </c:pt>
                <c:pt idx="1059">
                  <c:v>2.1245301519856256E-2</c:v>
                </c:pt>
                <c:pt idx="1060">
                  <c:v>8.0012802048323186E-4</c:v>
                </c:pt>
                <c:pt idx="1061">
                  <c:v>-2.3185161496642081E-2</c:v>
                </c:pt>
                <c:pt idx="1062">
                  <c:v>-1.5714519561303007E-2</c:v>
                </c:pt>
                <c:pt idx="1063">
                  <c:v>3.1431897555296864E-2</c:v>
                </c:pt>
                <c:pt idx="1064">
                  <c:v>-1.0802966784908122E-2</c:v>
                </c:pt>
                <c:pt idx="1065">
                  <c:v>-1.0757946210269008E-2</c:v>
                </c:pt>
                <c:pt idx="1066">
                  <c:v>3.2954358213874253E-3</c:v>
                </c:pt>
                <c:pt idx="1067">
                  <c:v>4.4342256528164892E-3</c:v>
                </c:pt>
                <c:pt idx="1068">
                  <c:v>1.8476128188358448E-2</c:v>
                </c:pt>
                <c:pt idx="1069">
                  <c:v>-4.4951035479210326E-3</c:v>
                </c:pt>
                <c:pt idx="1070">
                  <c:v>2.193194646024834E-2</c:v>
                </c:pt>
                <c:pt idx="1071">
                  <c:v>2.7299984219662253E-2</c:v>
                </c:pt>
                <c:pt idx="1072">
                  <c:v>-1.3056835637480713E-2</c:v>
                </c:pt>
                <c:pt idx="1073">
                  <c:v>2.4124513618676999E-2</c:v>
                </c:pt>
                <c:pt idx="1074">
                  <c:v>-4.7112462006079379E-3</c:v>
                </c:pt>
                <c:pt idx="1075">
                  <c:v>-4.2754619025805645E-3</c:v>
                </c:pt>
                <c:pt idx="1076">
                  <c:v>-1.3954914890354189E-2</c:v>
                </c:pt>
                <c:pt idx="1077">
                  <c:v>8.8646967340592128E-3</c:v>
                </c:pt>
                <c:pt idx="1078">
                  <c:v>-2.8056112224449009E-2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1B-412B-808F-1D9A6A9A1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652720"/>
        <c:axId val="767647800"/>
      </c:lineChart>
      <c:dateAx>
        <c:axId val="767652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47800"/>
        <c:crosses val="autoZero"/>
        <c:auto val="1"/>
        <c:lblOffset val="100"/>
        <c:baseTimeUnit val="days"/>
      </c:dateAx>
      <c:valAx>
        <c:axId val="76764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5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20-days &amp; 50-days</a:t>
            </a:r>
            <a:r>
              <a:rPr lang="en-GB" baseline="0"/>
              <a:t> MA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375738412975309E-2"/>
          <c:y val="0.10457942325337319"/>
          <c:w val="0.9346098313020953"/>
          <c:h val="0.76503175185151961"/>
        </c:manualLayout>
      </c:layout>
      <c:lineChart>
        <c:grouping val="standard"/>
        <c:varyColors val="0"/>
        <c:ser>
          <c:idx val="0"/>
          <c:order val="0"/>
          <c:tx>
            <c:v>Actual Value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 &amp;50 -days MA'!$B$54:$B$1082</c:f>
              <c:numCache>
                <c:formatCode>m/d/yyyy</c:formatCode>
                <c:ptCount val="1029"/>
                <c:pt idx="0">
                  <c:v>41715</c:v>
                </c:pt>
                <c:pt idx="1">
                  <c:v>41716</c:v>
                </c:pt>
                <c:pt idx="2">
                  <c:v>41717</c:v>
                </c:pt>
                <c:pt idx="3">
                  <c:v>41718</c:v>
                </c:pt>
                <c:pt idx="4">
                  <c:v>41719</c:v>
                </c:pt>
                <c:pt idx="5">
                  <c:v>41722</c:v>
                </c:pt>
                <c:pt idx="6">
                  <c:v>41723</c:v>
                </c:pt>
                <c:pt idx="7">
                  <c:v>41724</c:v>
                </c:pt>
                <c:pt idx="8">
                  <c:v>41725</c:v>
                </c:pt>
                <c:pt idx="9">
                  <c:v>41726</c:v>
                </c:pt>
                <c:pt idx="10">
                  <c:v>41729</c:v>
                </c:pt>
                <c:pt idx="11">
                  <c:v>41730</c:v>
                </c:pt>
                <c:pt idx="12">
                  <c:v>41731</c:v>
                </c:pt>
                <c:pt idx="13">
                  <c:v>41732</c:v>
                </c:pt>
                <c:pt idx="14">
                  <c:v>41733</c:v>
                </c:pt>
                <c:pt idx="15">
                  <c:v>41736</c:v>
                </c:pt>
                <c:pt idx="16">
                  <c:v>41737</c:v>
                </c:pt>
                <c:pt idx="17">
                  <c:v>41738</c:v>
                </c:pt>
                <c:pt idx="18">
                  <c:v>41739</c:v>
                </c:pt>
                <c:pt idx="19">
                  <c:v>41740</c:v>
                </c:pt>
                <c:pt idx="20">
                  <c:v>41743</c:v>
                </c:pt>
                <c:pt idx="21">
                  <c:v>41744</c:v>
                </c:pt>
                <c:pt idx="22">
                  <c:v>41745</c:v>
                </c:pt>
                <c:pt idx="23">
                  <c:v>41746</c:v>
                </c:pt>
                <c:pt idx="24">
                  <c:v>41750</c:v>
                </c:pt>
                <c:pt idx="25">
                  <c:v>41751</c:v>
                </c:pt>
                <c:pt idx="26">
                  <c:v>41752</c:v>
                </c:pt>
                <c:pt idx="27">
                  <c:v>41753</c:v>
                </c:pt>
                <c:pt idx="28">
                  <c:v>41754</c:v>
                </c:pt>
                <c:pt idx="29">
                  <c:v>41757</c:v>
                </c:pt>
                <c:pt idx="30">
                  <c:v>41758</c:v>
                </c:pt>
                <c:pt idx="31">
                  <c:v>41759</c:v>
                </c:pt>
                <c:pt idx="32">
                  <c:v>41760</c:v>
                </c:pt>
                <c:pt idx="33">
                  <c:v>41761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41771</c:v>
                </c:pt>
                <c:pt idx="40">
                  <c:v>41772</c:v>
                </c:pt>
                <c:pt idx="41">
                  <c:v>41773</c:v>
                </c:pt>
                <c:pt idx="42">
                  <c:v>41774</c:v>
                </c:pt>
                <c:pt idx="43">
                  <c:v>41775</c:v>
                </c:pt>
                <c:pt idx="44">
                  <c:v>41778</c:v>
                </c:pt>
                <c:pt idx="45">
                  <c:v>41779</c:v>
                </c:pt>
                <c:pt idx="46">
                  <c:v>41780</c:v>
                </c:pt>
                <c:pt idx="47">
                  <c:v>41781</c:v>
                </c:pt>
                <c:pt idx="48">
                  <c:v>41782</c:v>
                </c:pt>
                <c:pt idx="49">
                  <c:v>41786</c:v>
                </c:pt>
                <c:pt idx="50">
                  <c:v>41787</c:v>
                </c:pt>
                <c:pt idx="51">
                  <c:v>41788</c:v>
                </c:pt>
                <c:pt idx="52">
                  <c:v>41789</c:v>
                </c:pt>
                <c:pt idx="53">
                  <c:v>41792</c:v>
                </c:pt>
                <c:pt idx="54">
                  <c:v>41793</c:v>
                </c:pt>
                <c:pt idx="55">
                  <c:v>41794</c:v>
                </c:pt>
                <c:pt idx="56">
                  <c:v>41795</c:v>
                </c:pt>
                <c:pt idx="57">
                  <c:v>41796</c:v>
                </c:pt>
                <c:pt idx="58">
                  <c:v>41799</c:v>
                </c:pt>
                <c:pt idx="59">
                  <c:v>41800</c:v>
                </c:pt>
                <c:pt idx="60">
                  <c:v>41801</c:v>
                </c:pt>
                <c:pt idx="61">
                  <c:v>41802</c:v>
                </c:pt>
                <c:pt idx="62">
                  <c:v>41803</c:v>
                </c:pt>
                <c:pt idx="63">
                  <c:v>41806</c:v>
                </c:pt>
                <c:pt idx="64">
                  <c:v>41807</c:v>
                </c:pt>
                <c:pt idx="65">
                  <c:v>41808</c:v>
                </c:pt>
                <c:pt idx="66">
                  <c:v>41809</c:v>
                </c:pt>
                <c:pt idx="67">
                  <c:v>41810</c:v>
                </c:pt>
                <c:pt idx="68">
                  <c:v>41813</c:v>
                </c:pt>
                <c:pt idx="69">
                  <c:v>41814</c:v>
                </c:pt>
                <c:pt idx="70">
                  <c:v>41815</c:v>
                </c:pt>
                <c:pt idx="71">
                  <c:v>41816</c:v>
                </c:pt>
                <c:pt idx="72">
                  <c:v>41817</c:v>
                </c:pt>
                <c:pt idx="73">
                  <c:v>41820</c:v>
                </c:pt>
                <c:pt idx="74">
                  <c:v>41821</c:v>
                </c:pt>
                <c:pt idx="75">
                  <c:v>41822</c:v>
                </c:pt>
                <c:pt idx="76">
                  <c:v>41823</c:v>
                </c:pt>
                <c:pt idx="77">
                  <c:v>41827</c:v>
                </c:pt>
                <c:pt idx="78">
                  <c:v>41828</c:v>
                </c:pt>
                <c:pt idx="79">
                  <c:v>41829</c:v>
                </c:pt>
                <c:pt idx="80">
                  <c:v>41830</c:v>
                </c:pt>
                <c:pt idx="81">
                  <c:v>41831</c:v>
                </c:pt>
                <c:pt idx="82">
                  <c:v>41834</c:v>
                </c:pt>
                <c:pt idx="83">
                  <c:v>41835</c:v>
                </c:pt>
                <c:pt idx="84">
                  <c:v>41836</c:v>
                </c:pt>
                <c:pt idx="85">
                  <c:v>41837</c:v>
                </c:pt>
                <c:pt idx="86">
                  <c:v>41838</c:v>
                </c:pt>
                <c:pt idx="87">
                  <c:v>41841</c:v>
                </c:pt>
                <c:pt idx="88">
                  <c:v>41842</c:v>
                </c:pt>
                <c:pt idx="89">
                  <c:v>41843</c:v>
                </c:pt>
                <c:pt idx="90">
                  <c:v>41844</c:v>
                </c:pt>
                <c:pt idx="91">
                  <c:v>41845</c:v>
                </c:pt>
                <c:pt idx="92">
                  <c:v>41848</c:v>
                </c:pt>
                <c:pt idx="93">
                  <c:v>41849</c:v>
                </c:pt>
                <c:pt idx="94">
                  <c:v>41850</c:v>
                </c:pt>
                <c:pt idx="95">
                  <c:v>41851</c:v>
                </c:pt>
                <c:pt idx="96">
                  <c:v>41852</c:v>
                </c:pt>
                <c:pt idx="97">
                  <c:v>41855</c:v>
                </c:pt>
                <c:pt idx="98">
                  <c:v>41856</c:v>
                </c:pt>
                <c:pt idx="99">
                  <c:v>41857</c:v>
                </c:pt>
                <c:pt idx="100">
                  <c:v>41858</c:v>
                </c:pt>
                <c:pt idx="101">
                  <c:v>41859</c:v>
                </c:pt>
                <c:pt idx="102">
                  <c:v>41862</c:v>
                </c:pt>
                <c:pt idx="103">
                  <c:v>41863</c:v>
                </c:pt>
                <c:pt idx="104">
                  <c:v>41864</c:v>
                </c:pt>
                <c:pt idx="105">
                  <c:v>41865</c:v>
                </c:pt>
                <c:pt idx="106">
                  <c:v>41866</c:v>
                </c:pt>
                <c:pt idx="107">
                  <c:v>41869</c:v>
                </c:pt>
                <c:pt idx="108">
                  <c:v>41870</c:v>
                </c:pt>
                <c:pt idx="109">
                  <c:v>41871</c:v>
                </c:pt>
                <c:pt idx="110">
                  <c:v>41872</c:v>
                </c:pt>
                <c:pt idx="111">
                  <c:v>41873</c:v>
                </c:pt>
                <c:pt idx="112">
                  <c:v>41876</c:v>
                </c:pt>
                <c:pt idx="113">
                  <c:v>41877</c:v>
                </c:pt>
                <c:pt idx="114">
                  <c:v>41878</c:v>
                </c:pt>
                <c:pt idx="115">
                  <c:v>41879</c:v>
                </c:pt>
                <c:pt idx="116">
                  <c:v>41880</c:v>
                </c:pt>
                <c:pt idx="117">
                  <c:v>41884</c:v>
                </c:pt>
                <c:pt idx="118">
                  <c:v>41885</c:v>
                </c:pt>
                <c:pt idx="119">
                  <c:v>41886</c:v>
                </c:pt>
                <c:pt idx="120">
                  <c:v>41887</c:v>
                </c:pt>
                <c:pt idx="121">
                  <c:v>41890</c:v>
                </c:pt>
                <c:pt idx="122">
                  <c:v>41891</c:v>
                </c:pt>
                <c:pt idx="123">
                  <c:v>41892</c:v>
                </c:pt>
                <c:pt idx="124">
                  <c:v>41893</c:v>
                </c:pt>
                <c:pt idx="125">
                  <c:v>41894</c:v>
                </c:pt>
                <c:pt idx="126">
                  <c:v>41897</c:v>
                </c:pt>
                <c:pt idx="127">
                  <c:v>41898</c:v>
                </c:pt>
                <c:pt idx="128">
                  <c:v>41899</c:v>
                </c:pt>
                <c:pt idx="129">
                  <c:v>41900</c:v>
                </c:pt>
                <c:pt idx="130">
                  <c:v>41901</c:v>
                </c:pt>
                <c:pt idx="131">
                  <c:v>41904</c:v>
                </c:pt>
                <c:pt idx="132">
                  <c:v>41905</c:v>
                </c:pt>
                <c:pt idx="133">
                  <c:v>41906</c:v>
                </c:pt>
                <c:pt idx="134">
                  <c:v>41907</c:v>
                </c:pt>
                <c:pt idx="135">
                  <c:v>41908</c:v>
                </c:pt>
                <c:pt idx="136">
                  <c:v>41911</c:v>
                </c:pt>
                <c:pt idx="137">
                  <c:v>41912</c:v>
                </c:pt>
                <c:pt idx="138">
                  <c:v>41913</c:v>
                </c:pt>
                <c:pt idx="139">
                  <c:v>41914</c:v>
                </c:pt>
                <c:pt idx="140">
                  <c:v>41915</c:v>
                </c:pt>
                <c:pt idx="141">
                  <c:v>41918</c:v>
                </c:pt>
                <c:pt idx="142">
                  <c:v>41919</c:v>
                </c:pt>
                <c:pt idx="143">
                  <c:v>41920</c:v>
                </c:pt>
                <c:pt idx="144">
                  <c:v>41921</c:v>
                </c:pt>
                <c:pt idx="145">
                  <c:v>41922</c:v>
                </c:pt>
                <c:pt idx="146">
                  <c:v>41925</c:v>
                </c:pt>
                <c:pt idx="147">
                  <c:v>41926</c:v>
                </c:pt>
                <c:pt idx="148">
                  <c:v>41927</c:v>
                </c:pt>
                <c:pt idx="149">
                  <c:v>41928</c:v>
                </c:pt>
                <c:pt idx="150">
                  <c:v>41929</c:v>
                </c:pt>
                <c:pt idx="151">
                  <c:v>41932</c:v>
                </c:pt>
                <c:pt idx="152">
                  <c:v>41933</c:v>
                </c:pt>
                <c:pt idx="153">
                  <c:v>41934</c:v>
                </c:pt>
                <c:pt idx="154">
                  <c:v>41935</c:v>
                </c:pt>
                <c:pt idx="155">
                  <c:v>41936</c:v>
                </c:pt>
                <c:pt idx="156">
                  <c:v>41939</c:v>
                </c:pt>
                <c:pt idx="157">
                  <c:v>41940</c:v>
                </c:pt>
                <c:pt idx="158">
                  <c:v>41941</c:v>
                </c:pt>
                <c:pt idx="159">
                  <c:v>41942</c:v>
                </c:pt>
                <c:pt idx="160">
                  <c:v>41943</c:v>
                </c:pt>
                <c:pt idx="161">
                  <c:v>41946</c:v>
                </c:pt>
                <c:pt idx="162">
                  <c:v>41947</c:v>
                </c:pt>
                <c:pt idx="163">
                  <c:v>41948</c:v>
                </c:pt>
                <c:pt idx="164">
                  <c:v>41949</c:v>
                </c:pt>
                <c:pt idx="165">
                  <c:v>41950</c:v>
                </c:pt>
                <c:pt idx="166">
                  <c:v>41953</c:v>
                </c:pt>
                <c:pt idx="167">
                  <c:v>41954</c:v>
                </c:pt>
                <c:pt idx="168">
                  <c:v>41955</c:v>
                </c:pt>
                <c:pt idx="169">
                  <c:v>41956</c:v>
                </c:pt>
                <c:pt idx="170">
                  <c:v>41957</c:v>
                </c:pt>
                <c:pt idx="171">
                  <c:v>41960</c:v>
                </c:pt>
                <c:pt idx="172">
                  <c:v>41961</c:v>
                </c:pt>
                <c:pt idx="173">
                  <c:v>41962</c:v>
                </c:pt>
                <c:pt idx="174">
                  <c:v>41963</c:v>
                </c:pt>
                <c:pt idx="175">
                  <c:v>41964</c:v>
                </c:pt>
                <c:pt idx="176">
                  <c:v>41967</c:v>
                </c:pt>
                <c:pt idx="177">
                  <c:v>41968</c:v>
                </c:pt>
                <c:pt idx="178">
                  <c:v>41969</c:v>
                </c:pt>
                <c:pt idx="179">
                  <c:v>41971</c:v>
                </c:pt>
                <c:pt idx="180">
                  <c:v>41974</c:v>
                </c:pt>
                <c:pt idx="181">
                  <c:v>41975</c:v>
                </c:pt>
                <c:pt idx="182">
                  <c:v>41976</c:v>
                </c:pt>
                <c:pt idx="183">
                  <c:v>41977</c:v>
                </c:pt>
                <c:pt idx="184">
                  <c:v>41978</c:v>
                </c:pt>
                <c:pt idx="185">
                  <c:v>41981</c:v>
                </c:pt>
                <c:pt idx="186">
                  <c:v>41982</c:v>
                </c:pt>
                <c:pt idx="187">
                  <c:v>41983</c:v>
                </c:pt>
                <c:pt idx="188">
                  <c:v>41984</c:v>
                </c:pt>
                <c:pt idx="189">
                  <c:v>41985</c:v>
                </c:pt>
                <c:pt idx="190">
                  <c:v>41988</c:v>
                </c:pt>
                <c:pt idx="191">
                  <c:v>41989</c:v>
                </c:pt>
                <c:pt idx="192">
                  <c:v>41990</c:v>
                </c:pt>
                <c:pt idx="193">
                  <c:v>41991</c:v>
                </c:pt>
                <c:pt idx="194">
                  <c:v>41992</c:v>
                </c:pt>
                <c:pt idx="195">
                  <c:v>41995</c:v>
                </c:pt>
                <c:pt idx="196">
                  <c:v>41996</c:v>
                </c:pt>
                <c:pt idx="197">
                  <c:v>41997</c:v>
                </c:pt>
                <c:pt idx="198">
                  <c:v>41999</c:v>
                </c:pt>
                <c:pt idx="199">
                  <c:v>42002</c:v>
                </c:pt>
                <c:pt idx="200">
                  <c:v>42003</c:v>
                </c:pt>
                <c:pt idx="201">
                  <c:v>42004</c:v>
                </c:pt>
                <c:pt idx="202">
                  <c:v>42005</c:v>
                </c:pt>
                <c:pt idx="203">
                  <c:v>42006</c:v>
                </c:pt>
                <c:pt idx="204">
                  <c:v>42009</c:v>
                </c:pt>
                <c:pt idx="205">
                  <c:v>42010</c:v>
                </c:pt>
                <c:pt idx="206">
                  <c:v>42011</c:v>
                </c:pt>
                <c:pt idx="207">
                  <c:v>42012</c:v>
                </c:pt>
                <c:pt idx="208">
                  <c:v>42013</c:v>
                </c:pt>
                <c:pt idx="209">
                  <c:v>42016</c:v>
                </c:pt>
                <c:pt idx="210">
                  <c:v>42017</c:v>
                </c:pt>
                <c:pt idx="211">
                  <c:v>42018</c:v>
                </c:pt>
                <c:pt idx="212">
                  <c:v>42019</c:v>
                </c:pt>
                <c:pt idx="213">
                  <c:v>42020</c:v>
                </c:pt>
                <c:pt idx="214">
                  <c:v>42024</c:v>
                </c:pt>
                <c:pt idx="215">
                  <c:v>42025</c:v>
                </c:pt>
                <c:pt idx="216">
                  <c:v>42026</c:v>
                </c:pt>
                <c:pt idx="217">
                  <c:v>42027</c:v>
                </c:pt>
                <c:pt idx="218">
                  <c:v>42030</c:v>
                </c:pt>
                <c:pt idx="219">
                  <c:v>42031</c:v>
                </c:pt>
                <c:pt idx="220">
                  <c:v>42032</c:v>
                </c:pt>
                <c:pt idx="221">
                  <c:v>42033</c:v>
                </c:pt>
                <c:pt idx="222">
                  <c:v>42034</c:v>
                </c:pt>
                <c:pt idx="223">
                  <c:v>42037</c:v>
                </c:pt>
                <c:pt idx="224">
                  <c:v>42038</c:v>
                </c:pt>
                <c:pt idx="225">
                  <c:v>42039</c:v>
                </c:pt>
                <c:pt idx="226">
                  <c:v>42040</c:v>
                </c:pt>
                <c:pt idx="227">
                  <c:v>42041</c:v>
                </c:pt>
                <c:pt idx="228">
                  <c:v>42044</c:v>
                </c:pt>
                <c:pt idx="229">
                  <c:v>42045</c:v>
                </c:pt>
                <c:pt idx="230">
                  <c:v>42046</c:v>
                </c:pt>
                <c:pt idx="231">
                  <c:v>42047</c:v>
                </c:pt>
                <c:pt idx="232">
                  <c:v>42048</c:v>
                </c:pt>
                <c:pt idx="233">
                  <c:v>42052</c:v>
                </c:pt>
                <c:pt idx="234">
                  <c:v>42053</c:v>
                </c:pt>
                <c:pt idx="235">
                  <c:v>42054</c:v>
                </c:pt>
                <c:pt idx="236">
                  <c:v>42055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42065</c:v>
                </c:pt>
                <c:pt idx="243">
                  <c:v>42066</c:v>
                </c:pt>
                <c:pt idx="244">
                  <c:v>42067</c:v>
                </c:pt>
                <c:pt idx="245">
                  <c:v>42068</c:v>
                </c:pt>
                <c:pt idx="246">
                  <c:v>42069</c:v>
                </c:pt>
                <c:pt idx="247">
                  <c:v>42072</c:v>
                </c:pt>
                <c:pt idx="248">
                  <c:v>42073</c:v>
                </c:pt>
                <c:pt idx="249">
                  <c:v>42074</c:v>
                </c:pt>
                <c:pt idx="250">
                  <c:v>42075</c:v>
                </c:pt>
                <c:pt idx="251">
                  <c:v>42076</c:v>
                </c:pt>
                <c:pt idx="252">
                  <c:v>42079</c:v>
                </c:pt>
                <c:pt idx="253">
                  <c:v>42080</c:v>
                </c:pt>
                <c:pt idx="254">
                  <c:v>42081</c:v>
                </c:pt>
                <c:pt idx="255">
                  <c:v>42082</c:v>
                </c:pt>
                <c:pt idx="256">
                  <c:v>42083</c:v>
                </c:pt>
                <c:pt idx="257">
                  <c:v>42086</c:v>
                </c:pt>
                <c:pt idx="258">
                  <c:v>42087</c:v>
                </c:pt>
                <c:pt idx="259">
                  <c:v>42088</c:v>
                </c:pt>
                <c:pt idx="260">
                  <c:v>42089</c:v>
                </c:pt>
                <c:pt idx="261">
                  <c:v>42090</c:v>
                </c:pt>
                <c:pt idx="262">
                  <c:v>42093</c:v>
                </c:pt>
                <c:pt idx="263">
                  <c:v>42094</c:v>
                </c:pt>
                <c:pt idx="264">
                  <c:v>42095</c:v>
                </c:pt>
                <c:pt idx="265">
                  <c:v>42096</c:v>
                </c:pt>
                <c:pt idx="266">
                  <c:v>42097</c:v>
                </c:pt>
                <c:pt idx="267">
                  <c:v>42100</c:v>
                </c:pt>
                <c:pt idx="268">
                  <c:v>42101</c:v>
                </c:pt>
                <c:pt idx="269">
                  <c:v>42102</c:v>
                </c:pt>
                <c:pt idx="270">
                  <c:v>42103</c:v>
                </c:pt>
                <c:pt idx="271">
                  <c:v>42104</c:v>
                </c:pt>
                <c:pt idx="272">
                  <c:v>42107</c:v>
                </c:pt>
                <c:pt idx="273">
                  <c:v>42108</c:v>
                </c:pt>
                <c:pt idx="274">
                  <c:v>42109</c:v>
                </c:pt>
                <c:pt idx="275">
                  <c:v>42110</c:v>
                </c:pt>
                <c:pt idx="276">
                  <c:v>42111</c:v>
                </c:pt>
                <c:pt idx="277">
                  <c:v>42114</c:v>
                </c:pt>
                <c:pt idx="278">
                  <c:v>42115</c:v>
                </c:pt>
                <c:pt idx="279">
                  <c:v>42116</c:v>
                </c:pt>
                <c:pt idx="280">
                  <c:v>42117</c:v>
                </c:pt>
                <c:pt idx="281">
                  <c:v>42118</c:v>
                </c:pt>
                <c:pt idx="282">
                  <c:v>42121</c:v>
                </c:pt>
                <c:pt idx="283">
                  <c:v>42122</c:v>
                </c:pt>
                <c:pt idx="284">
                  <c:v>42123</c:v>
                </c:pt>
                <c:pt idx="285">
                  <c:v>42124</c:v>
                </c:pt>
                <c:pt idx="286">
                  <c:v>42125</c:v>
                </c:pt>
                <c:pt idx="287">
                  <c:v>42128</c:v>
                </c:pt>
                <c:pt idx="288">
                  <c:v>42129</c:v>
                </c:pt>
                <c:pt idx="289">
                  <c:v>42130</c:v>
                </c:pt>
                <c:pt idx="290">
                  <c:v>42131</c:v>
                </c:pt>
                <c:pt idx="291">
                  <c:v>42132</c:v>
                </c:pt>
                <c:pt idx="292">
                  <c:v>42135</c:v>
                </c:pt>
                <c:pt idx="293">
                  <c:v>42136</c:v>
                </c:pt>
                <c:pt idx="294">
                  <c:v>42137</c:v>
                </c:pt>
                <c:pt idx="295">
                  <c:v>42138</c:v>
                </c:pt>
                <c:pt idx="296">
                  <c:v>42139</c:v>
                </c:pt>
                <c:pt idx="297">
                  <c:v>42142</c:v>
                </c:pt>
                <c:pt idx="298">
                  <c:v>42143</c:v>
                </c:pt>
                <c:pt idx="299">
                  <c:v>42144</c:v>
                </c:pt>
                <c:pt idx="300">
                  <c:v>42145</c:v>
                </c:pt>
                <c:pt idx="301">
                  <c:v>42146</c:v>
                </c:pt>
                <c:pt idx="302">
                  <c:v>42149</c:v>
                </c:pt>
                <c:pt idx="303">
                  <c:v>42150</c:v>
                </c:pt>
                <c:pt idx="304">
                  <c:v>42151</c:v>
                </c:pt>
                <c:pt idx="305">
                  <c:v>42152</c:v>
                </c:pt>
                <c:pt idx="306">
                  <c:v>42153</c:v>
                </c:pt>
                <c:pt idx="307">
                  <c:v>42156</c:v>
                </c:pt>
                <c:pt idx="308">
                  <c:v>42157</c:v>
                </c:pt>
                <c:pt idx="309">
                  <c:v>42158</c:v>
                </c:pt>
                <c:pt idx="310">
                  <c:v>42159</c:v>
                </c:pt>
                <c:pt idx="311">
                  <c:v>42160</c:v>
                </c:pt>
                <c:pt idx="312">
                  <c:v>42163</c:v>
                </c:pt>
                <c:pt idx="313">
                  <c:v>42164</c:v>
                </c:pt>
                <c:pt idx="314">
                  <c:v>42165</c:v>
                </c:pt>
                <c:pt idx="315">
                  <c:v>42166</c:v>
                </c:pt>
                <c:pt idx="316">
                  <c:v>42167</c:v>
                </c:pt>
                <c:pt idx="317">
                  <c:v>42170</c:v>
                </c:pt>
                <c:pt idx="318">
                  <c:v>42171</c:v>
                </c:pt>
                <c:pt idx="319">
                  <c:v>42172</c:v>
                </c:pt>
                <c:pt idx="320">
                  <c:v>42173</c:v>
                </c:pt>
                <c:pt idx="321">
                  <c:v>42174</c:v>
                </c:pt>
                <c:pt idx="322">
                  <c:v>42177</c:v>
                </c:pt>
                <c:pt idx="323">
                  <c:v>42178</c:v>
                </c:pt>
                <c:pt idx="324">
                  <c:v>42179</c:v>
                </c:pt>
                <c:pt idx="325">
                  <c:v>42180</c:v>
                </c:pt>
                <c:pt idx="326">
                  <c:v>42181</c:v>
                </c:pt>
                <c:pt idx="327">
                  <c:v>42184</c:v>
                </c:pt>
                <c:pt idx="328">
                  <c:v>42185</c:v>
                </c:pt>
                <c:pt idx="329">
                  <c:v>42186</c:v>
                </c:pt>
                <c:pt idx="330">
                  <c:v>42187</c:v>
                </c:pt>
                <c:pt idx="331">
                  <c:v>42188</c:v>
                </c:pt>
                <c:pt idx="332">
                  <c:v>42191</c:v>
                </c:pt>
                <c:pt idx="333">
                  <c:v>42192</c:v>
                </c:pt>
                <c:pt idx="334">
                  <c:v>42193</c:v>
                </c:pt>
                <c:pt idx="335">
                  <c:v>42194</c:v>
                </c:pt>
                <c:pt idx="336">
                  <c:v>42195</c:v>
                </c:pt>
                <c:pt idx="337">
                  <c:v>42198</c:v>
                </c:pt>
                <c:pt idx="338">
                  <c:v>42199</c:v>
                </c:pt>
                <c:pt idx="339">
                  <c:v>42200</c:v>
                </c:pt>
                <c:pt idx="340">
                  <c:v>42201</c:v>
                </c:pt>
                <c:pt idx="341">
                  <c:v>42202</c:v>
                </c:pt>
                <c:pt idx="342">
                  <c:v>42205</c:v>
                </c:pt>
                <c:pt idx="343">
                  <c:v>42206</c:v>
                </c:pt>
                <c:pt idx="344">
                  <c:v>42207</c:v>
                </c:pt>
                <c:pt idx="345">
                  <c:v>42208</c:v>
                </c:pt>
                <c:pt idx="346">
                  <c:v>42209</c:v>
                </c:pt>
                <c:pt idx="347">
                  <c:v>42212</c:v>
                </c:pt>
                <c:pt idx="348">
                  <c:v>42213</c:v>
                </c:pt>
                <c:pt idx="349">
                  <c:v>42214</c:v>
                </c:pt>
                <c:pt idx="350">
                  <c:v>42215</c:v>
                </c:pt>
                <c:pt idx="351">
                  <c:v>42216</c:v>
                </c:pt>
                <c:pt idx="352">
                  <c:v>42219</c:v>
                </c:pt>
                <c:pt idx="353">
                  <c:v>42220</c:v>
                </c:pt>
                <c:pt idx="354">
                  <c:v>42221</c:v>
                </c:pt>
                <c:pt idx="355">
                  <c:v>42222</c:v>
                </c:pt>
                <c:pt idx="356">
                  <c:v>42223</c:v>
                </c:pt>
                <c:pt idx="357">
                  <c:v>42226</c:v>
                </c:pt>
                <c:pt idx="358">
                  <c:v>42227</c:v>
                </c:pt>
                <c:pt idx="359">
                  <c:v>42228</c:v>
                </c:pt>
                <c:pt idx="360">
                  <c:v>42229</c:v>
                </c:pt>
                <c:pt idx="361">
                  <c:v>42230</c:v>
                </c:pt>
                <c:pt idx="362">
                  <c:v>42233</c:v>
                </c:pt>
                <c:pt idx="363">
                  <c:v>42234</c:v>
                </c:pt>
                <c:pt idx="364">
                  <c:v>42235</c:v>
                </c:pt>
                <c:pt idx="365">
                  <c:v>42236</c:v>
                </c:pt>
                <c:pt idx="366">
                  <c:v>42237</c:v>
                </c:pt>
                <c:pt idx="367">
                  <c:v>42240</c:v>
                </c:pt>
                <c:pt idx="368">
                  <c:v>42241</c:v>
                </c:pt>
                <c:pt idx="369">
                  <c:v>42242</c:v>
                </c:pt>
                <c:pt idx="370">
                  <c:v>42243</c:v>
                </c:pt>
                <c:pt idx="371">
                  <c:v>42244</c:v>
                </c:pt>
                <c:pt idx="372">
                  <c:v>42247</c:v>
                </c:pt>
                <c:pt idx="373">
                  <c:v>42248</c:v>
                </c:pt>
                <c:pt idx="374">
                  <c:v>42249</c:v>
                </c:pt>
                <c:pt idx="375">
                  <c:v>42250</c:v>
                </c:pt>
                <c:pt idx="376">
                  <c:v>42251</c:v>
                </c:pt>
                <c:pt idx="377">
                  <c:v>42254</c:v>
                </c:pt>
                <c:pt idx="378">
                  <c:v>42255</c:v>
                </c:pt>
                <c:pt idx="379">
                  <c:v>42256</c:v>
                </c:pt>
                <c:pt idx="380">
                  <c:v>42257</c:v>
                </c:pt>
                <c:pt idx="381">
                  <c:v>42258</c:v>
                </c:pt>
                <c:pt idx="382">
                  <c:v>42261</c:v>
                </c:pt>
                <c:pt idx="383">
                  <c:v>42262</c:v>
                </c:pt>
                <c:pt idx="384">
                  <c:v>42263</c:v>
                </c:pt>
                <c:pt idx="385">
                  <c:v>42264</c:v>
                </c:pt>
                <c:pt idx="386">
                  <c:v>42265</c:v>
                </c:pt>
                <c:pt idx="387">
                  <c:v>42268</c:v>
                </c:pt>
                <c:pt idx="388">
                  <c:v>42269</c:v>
                </c:pt>
                <c:pt idx="389">
                  <c:v>42270</c:v>
                </c:pt>
                <c:pt idx="390">
                  <c:v>42271</c:v>
                </c:pt>
                <c:pt idx="391">
                  <c:v>42272</c:v>
                </c:pt>
                <c:pt idx="392">
                  <c:v>42275</c:v>
                </c:pt>
                <c:pt idx="393">
                  <c:v>42276</c:v>
                </c:pt>
                <c:pt idx="394">
                  <c:v>42277</c:v>
                </c:pt>
                <c:pt idx="395">
                  <c:v>42278</c:v>
                </c:pt>
                <c:pt idx="396">
                  <c:v>42279</c:v>
                </c:pt>
                <c:pt idx="397">
                  <c:v>42282</c:v>
                </c:pt>
                <c:pt idx="398">
                  <c:v>42283</c:v>
                </c:pt>
                <c:pt idx="399">
                  <c:v>42284</c:v>
                </c:pt>
                <c:pt idx="400">
                  <c:v>42285</c:v>
                </c:pt>
                <c:pt idx="401">
                  <c:v>42286</c:v>
                </c:pt>
                <c:pt idx="402">
                  <c:v>42289</c:v>
                </c:pt>
                <c:pt idx="403">
                  <c:v>42290</c:v>
                </c:pt>
                <c:pt idx="404">
                  <c:v>42291</c:v>
                </c:pt>
                <c:pt idx="405">
                  <c:v>42292</c:v>
                </c:pt>
                <c:pt idx="406">
                  <c:v>42293</c:v>
                </c:pt>
                <c:pt idx="407">
                  <c:v>42296</c:v>
                </c:pt>
                <c:pt idx="408">
                  <c:v>42297</c:v>
                </c:pt>
                <c:pt idx="409">
                  <c:v>42298</c:v>
                </c:pt>
                <c:pt idx="410">
                  <c:v>42299</c:v>
                </c:pt>
                <c:pt idx="411">
                  <c:v>42300</c:v>
                </c:pt>
                <c:pt idx="412">
                  <c:v>42303</c:v>
                </c:pt>
                <c:pt idx="413">
                  <c:v>42304</c:v>
                </c:pt>
                <c:pt idx="414">
                  <c:v>42305</c:v>
                </c:pt>
                <c:pt idx="415">
                  <c:v>42306</c:v>
                </c:pt>
                <c:pt idx="416">
                  <c:v>42307</c:v>
                </c:pt>
                <c:pt idx="417">
                  <c:v>42310</c:v>
                </c:pt>
                <c:pt idx="418">
                  <c:v>42311</c:v>
                </c:pt>
                <c:pt idx="419">
                  <c:v>42312</c:v>
                </c:pt>
                <c:pt idx="420">
                  <c:v>42313</c:v>
                </c:pt>
                <c:pt idx="421">
                  <c:v>42314</c:v>
                </c:pt>
                <c:pt idx="422">
                  <c:v>42317</c:v>
                </c:pt>
                <c:pt idx="423">
                  <c:v>42318</c:v>
                </c:pt>
                <c:pt idx="424">
                  <c:v>42319</c:v>
                </c:pt>
                <c:pt idx="425">
                  <c:v>42320</c:v>
                </c:pt>
                <c:pt idx="426">
                  <c:v>42321</c:v>
                </c:pt>
                <c:pt idx="427">
                  <c:v>42324</c:v>
                </c:pt>
                <c:pt idx="428">
                  <c:v>42325</c:v>
                </c:pt>
                <c:pt idx="429">
                  <c:v>42326</c:v>
                </c:pt>
                <c:pt idx="430">
                  <c:v>42327</c:v>
                </c:pt>
                <c:pt idx="431">
                  <c:v>42328</c:v>
                </c:pt>
                <c:pt idx="432">
                  <c:v>42331</c:v>
                </c:pt>
                <c:pt idx="433">
                  <c:v>42332</c:v>
                </c:pt>
                <c:pt idx="434">
                  <c:v>42333</c:v>
                </c:pt>
                <c:pt idx="435">
                  <c:v>42334</c:v>
                </c:pt>
                <c:pt idx="436">
                  <c:v>42335</c:v>
                </c:pt>
                <c:pt idx="437">
                  <c:v>42338</c:v>
                </c:pt>
                <c:pt idx="438">
                  <c:v>42339</c:v>
                </c:pt>
                <c:pt idx="439">
                  <c:v>42340</c:v>
                </c:pt>
                <c:pt idx="440">
                  <c:v>42341</c:v>
                </c:pt>
                <c:pt idx="441">
                  <c:v>42342</c:v>
                </c:pt>
                <c:pt idx="442">
                  <c:v>42345</c:v>
                </c:pt>
                <c:pt idx="443">
                  <c:v>42346</c:v>
                </c:pt>
                <c:pt idx="444">
                  <c:v>42347</c:v>
                </c:pt>
                <c:pt idx="445">
                  <c:v>42348</c:v>
                </c:pt>
                <c:pt idx="446">
                  <c:v>42349</c:v>
                </c:pt>
                <c:pt idx="447">
                  <c:v>42352</c:v>
                </c:pt>
                <c:pt idx="448">
                  <c:v>42353</c:v>
                </c:pt>
                <c:pt idx="449">
                  <c:v>42354</c:v>
                </c:pt>
                <c:pt idx="450">
                  <c:v>42355</c:v>
                </c:pt>
                <c:pt idx="451">
                  <c:v>42356</c:v>
                </c:pt>
                <c:pt idx="452">
                  <c:v>42359</c:v>
                </c:pt>
                <c:pt idx="453">
                  <c:v>42360</c:v>
                </c:pt>
                <c:pt idx="454">
                  <c:v>42361</c:v>
                </c:pt>
                <c:pt idx="455">
                  <c:v>42362</c:v>
                </c:pt>
                <c:pt idx="456">
                  <c:v>42363</c:v>
                </c:pt>
                <c:pt idx="457">
                  <c:v>42366</c:v>
                </c:pt>
                <c:pt idx="458">
                  <c:v>42367</c:v>
                </c:pt>
                <c:pt idx="459">
                  <c:v>42368</c:v>
                </c:pt>
                <c:pt idx="460">
                  <c:v>42369</c:v>
                </c:pt>
                <c:pt idx="461">
                  <c:v>42370</c:v>
                </c:pt>
                <c:pt idx="462">
                  <c:v>42373</c:v>
                </c:pt>
                <c:pt idx="463">
                  <c:v>42374</c:v>
                </c:pt>
                <c:pt idx="464">
                  <c:v>42375</c:v>
                </c:pt>
                <c:pt idx="465">
                  <c:v>42376</c:v>
                </c:pt>
                <c:pt idx="466">
                  <c:v>42377</c:v>
                </c:pt>
                <c:pt idx="467">
                  <c:v>42380</c:v>
                </c:pt>
                <c:pt idx="468">
                  <c:v>42381</c:v>
                </c:pt>
                <c:pt idx="469">
                  <c:v>42382</c:v>
                </c:pt>
                <c:pt idx="470">
                  <c:v>42383</c:v>
                </c:pt>
                <c:pt idx="471">
                  <c:v>42384</c:v>
                </c:pt>
                <c:pt idx="472">
                  <c:v>42388</c:v>
                </c:pt>
                <c:pt idx="473">
                  <c:v>42389</c:v>
                </c:pt>
                <c:pt idx="474">
                  <c:v>42390</c:v>
                </c:pt>
                <c:pt idx="475">
                  <c:v>42391</c:v>
                </c:pt>
                <c:pt idx="476">
                  <c:v>42394</c:v>
                </c:pt>
                <c:pt idx="477">
                  <c:v>42395</c:v>
                </c:pt>
                <c:pt idx="478">
                  <c:v>42396</c:v>
                </c:pt>
                <c:pt idx="479">
                  <c:v>42397</c:v>
                </c:pt>
                <c:pt idx="480">
                  <c:v>42398</c:v>
                </c:pt>
                <c:pt idx="481">
                  <c:v>42401</c:v>
                </c:pt>
                <c:pt idx="482">
                  <c:v>42402</c:v>
                </c:pt>
                <c:pt idx="483">
                  <c:v>42403</c:v>
                </c:pt>
                <c:pt idx="484">
                  <c:v>42404</c:v>
                </c:pt>
                <c:pt idx="485">
                  <c:v>42405</c:v>
                </c:pt>
                <c:pt idx="486">
                  <c:v>42408</c:v>
                </c:pt>
                <c:pt idx="487">
                  <c:v>42409</c:v>
                </c:pt>
                <c:pt idx="488">
                  <c:v>42410</c:v>
                </c:pt>
                <c:pt idx="489">
                  <c:v>42411</c:v>
                </c:pt>
                <c:pt idx="490">
                  <c:v>42412</c:v>
                </c:pt>
                <c:pt idx="491">
                  <c:v>42416</c:v>
                </c:pt>
                <c:pt idx="492">
                  <c:v>42417</c:v>
                </c:pt>
                <c:pt idx="493">
                  <c:v>42418</c:v>
                </c:pt>
                <c:pt idx="494">
                  <c:v>42419</c:v>
                </c:pt>
                <c:pt idx="495">
                  <c:v>42422</c:v>
                </c:pt>
                <c:pt idx="496">
                  <c:v>42423</c:v>
                </c:pt>
                <c:pt idx="497">
                  <c:v>42424</c:v>
                </c:pt>
                <c:pt idx="498">
                  <c:v>42425</c:v>
                </c:pt>
                <c:pt idx="499">
                  <c:v>42426</c:v>
                </c:pt>
                <c:pt idx="500">
                  <c:v>42429</c:v>
                </c:pt>
                <c:pt idx="501">
                  <c:v>42430</c:v>
                </c:pt>
                <c:pt idx="502">
                  <c:v>42431</c:v>
                </c:pt>
                <c:pt idx="503">
                  <c:v>42432</c:v>
                </c:pt>
                <c:pt idx="504">
                  <c:v>42433</c:v>
                </c:pt>
                <c:pt idx="505">
                  <c:v>42436</c:v>
                </c:pt>
                <c:pt idx="506">
                  <c:v>42437</c:v>
                </c:pt>
                <c:pt idx="507">
                  <c:v>42438</c:v>
                </c:pt>
                <c:pt idx="508">
                  <c:v>42439</c:v>
                </c:pt>
                <c:pt idx="509">
                  <c:v>42440</c:v>
                </c:pt>
                <c:pt idx="510">
                  <c:v>42443</c:v>
                </c:pt>
                <c:pt idx="511">
                  <c:v>42444</c:v>
                </c:pt>
                <c:pt idx="512">
                  <c:v>42445</c:v>
                </c:pt>
                <c:pt idx="513">
                  <c:v>42446</c:v>
                </c:pt>
                <c:pt idx="514">
                  <c:v>42447</c:v>
                </c:pt>
                <c:pt idx="515">
                  <c:v>42450</c:v>
                </c:pt>
                <c:pt idx="516">
                  <c:v>42451</c:v>
                </c:pt>
                <c:pt idx="517">
                  <c:v>42452</c:v>
                </c:pt>
                <c:pt idx="518">
                  <c:v>42453</c:v>
                </c:pt>
                <c:pt idx="519">
                  <c:v>42457</c:v>
                </c:pt>
                <c:pt idx="520">
                  <c:v>42458</c:v>
                </c:pt>
                <c:pt idx="521">
                  <c:v>42459</c:v>
                </c:pt>
                <c:pt idx="522">
                  <c:v>42460</c:v>
                </c:pt>
                <c:pt idx="523">
                  <c:v>42461</c:v>
                </c:pt>
                <c:pt idx="524">
                  <c:v>42464</c:v>
                </c:pt>
                <c:pt idx="525">
                  <c:v>42465</c:v>
                </c:pt>
                <c:pt idx="526">
                  <c:v>42466</c:v>
                </c:pt>
                <c:pt idx="527">
                  <c:v>42467</c:v>
                </c:pt>
                <c:pt idx="528">
                  <c:v>42468</c:v>
                </c:pt>
                <c:pt idx="529">
                  <c:v>42471</c:v>
                </c:pt>
                <c:pt idx="530">
                  <c:v>42472</c:v>
                </c:pt>
                <c:pt idx="531">
                  <c:v>42473</c:v>
                </c:pt>
                <c:pt idx="532">
                  <c:v>42474</c:v>
                </c:pt>
                <c:pt idx="533">
                  <c:v>42475</c:v>
                </c:pt>
                <c:pt idx="534">
                  <c:v>42478</c:v>
                </c:pt>
                <c:pt idx="535">
                  <c:v>42479</c:v>
                </c:pt>
                <c:pt idx="536">
                  <c:v>42480</c:v>
                </c:pt>
                <c:pt idx="537">
                  <c:v>42481</c:v>
                </c:pt>
                <c:pt idx="538">
                  <c:v>42482</c:v>
                </c:pt>
                <c:pt idx="539">
                  <c:v>42485</c:v>
                </c:pt>
                <c:pt idx="540">
                  <c:v>42486</c:v>
                </c:pt>
                <c:pt idx="541">
                  <c:v>42487</c:v>
                </c:pt>
                <c:pt idx="542">
                  <c:v>42488</c:v>
                </c:pt>
                <c:pt idx="543">
                  <c:v>42489</c:v>
                </c:pt>
                <c:pt idx="544">
                  <c:v>42492</c:v>
                </c:pt>
                <c:pt idx="545">
                  <c:v>42493</c:v>
                </c:pt>
                <c:pt idx="546">
                  <c:v>42494</c:v>
                </c:pt>
                <c:pt idx="547">
                  <c:v>42495</c:v>
                </c:pt>
                <c:pt idx="548">
                  <c:v>42496</c:v>
                </c:pt>
                <c:pt idx="549">
                  <c:v>42499</c:v>
                </c:pt>
                <c:pt idx="550">
                  <c:v>42500</c:v>
                </c:pt>
                <c:pt idx="551">
                  <c:v>42501</c:v>
                </c:pt>
                <c:pt idx="552">
                  <c:v>42502</c:v>
                </c:pt>
                <c:pt idx="553">
                  <c:v>42503</c:v>
                </c:pt>
                <c:pt idx="554">
                  <c:v>42506</c:v>
                </c:pt>
                <c:pt idx="555">
                  <c:v>42507</c:v>
                </c:pt>
                <c:pt idx="556">
                  <c:v>42508</c:v>
                </c:pt>
                <c:pt idx="557">
                  <c:v>42509</c:v>
                </c:pt>
                <c:pt idx="558">
                  <c:v>42510</c:v>
                </c:pt>
                <c:pt idx="559">
                  <c:v>42513</c:v>
                </c:pt>
                <c:pt idx="560">
                  <c:v>42514</c:v>
                </c:pt>
                <c:pt idx="561">
                  <c:v>42515</c:v>
                </c:pt>
                <c:pt idx="562">
                  <c:v>42516</c:v>
                </c:pt>
                <c:pt idx="563">
                  <c:v>42517</c:v>
                </c:pt>
                <c:pt idx="564">
                  <c:v>42521</c:v>
                </c:pt>
                <c:pt idx="565">
                  <c:v>42522</c:v>
                </c:pt>
                <c:pt idx="566">
                  <c:v>42523</c:v>
                </c:pt>
                <c:pt idx="567">
                  <c:v>42524</c:v>
                </c:pt>
                <c:pt idx="568">
                  <c:v>42527</c:v>
                </c:pt>
                <c:pt idx="569">
                  <c:v>42528</c:v>
                </c:pt>
                <c:pt idx="570">
                  <c:v>42529</c:v>
                </c:pt>
                <c:pt idx="571">
                  <c:v>42530</c:v>
                </c:pt>
                <c:pt idx="572">
                  <c:v>42531</c:v>
                </c:pt>
                <c:pt idx="573">
                  <c:v>42534</c:v>
                </c:pt>
                <c:pt idx="574">
                  <c:v>42535</c:v>
                </c:pt>
                <c:pt idx="575">
                  <c:v>42536</c:v>
                </c:pt>
                <c:pt idx="576">
                  <c:v>42537</c:v>
                </c:pt>
                <c:pt idx="577">
                  <c:v>42538</c:v>
                </c:pt>
                <c:pt idx="578">
                  <c:v>42541</c:v>
                </c:pt>
                <c:pt idx="579">
                  <c:v>42542</c:v>
                </c:pt>
                <c:pt idx="580">
                  <c:v>42543</c:v>
                </c:pt>
                <c:pt idx="581">
                  <c:v>42544</c:v>
                </c:pt>
                <c:pt idx="582">
                  <c:v>42545</c:v>
                </c:pt>
                <c:pt idx="583">
                  <c:v>42548</c:v>
                </c:pt>
                <c:pt idx="584">
                  <c:v>42549</c:v>
                </c:pt>
                <c:pt idx="585">
                  <c:v>42550</c:v>
                </c:pt>
                <c:pt idx="586">
                  <c:v>42551</c:v>
                </c:pt>
                <c:pt idx="587">
                  <c:v>42552</c:v>
                </c:pt>
                <c:pt idx="588">
                  <c:v>42556</c:v>
                </c:pt>
                <c:pt idx="589">
                  <c:v>42557</c:v>
                </c:pt>
                <c:pt idx="590">
                  <c:v>42558</c:v>
                </c:pt>
                <c:pt idx="591">
                  <c:v>42559</c:v>
                </c:pt>
                <c:pt idx="592">
                  <c:v>42562</c:v>
                </c:pt>
                <c:pt idx="593">
                  <c:v>42563</c:v>
                </c:pt>
                <c:pt idx="594">
                  <c:v>42564</c:v>
                </c:pt>
                <c:pt idx="595">
                  <c:v>42565</c:v>
                </c:pt>
                <c:pt idx="596">
                  <c:v>42566</c:v>
                </c:pt>
                <c:pt idx="597">
                  <c:v>42569</c:v>
                </c:pt>
                <c:pt idx="598">
                  <c:v>42570</c:v>
                </c:pt>
                <c:pt idx="599">
                  <c:v>42571</c:v>
                </c:pt>
                <c:pt idx="600">
                  <c:v>42572</c:v>
                </c:pt>
                <c:pt idx="601">
                  <c:v>42573</c:v>
                </c:pt>
                <c:pt idx="602">
                  <c:v>42576</c:v>
                </c:pt>
                <c:pt idx="603">
                  <c:v>42577</c:v>
                </c:pt>
                <c:pt idx="604">
                  <c:v>42578</c:v>
                </c:pt>
                <c:pt idx="605">
                  <c:v>42579</c:v>
                </c:pt>
                <c:pt idx="606">
                  <c:v>42580</c:v>
                </c:pt>
                <c:pt idx="607">
                  <c:v>42583</c:v>
                </c:pt>
                <c:pt idx="608">
                  <c:v>42584</c:v>
                </c:pt>
                <c:pt idx="609">
                  <c:v>42585</c:v>
                </c:pt>
                <c:pt idx="610">
                  <c:v>42586</c:v>
                </c:pt>
                <c:pt idx="611">
                  <c:v>42587</c:v>
                </c:pt>
                <c:pt idx="612">
                  <c:v>42590</c:v>
                </c:pt>
                <c:pt idx="613">
                  <c:v>42591</c:v>
                </c:pt>
                <c:pt idx="614">
                  <c:v>42592</c:v>
                </c:pt>
                <c:pt idx="615">
                  <c:v>42593</c:v>
                </c:pt>
                <c:pt idx="616">
                  <c:v>42594</c:v>
                </c:pt>
                <c:pt idx="617">
                  <c:v>42597</c:v>
                </c:pt>
                <c:pt idx="618">
                  <c:v>42598</c:v>
                </c:pt>
                <c:pt idx="619">
                  <c:v>42599</c:v>
                </c:pt>
                <c:pt idx="620">
                  <c:v>42600</c:v>
                </c:pt>
                <c:pt idx="621">
                  <c:v>42601</c:v>
                </c:pt>
                <c:pt idx="622">
                  <c:v>42604</c:v>
                </c:pt>
                <c:pt idx="623">
                  <c:v>42605</c:v>
                </c:pt>
                <c:pt idx="624">
                  <c:v>42606</c:v>
                </c:pt>
                <c:pt idx="625">
                  <c:v>42607</c:v>
                </c:pt>
                <c:pt idx="626">
                  <c:v>42608</c:v>
                </c:pt>
                <c:pt idx="627">
                  <c:v>42611</c:v>
                </c:pt>
                <c:pt idx="628">
                  <c:v>42612</c:v>
                </c:pt>
                <c:pt idx="629">
                  <c:v>42613</c:v>
                </c:pt>
                <c:pt idx="630">
                  <c:v>42614</c:v>
                </c:pt>
                <c:pt idx="631">
                  <c:v>42615</c:v>
                </c:pt>
                <c:pt idx="632">
                  <c:v>42618</c:v>
                </c:pt>
                <c:pt idx="633">
                  <c:v>42619</c:v>
                </c:pt>
                <c:pt idx="634">
                  <c:v>42620</c:v>
                </c:pt>
                <c:pt idx="635">
                  <c:v>42621</c:v>
                </c:pt>
                <c:pt idx="636">
                  <c:v>42622</c:v>
                </c:pt>
                <c:pt idx="637">
                  <c:v>42625</c:v>
                </c:pt>
                <c:pt idx="638">
                  <c:v>42626</c:v>
                </c:pt>
                <c:pt idx="639">
                  <c:v>42627</c:v>
                </c:pt>
                <c:pt idx="640">
                  <c:v>42628</c:v>
                </c:pt>
                <c:pt idx="641">
                  <c:v>42629</c:v>
                </c:pt>
                <c:pt idx="642">
                  <c:v>42632</c:v>
                </c:pt>
                <c:pt idx="643">
                  <c:v>42633</c:v>
                </c:pt>
                <c:pt idx="644">
                  <c:v>42634</c:v>
                </c:pt>
                <c:pt idx="645">
                  <c:v>42635</c:v>
                </c:pt>
                <c:pt idx="646">
                  <c:v>42636</c:v>
                </c:pt>
                <c:pt idx="647">
                  <c:v>42639</c:v>
                </c:pt>
                <c:pt idx="648">
                  <c:v>42640</c:v>
                </c:pt>
                <c:pt idx="649">
                  <c:v>42641</c:v>
                </c:pt>
                <c:pt idx="650">
                  <c:v>42642</c:v>
                </c:pt>
                <c:pt idx="651">
                  <c:v>42643</c:v>
                </c:pt>
                <c:pt idx="652">
                  <c:v>42646</c:v>
                </c:pt>
                <c:pt idx="653">
                  <c:v>42647</c:v>
                </c:pt>
                <c:pt idx="654">
                  <c:v>42648</c:v>
                </c:pt>
                <c:pt idx="655">
                  <c:v>42649</c:v>
                </c:pt>
                <c:pt idx="656">
                  <c:v>42650</c:v>
                </c:pt>
                <c:pt idx="657">
                  <c:v>42653</c:v>
                </c:pt>
                <c:pt idx="658">
                  <c:v>42654</c:v>
                </c:pt>
                <c:pt idx="659">
                  <c:v>42655</c:v>
                </c:pt>
                <c:pt idx="660">
                  <c:v>42656</c:v>
                </c:pt>
                <c:pt idx="661">
                  <c:v>42657</c:v>
                </c:pt>
                <c:pt idx="662">
                  <c:v>42660</c:v>
                </c:pt>
                <c:pt idx="663">
                  <c:v>42661</c:v>
                </c:pt>
                <c:pt idx="664">
                  <c:v>42662</c:v>
                </c:pt>
                <c:pt idx="665">
                  <c:v>42663</c:v>
                </c:pt>
                <c:pt idx="666">
                  <c:v>42664</c:v>
                </c:pt>
                <c:pt idx="667">
                  <c:v>42667</c:v>
                </c:pt>
                <c:pt idx="668">
                  <c:v>42668</c:v>
                </c:pt>
                <c:pt idx="669">
                  <c:v>42669</c:v>
                </c:pt>
                <c:pt idx="670">
                  <c:v>42670</c:v>
                </c:pt>
                <c:pt idx="671">
                  <c:v>42671</c:v>
                </c:pt>
                <c:pt idx="672">
                  <c:v>42674</c:v>
                </c:pt>
                <c:pt idx="673">
                  <c:v>42675</c:v>
                </c:pt>
                <c:pt idx="674">
                  <c:v>42676</c:v>
                </c:pt>
                <c:pt idx="675">
                  <c:v>42677</c:v>
                </c:pt>
                <c:pt idx="676">
                  <c:v>42678</c:v>
                </c:pt>
                <c:pt idx="677">
                  <c:v>42681</c:v>
                </c:pt>
                <c:pt idx="678">
                  <c:v>42682</c:v>
                </c:pt>
                <c:pt idx="679">
                  <c:v>42683</c:v>
                </c:pt>
                <c:pt idx="680">
                  <c:v>42684</c:v>
                </c:pt>
                <c:pt idx="681">
                  <c:v>42685</c:v>
                </c:pt>
                <c:pt idx="682">
                  <c:v>42688</c:v>
                </c:pt>
                <c:pt idx="683">
                  <c:v>42689</c:v>
                </c:pt>
                <c:pt idx="684">
                  <c:v>42690</c:v>
                </c:pt>
                <c:pt idx="685">
                  <c:v>42691</c:v>
                </c:pt>
                <c:pt idx="686">
                  <c:v>42692</c:v>
                </c:pt>
                <c:pt idx="687">
                  <c:v>42695</c:v>
                </c:pt>
                <c:pt idx="688">
                  <c:v>42696</c:v>
                </c:pt>
                <c:pt idx="689">
                  <c:v>42697</c:v>
                </c:pt>
                <c:pt idx="690">
                  <c:v>42698</c:v>
                </c:pt>
                <c:pt idx="691">
                  <c:v>42699</c:v>
                </c:pt>
                <c:pt idx="692">
                  <c:v>42702</c:v>
                </c:pt>
                <c:pt idx="693">
                  <c:v>42703</c:v>
                </c:pt>
                <c:pt idx="694">
                  <c:v>42704</c:v>
                </c:pt>
                <c:pt idx="695">
                  <c:v>42705</c:v>
                </c:pt>
                <c:pt idx="696">
                  <c:v>42706</c:v>
                </c:pt>
                <c:pt idx="697">
                  <c:v>42709</c:v>
                </c:pt>
                <c:pt idx="698">
                  <c:v>42710</c:v>
                </c:pt>
                <c:pt idx="699">
                  <c:v>42711</c:v>
                </c:pt>
                <c:pt idx="700">
                  <c:v>42712</c:v>
                </c:pt>
                <c:pt idx="701">
                  <c:v>42713</c:v>
                </c:pt>
                <c:pt idx="702">
                  <c:v>42716</c:v>
                </c:pt>
                <c:pt idx="703">
                  <c:v>42717</c:v>
                </c:pt>
                <c:pt idx="704">
                  <c:v>42718</c:v>
                </c:pt>
                <c:pt idx="705">
                  <c:v>42719</c:v>
                </c:pt>
                <c:pt idx="706">
                  <c:v>42720</c:v>
                </c:pt>
                <c:pt idx="707">
                  <c:v>42723</c:v>
                </c:pt>
                <c:pt idx="708">
                  <c:v>42724</c:v>
                </c:pt>
                <c:pt idx="709">
                  <c:v>42725</c:v>
                </c:pt>
                <c:pt idx="710">
                  <c:v>42726</c:v>
                </c:pt>
                <c:pt idx="711">
                  <c:v>42727</c:v>
                </c:pt>
                <c:pt idx="712">
                  <c:v>42731</c:v>
                </c:pt>
                <c:pt idx="713">
                  <c:v>42732</c:v>
                </c:pt>
                <c:pt idx="714">
                  <c:v>42733</c:v>
                </c:pt>
                <c:pt idx="715">
                  <c:v>42734</c:v>
                </c:pt>
                <c:pt idx="716">
                  <c:v>42738</c:v>
                </c:pt>
                <c:pt idx="717">
                  <c:v>42739</c:v>
                </c:pt>
                <c:pt idx="718">
                  <c:v>42740</c:v>
                </c:pt>
                <c:pt idx="719">
                  <c:v>42741</c:v>
                </c:pt>
                <c:pt idx="720">
                  <c:v>42744</c:v>
                </c:pt>
                <c:pt idx="721">
                  <c:v>42745</c:v>
                </c:pt>
                <c:pt idx="722">
                  <c:v>42746</c:v>
                </c:pt>
                <c:pt idx="723">
                  <c:v>42747</c:v>
                </c:pt>
                <c:pt idx="724">
                  <c:v>42748</c:v>
                </c:pt>
                <c:pt idx="725">
                  <c:v>42752</c:v>
                </c:pt>
                <c:pt idx="726">
                  <c:v>42753</c:v>
                </c:pt>
                <c:pt idx="727">
                  <c:v>42754</c:v>
                </c:pt>
                <c:pt idx="728">
                  <c:v>42755</c:v>
                </c:pt>
                <c:pt idx="729">
                  <c:v>42758</c:v>
                </c:pt>
                <c:pt idx="730">
                  <c:v>42759</c:v>
                </c:pt>
                <c:pt idx="731">
                  <c:v>42760</c:v>
                </c:pt>
                <c:pt idx="732">
                  <c:v>42761</c:v>
                </c:pt>
                <c:pt idx="733">
                  <c:v>42762</c:v>
                </c:pt>
                <c:pt idx="734">
                  <c:v>42765</c:v>
                </c:pt>
                <c:pt idx="735">
                  <c:v>42766</c:v>
                </c:pt>
                <c:pt idx="736">
                  <c:v>42767</c:v>
                </c:pt>
                <c:pt idx="737">
                  <c:v>42768</c:v>
                </c:pt>
                <c:pt idx="738">
                  <c:v>42769</c:v>
                </c:pt>
                <c:pt idx="739">
                  <c:v>42772</c:v>
                </c:pt>
                <c:pt idx="740">
                  <c:v>42773</c:v>
                </c:pt>
                <c:pt idx="741">
                  <c:v>42774</c:v>
                </c:pt>
                <c:pt idx="742">
                  <c:v>42775</c:v>
                </c:pt>
                <c:pt idx="743">
                  <c:v>42776</c:v>
                </c:pt>
                <c:pt idx="744">
                  <c:v>42779</c:v>
                </c:pt>
                <c:pt idx="745">
                  <c:v>42780</c:v>
                </c:pt>
                <c:pt idx="746">
                  <c:v>42781</c:v>
                </c:pt>
                <c:pt idx="747">
                  <c:v>42782</c:v>
                </c:pt>
                <c:pt idx="748">
                  <c:v>42783</c:v>
                </c:pt>
                <c:pt idx="749">
                  <c:v>42787</c:v>
                </c:pt>
                <c:pt idx="750">
                  <c:v>42788</c:v>
                </c:pt>
                <c:pt idx="751">
                  <c:v>42789</c:v>
                </c:pt>
                <c:pt idx="752">
                  <c:v>42790</c:v>
                </c:pt>
                <c:pt idx="753">
                  <c:v>42793</c:v>
                </c:pt>
                <c:pt idx="754">
                  <c:v>42794</c:v>
                </c:pt>
                <c:pt idx="755">
                  <c:v>42795</c:v>
                </c:pt>
                <c:pt idx="756">
                  <c:v>42796</c:v>
                </c:pt>
                <c:pt idx="757">
                  <c:v>42797</c:v>
                </c:pt>
                <c:pt idx="758">
                  <c:v>42800</c:v>
                </c:pt>
                <c:pt idx="759">
                  <c:v>42801</c:v>
                </c:pt>
                <c:pt idx="760">
                  <c:v>42802</c:v>
                </c:pt>
                <c:pt idx="761">
                  <c:v>42803</c:v>
                </c:pt>
                <c:pt idx="762">
                  <c:v>42804</c:v>
                </c:pt>
                <c:pt idx="763">
                  <c:v>42807</c:v>
                </c:pt>
                <c:pt idx="764">
                  <c:v>42808</c:v>
                </c:pt>
                <c:pt idx="765">
                  <c:v>42809</c:v>
                </c:pt>
                <c:pt idx="766">
                  <c:v>42810</c:v>
                </c:pt>
                <c:pt idx="767">
                  <c:v>42811</c:v>
                </c:pt>
                <c:pt idx="768">
                  <c:v>42814</c:v>
                </c:pt>
                <c:pt idx="769">
                  <c:v>42815</c:v>
                </c:pt>
                <c:pt idx="770">
                  <c:v>42816</c:v>
                </c:pt>
                <c:pt idx="771">
                  <c:v>42817</c:v>
                </c:pt>
                <c:pt idx="772">
                  <c:v>42818</c:v>
                </c:pt>
                <c:pt idx="773">
                  <c:v>42821</c:v>
                </c:pt>
                <c:pt idx="774">
                  <c:v>42822</c:v>
                </c:pt>
                <c:pt idx="775">
                  <c:v>42823</c:v>
                </c:pt>
                <c:pt idx="776">
                  <c:v>42824</c:v>
                </c:pt>
                <c:pt idx="777">
                  <c:v>42825</c:v>
                </c:pt>
                <c:pt idx="778">
                  <c:v>42828</c:v>
                </c:pt>
                <c:pt idx="779">
                  <c:v>42829</c:v>
                </c:pt>
                <c:pt idx="780">
                  <c:v>42830</c:v>
                </c:pt>
                <c:pt idx="781">
                  <c:v>42831</c:v>
                </c:pt>
                <c:pt idx="782">
                  <c:v>42832</c:v>
                </c:pt>
                <c:pt idx="783">
                  <c:v>42835</c:v>
                </c:pt>
                <c:pt idx="784">
                  <c:v>42836</c:v>
                </c:pt>
                <c:pt idx="785">
                  <c:v>42837</c:v>
                </c:pt>
                <c:pt idx="786">
                  <c:v>42838</c:v>
                </c:pt>
                <c:pt idx="787">
                  <c:v>42842</c:v>
                </c:pt>
                <c:pt idx="788">
                  <c:v>42843</c:v>
                </c:pt>
                <c:pt idx="789">
                  <c:v>42844</c:v>
                </c:pt>
                <c:pt idx="790">
                  <c:v>42845</c:v>
                </c:pt>
                <c:pt idx="791">
                  <c:v>42846</c:v>
                </c:pt>
                <c:pt idx="792">
                  <c:v>42849</c:v>
                </c:pt>
                <c:pt idx="793">
                  <c:v>42850</c:v>
                </c:pt>
                <c:pt idx="794">
                  <c:v>42851</c:v>
                </c:pt>
                <c:pt idx="795">
                  <c:v>42852</c:v>
                </c:pt>
                <c:pt idx="796">
                  <c:v>42853</c:v>
                </c:pt>
                <c:pt idx="797">
                  <c:v>42856</c:v>
                </c:pt>
                <c:pt idx="798">
                  <c:v>42857</c:v>
                </c:pt>
                <c:pt idx="799">
                  <c:v>42858</c:v>
                </c:pt>
                <c:pt idx="800">
                  <c:v>42859</c:v>
                </c:pt>
                <c:pt idx="801">
                  <c:v>42860</c:v>
                </c:pt>
                <c:pt idx="802">
                  <c:v>42863</c:v>
                </c:pt>
                <c:pt idx="803">
                  <c:v>42864</c:v>
                </c:pt>
                <c:pt idx="804">
                  <c:v>42865</c:v>
                </c:pt>
                <c:pt idx="805">
                  <c:v>42866</c:v>
                </c:pt>
                <c:pt idx="806">
                  <c:v>42867</c:v>
                </c:pt>
                <c:pt idx="807">
                  <c:v>42870</c:v>
                </c:pt>
                <c:pt idx="808">
                  <c:v>42871</c:v>
                </c:pt>
                <c:pt idx="809">
                  <c:v>42872</c:v>
                </c:pt>
                <c:pt idx="810">
                  <c:v>42873</c:v>
                </c:pt>
                <c:pt idx="811">
                  <c:v>42874</c:v>
                </c:pt>
                <c:pt idx="812">
                  <c:v>42877</c:v>
                </c:pt>
                <c:pt idx="813">
                  <c:v>42878</c:v>
                </c:pt>
                <c:pt idx="814">
                  <c:v>42879</c:v>
                </c:pt>
                <c:pt idx="815">
                  <c:v>42880</c:v>
                </c:pt>
                <c:pt idx="816">
                  <c:v>42881</c:v>
                </c:pt>
                <c:pt idx="817">
                  <c:v>42885</c:v>
                </c:pt>
                <c:pt idx="818">
                  <c:v>42886</c:v>
                </c:pt>
                <c:pt idx="819">
                  <c:v>42887</c:v>
                </c:pt>
                <c:pt idx="820">
                  <c:v>42888</c:v>
                </c:pt>
                <c:pt idx="821">
                  <c:v>42891</c:v>
                </c:pt>
                <c:pt idx="822">
                  <c:v>42892</c:v>
                </c:pt>
                <c:pt idx="823">
                  <c:v>42893</c:v>
                </c:pt>
                <c:pt idx="824">
                  <c:v>42894</c:v>
                </c:pt>
                <c:pt idx="825">
                  <c:v>42895</c:v>
                </c:pt>
                <c:pt idx="826">
                  <c:v>42898</c:v>
                </c:pt>
                <c:pt idx="827">
                  <c:v>42899</c:v>
                </c:pt>
                <c:pt idx="828">
                  <c:v>42900</c:v>
                </c:pt>
                <c:pt idx="829">
                  <c:v>42901</c:v>
                </c:pt>
                <c:pt idx="830">
                  <c:v>42902</c:v>
                </c:pt>
                <c:pt idx="831">
                  <c:v>42905</c:v>
                </c:pt>
                <c:pt idx="832">
                  <c:v>42906</c:v>
                </c:pt>
                <c:pt idx="833">
                  <c:v>42907</c:v>
                </c:pt>
                <c:pt idx="834">
                  <c:v>42908</c:v>
                </c:pt>
                <c:pt idx="835">
                  <c:v>42909</c:v>
                </c:pt>
                <c:pt idx="836">
                  <c:v>42912</c:v>
                </c:pt>
                <c:pt idx="837">
                  <c:v>42913</c:v>
                </c:pt>
                <c:pt idx="838">
                  <c:v>42914</c:v>
                </c:pt>
                <c:pt idx="839">
                  <c:v>42915</c:v>
                </c:pt>
                <c:pt idx="840">
                  <c:v>42916</c:v>
                </c:pt>
                <c:pt idx="841">
                  <c:v>42919</c:v>
                </c:pt>
                <c:pt idx="842">
                  <c:v>42921</c:v>
                </c:pt>
                <c:pt idx="843">
                  <c:v>42922</c:v>
                </c:pt>
                <c:pt idx="844">
                  <c:v>42923</c:v>
                </c:pt>
                <c:pt idx="845">
                  <c:v>42926</c:v>
                </c:pt>
                <c:pt idx="846">
                  <c:v>42927</c:v>
                </c:pt>
                <c:pt idx="847">
                  <c:v>42928</c:v>
                </c:pt>
                <c:pt idx="848">
                  <c:v>42929</c:v>
                </c:pt>
                <c:pt idx="849">
                  <c:v>42930</c:v>
                </c:pt>
                <c:pt idx="850">
                  <c:v>42933</c:v>
                </c:pt>
                <c:pt idx="851">
                  <c:v>42934</c:v>
                </c:pt>
                <c:pt idx="852">
                  <c:v>42935</c:v>
                </c:pt>
                <c:pt idx="853">
                  <c:v>42936</c:v>
                </c:pt>
                <c:pt idx="854">
                  <c:v>42937</c:v>
                </c:pt>
                <c:pt idx="855">
                  <c:v>42940</c:v>
                </c:pt>
                <c:pt idx="856">
                  <c:v>42941</c:v>
                </c:pt>
                <c:pt idx="857">
                  <c:v>42942</c:v>
                </c:pt>
                <c:pt idx="858">
                  <c:v>42943</c:v>
                </c:pt>
                <c:pt idx="859">
                  <c:v>42944</c:v>
                </c:pt>
                <c:pt idx="860">
                  <c:v>42947</c:v>
                </c:pt>
                <c:pt idx="861">
                  <c:v>42948</c:v>
                </c:pt>
                <c:pt idx="862">
                  <c:v>42949</c:v>
                </c:pt>
                <c:pt idx="863">
                  <c:v>42950</c:v>
                </c:pt>
                <c:pt idx="864">
                  <c:v>42951</c:v>
                </c:pt>
                <c:pt idx="865">
                  <c:v>42954</c:v>
                </c:pt>
                <c:pt idx="866">
                  <c:v>42955</c:v>
                </c:pt>
                <c:pt idx="867">
                  <c:v>42956</c:v>
                </c:pt>
                <c:pt idx="868">
                  <c:v>42957</c:v>
                </c:pt>
                <c:pt idx="869">
                  <c:v>42958</c:v>
                </c:pt>
                <c:pt idx="870">
                  <c:v>42961</c:v>
                </c:pt>
                <c:pt idx="871">
                  <c:v>42962</c:v>
                </c:pt>
                <c:pt idx="872">
                  <c:v>42963</c:v>
                </c:pt>
                <c:pt idx="873">
                  <c:v>42964</c:v>
                </c:pt>
                <c:pt idx="874">
                  <c:v>42965</c:v>
                </c:pt>
                <c:pt idx="875">
                  <c:v>42968</c:v>
                </c:pt>
                <c:pt idx="876">
                  <c:v>42969</c:v>
                </c:pt>
                <c:pt idx="877">
                  <c:v>42970</c:v>
                </c:pt>
                <c:pt idx="878">
                  <c:v>42971</c:v>
                </c:pt>
                <c:pt idx="879">
                  <c:v>42972</c:v>
                </c:pt>
                <c:pt idx="880">
                  <c:v>42975</c:v>
                </c:pt>
                <c:pt idx="881">
                  <c:v>42976</c:v>
                </c:pt>
                <c:pt idx="882">
                  <c:v>42977</c:v>
                </c:pt>
                <c:pt idx="883">
                  <c:v>42978</c:v>
                </c:pt>
                <c:pt idx="884">
                  <c:v>42979</c:v>
                </c:pt>
                <c:pt idx="885">
                  <c:v>42983</c:v>
                </c:pt>
                <c:pt idx="886">
                  <c:v>42984</c:v>
                </c:pt>
                <c:pt idx="887">
                  <c:v>42985</c:v>
                </c:pt>
                <c:pt idx="888">
                  <c:v>42986</c:v>
                </c:pt>
                <c:pt idx="889">
                  <c:v>42989</c:v>
                </c:pt>
                <c:pt idx="890">
                  <c:v>42990</c:v>
                </c:pt>
                <c:pt idx="891">
                  <c:v>42991</c:v>
                </c:pt>
                <c:pt idx="892">
                  <c:v>42992</c:v>
                </c:pt>
                <c:pt idx="893">
                  <c:v>42993</c:v>
                </c:pt>
                <c:pt idx="894">
                  <c:v>42996</c:v>
                </c:pt>
                <c:pt idx="895">
                  <c:v>42997</c:v>
                </c:pt>
                <c:pt idx="896">
                  <c:v>42998</c:v>
                </c:pt>
                <c:pt idx="897">
                  <c:v>42999</c:v>
                </c:pt>
                <c:pt idx="898">
                  <c:v>43000</c:v>
                </c:pt>
                <c:pt idx="899">
                  <c:v>43003</c:v>
                </c:pt>
                <c:pt idx="900">
                  <c:v>43004</c:v>
                </c:pt>
                <c:pt idx="901">
                  <c:v>43005</c:v>
                </c:pt>
                <c:pt idx="902">
                  <c:v>43006</c:v>
                </c:pt>
                <c:pt idx="903">
                  <c:v>43007</c:v>
                </c:pt>
                <c:pt idx="904">
                  <c:v>43010</c:v>
                </c:pt>
                <c:pt idx="905">
                  <c:v>43011</c:v>
                </c:pt>
                <c:pt idx="906">
                  <c:v>43012</c:v>
                </c:pt>
                <c:pt idx="907">
                  <c:v>43013</c:v>
                </c:pt>
                <c:pt idx="908">
                  <c:v>43014</c:v>
                </c:pt>
                <c:pt idx="909">
                  <c:v>43017</c:v>
                </c:pt>
                <c:pt idx="910">
                  <c:v>43018</c:v>
                </c:pt>
                <c:pt idx="911">
                  <c:v>43019</c:v>
                </c:pt>
                <c:pt idx="912">
                  <c:v>43020</c:v>
                </c:pt>
                <c:pt idx="913">
                  <c:v>43021</c:v>
                </c:pt>
                <c:pt idx="914">
                  <c:v>43024</c:v>
                </c:pt>
                <c:pt idx="915">
                  <c:v>43025</c:v>
                </c:pt>
                <c:pt idx="916">
                  <c:v>43026</c:v>
                </c:pt>
                <c:pt idx="917">
                  <c:v>43027</c:v>
                </c:pt>
                <c:pt idx="918">
                  <c:v>43028</c:v>
                </c:pt>
                <c:pt idx="919">
                  <c:v>43031</c:v>
                </c:pt>
                <c:pt idx="920">
                  <c:v>43032</c:v>
                </c:pt>
                <c:pt idx="921">
                  <c:v>43033</c:v>
                </c:pt>
                <c:pt idx="922">
                  <c:v>43034</c:v>
                </c:pt>
                <c:pt idx="923">
                  <c:v>43035</c:v>
                </c:pt>
                <c:pt idx="924">
                  <c:v>43038</c:v>
                </c:pt>
                <c:pt idx="925">
                  <c:v>43039</c:v>
                </c:pt>
                <c:pt idx="926">
                  <c:v>43040</c:v>
                </c:pt>
                <c:pt idx="927">
                  <c:v>43041</c:v>
                </c:pt>
                <c:pt idx="928">
                  <c:v>43042</c:v>
                </c:pt>
                <c:pt idx="929">
                  <c:v>43045</c:v>
                </c:pt>
                <c:pt idx="930">
                  <c:v>43046</c:v>
                </c:pt>
                <c:pt idx="931">
                  <c:v>43047</c:v>
                </c:pt>
                <c:pt idx="932">
                  <c:v>43048</c:v>
                </c:pt>
                <c:pt idx="933">
                  <c:v>43049</c:v>
                </c:pt>
                <c:pt idx="934">
                  <c:v>43052</c:v>
                </c:pt>
                <c:pt idx="935">
                  <c:v>43053</c:v>
                </c:pt>
                <c:pt idx="936">
                  <c:v>43054</c:v>
                </c:pt>
                <c:pt idx="937">
                  <c:v>43055</c:v>
                </c:pt>
                <c:pt idx="938">
                  <c:v>43056</c:v>
                </c:pt>
                <c:pt idx="939">
                  <c:v>43059</c:v>
                </c:pt>
                <c:pt idx="940">
                  <c:v>43060</c:v>
                </c:pt>
                <c:pt idx="941">
                  <c:v>43061</c:v>
                </c:pt>
                <c:pt idx="942">
                  <c:v>43063</c:v>
                </c:pt>
                <c:pt idx="943">
                  <c:v>43066</c:v>
                </c:pt>
                <c:pt idx="944">
                  <c:v>43067</c:v>
                </c:pt>
                <c:pt idx="945">
                  <c:v>43068</c:v>
                </c:pt>
                <c:pt idx="946">
                  <c:v>43069</c:v>
                </c:pt>
                <c:pt idx="947">
                  <c:v>43070</c:v>
                </c:pt>
                <c:pt idx="948">
                  <c:v>43073</c:v>
                </c:pt>
                <c:pt idx="949">
                  <c:v>43074</c:v>
                </c:pt>
                <c:pt idx="950">
                  <c:v>43075</c:v>
                </c:pt>
                <c:pt idx="951">
                  <c:v>43076</c:v>
                </c:pt>
                <c:pt idx="952">
                  <c:v>43077</c:v>
                </c:pt>
                <c:pt idx="953">
                  <c:v>43080</c:v>
                </c:pt>
                <c:pt idx="954">
                  <c:v>43081</c:v>
                </c:pt>
                <c:pt idx="955">
                  <c:v>43082</c:v>
                </c:pt>
                <c:pt idx="956">
                  <c:v>43083</c:v>
                </c:pt>
                <c:pt idx="957">
                  <c:v>43084</c:v>
                </c:pt>
                <c:pt idx="958">
                  <c:v>43087</c:v>
                </c:pt>
                <c:pt idx="959">
                  <c:v>43088</c:v>
                </c:pt>
                <c:pt idx="960">
                  <c:v>43089</c:v>
                </c:pt>
                <c:pt idx="961">
                  <c:v>43090</c:v>
                </c:pt>
                <c:pt idx="962">
                  <c:v>43091</c:v>
                </c:pt>
                <c:pt idx="963">
                  <c:v>43095</c:v>
                </c:pt>
                <c:pt idx="964">
                  <c:v>43096</c:v>
                </c:pt>
                <c:pt idx="965">
                  <c:v>43097</c:v>
                </c:pt>
                <c:pt idx="966">
                  <c:v>43098</c:v>
                </c:pt>
                <c:pt idx="967">
                  <c:v>43102</c:v>
                </c:pt>
                <c:pt idx="968">
                  <c:v>43103</c:v>
                </c:pt>
                <c:pt idx="969">
                  <c:v>43104</c:v>
                </c:pt>
                <c:pt idx="970">
                  <c:v>43105</c:v>
                </c:pt>
                <c:pt idx="971">
                  <c:v>43108</c:v>
                </c:pt>
                <c:pt idx="972">
                  <c:v>43109</c:v>
                </c:pt>
                <c:pt idx="973">
                  <c:v>43110</c:v>
                </c:pt>
                <c:pt idx="974">
                  <c:v>43111</c:v>
                </c:pt>
                <c:pt idx="975">
                  <c:v>43112</c:v>
                </c:pt>
                <c:pt idx="976">
                  <c:v>43116</c:v>
                </c:pt>
                <c:pt idx="977">
                  <c:v>43117</c:v>
                </c:pt>
                <c:pt idx="978">
                  <c:v>43118</c:v>
                </c:pt>
                <c:pt idx="979">
                  <c:v>43119</c:v>
                </c:pt>
                <c:pt idx="980">
                  <c:v>43122</c:v>
                </c:pt>
                <c:pt idx="981">
                  <c:v>43123</c:v>
                </c:pt>
                <c:pt idx="982">
                  <c:v>43124</c:v>
                </c:pt>
                <c:pt idx="983">
                  <c:v>43125</c:v>
                </c:pt>
                <c:pt idx="984">
                  <c:v>43126</c:v>
                </c:pt>
                <c:pt idx="985">
                  <c:v>43129</c:v>
                </c:pt>
                <c:pt idx="986">
                  <c:v>43130</c:v>
                </c:pt>
                <c:pt idx="987">
                  <c:v>43131</c:v>
                </c:pt>
                <c:pt idx="988">
                  <c:v>43132</c:v>
                </c:pt>
                <c:pt idx="989">
                  <c:v>43133</c:v>
                </c:pt>
                <c:pt idx="990">
                  <c:v>43136</c:v>
                </c:pt>
                <c:pt idx="991">
                  <c:v>43137</c:v>
                </c:pt>
                <c:pt idx="992">
                  <c:v>43138</c:v>
                </c:pt>
                <c:pt idx="993">
                  <c:v>43139</c:v>
                </c:pt>
                <c:pt idx="994">
                  <c:v>43140</c:v>
                </c:pt>
                <c:pt idx="995">
                  <c:v>43143</c:v>
                </c:pt>
                <c:pt idx="996">
                  <c:v>43144</c:v>
                </c:pt>
                <c:pt idx="997">
                  <c:v>43145</c:v>
                </c:pt>
                <c:pt idx="998">
                  <c:v>43146</c:v>
                </c:pt>
                <c:pt idx="999">
                  <c:v>43147</c:v>
                </c:pt>
                <c:pt idx="1000">
                  <c:v>43151</c:v>
                </c:pt>
                <c:pt idx="1001">
                  <c:v>43152</c:v>
                </c:pt>
                <c:pt idx="1002">
                  <c:v>43153</c:v>
                </c:pt>
                <c:pt idx="1003">
                  <c:v>43154</c:v>
                </c:pt>
                <c:pt idx="1004">
                  <c:v>43157</c:v>
                </c:pt>
                <c:pt idx="1005">
                  <c:v>43158</c:v>
                </c:pt>
                <c:pt idx="1006">
                  <c:v>43159</c:v>
                </c:pt>
                <c:pt idx="1007">
                  <c:v>43160</c:v>
                </c:pt>
                <c:pt idx="1008">
                  <c:v>43161</c:v>
                </c:pt>
                <c:pt idx="1009">
                  <c:v>43164</c:v>
                </c:pt>
                <c:pt idx="1010">
                  <c:v>43165</c:v>
                </c:pt>
                <c:pt idx="1011">
                  <c:v>43166</c:v>
                </c:pt>
                <c:pt idx="1012">
                  <c:v>43167</c:v>
                </c:pt>
                <c:pt idx="1013">
                  <c:v>43168</c:v>
                </c:pt>
                <c:pt idx="1014">
                  <c:v>43171</c:v>
                </c:pt>
                <c:pt idx="1015">
                  <c:v>43172</c:v>
                </c:pt>
                <c:pt idx="1016">
                  <c:v>43173</c:v>
                </c:pt>
                <c:pt idx="1017">
                  <c:v>43174</c:v>
                </c:pt>
                <c:pt idx="1018">
                  <c:v>43175</c:v>
                </c:pt>
                <c:pt idx="1019">
                  <c:v>43178</c:v>
                </c:pt>
                <c:pt idx="1020">
                  <c:v>43179</c:v>
                </c:pt>
                <c:pt idx="1021">
                  <c:v>43180</c:v>
                </c:pt>
                <c:pt idx="1022">
                  <c:v>43181</c:v>
                </c:pt>
                <c:pt idx="1023">
                  <c:v>43182</c:v>
                </c:pt>
                <c:pt idx="1024">
                  <c:v>43185</c:v>
                </c:pt>
                <c:pt idx="1025">
                  <c:v>43186</c:v>
                </c:pt>
                <c:pt idx="1026">
                  <c:v>43187</c:v>
                </c:pt>
                <c:pt idx="1027">
                  <c:v>43188</c:v>
                </c:pt>
                <c:pt idx="1028">
                  <c:v>43192</c:v>
                </c:pt>
              </c:numCache>
            </c:numRef>
          </c:cat>
          <c:val>
            <c:numRef>
              <c:f>'20 &amp;50 -days MA'!$C$54:$C$1082</c:f>
              <c:numCache>
                <c:formatCode>#,##0.00</c:formatCode>
                <c:ptCount val="1029"/>
                <c:pt idx="0">
                  <c:v>98.43</c:v>
                </c:pt>
                <c:pt idx="1">
                  <c:v>100.08</c:v>
                </c:pt>
                <c:pt idx="2">
                  <c:v>100.71</c:v>
                </c:pt>
                <c:pt idx="3">
                  <c:v>99.68</c:v>
                </c:pt>
                <c:pt idx="4">
                  <c:v>99.97</c:v>
                </c:pt>
                <c:pt idx="5">
                  <c:v>100.05</c:v>
                </c:pt>
                <c:pt idx="6">
                  <c:v>99.66</c:v>
                </c:pt>
                <c:pt idx="7">
                  <c:v>100.61</c:v>
                </c:pt>
                <c:pt idx="8">
                  <c:v>101.25</c:v>
                </c:pt>
                <c:pt idx="9">
                  <c:v>101.73</c:v>
                </c:pt>
                <c:pt idx="10">
                  <c:v>101.57</c:v>
                </c:pt>
                <c:pt idx="11">
                  <c:v>99.69</c:v>
                </c:pt>
                <c:pt idx="12">
                  <c:v>99.6</c:v>
                </c:pt>
                <c:pt idx="13">
                  <c:v>100.29</c:v>
                </c:pt>
                <c:pt idx="14">
                  <c:v>101.16</c:v>
                </c:pt>
                <c:pt idx="15">
                  <c:v>100.43</c:v>
                </c:pt>
                <c:pt idx="16">
                  <c:v>102.57</c:v>
                </c:pt>
                <c:pt idx="17">
                  <c:v>103.55</c:v>
                </c:pt>
                <c:pt idx="18">
                  <c:v>103.37</c:v>
                </c:pt>
                <c:pt idx="19">
                  <c:v>103.68</c:v>
                </c:pt>
                <c:pt idx="20">
                  <c:v>104.05</c:v>
                </c:pt>
                <c:pt idx="21">
                  <c:v>103.7</c:v>
                </c:pt>
                <c:pt idx="22">
                  <c:v>103.71</c:v>
                </c:pt>
                <c:pt idx="23">
                  <c:v>104.33</c:v>
                </c:pt>
                <c:pt idx="24">
                  <c:v>104.35</c:v>
                </c:pt>
                <c:pt idx="25">
                  <c:v>101.69</c:v>
                </c:pt>
                <c:pt idx="26">
                  <c:v>101.47</c:v>
                </c:pt>
                <c:pt idx="27">
                  <c:v>102.2</c:v>
                </c:pt>
                <c:pt idx="28">
                  <c:v>100.85</c:v>
                </c:pt>
                <c:pt idx="29">
                  <c:v>101.13</c:v>
                </c:pt>
                <c:pt idx="30">
                  <c:v>101.56</c:v>
                </c:pt>
                <c:pt idx="31">
                  <c:v>100.07</c:v>
                </c:pt>
                <c:pt idx="32">
                  <c:v>99.69</c:v>
                </c:pt>
                <c:pt idx="33">
                  <c:v>100.09</c:v>
                </c:pt>
                <c:pt idx="34">
                  <c:v>99.74</c:v>
                </c:pt>
                <c:pt idx="35">
                  <c:v>99.81</c:v>
                </c:pt>
                <c:pt idx="36">
                  <c:v>101.06</c:v>
                </c:pt>
                <c:pt idx="37">
                  <c:v>100.52</c:v>
                </c:pt>
                <c:pt idx="38">
                  <c:v>100.32</c:v>
                </c:pt>
                <c:pt idx="39">
                  <c:v>100.89</c:v>
                </c:pt>
                <c:pt idx="40">
                  <c:v>102.01</c:v>
                </c:pt>
                <c:pt idx="41">
                  <c:v>102.63</c:v>
                </c:pt>
                <c:pt idx="42">
                  <c:v>101.74</c:v>
                </c:pt>
                <c:pt idx="43">
                  <c:v>102.31</c:v>
                </c:pt>
                <c:pt idx="44">
                  <c:v>102.95</c:v>
                </c:pt>
                <c:pt idx="45">
                  <c:v>102.8</c:v>
                </c:pt>
                <c:pt idx="46">
                  <c:v>104.31</c:v>
                </c:pt>
                <c:pt idx="47">
                  <c:v>104.03</c:v>
                </c:pt>
                <c:pt idx="48">
                  <c:v>105.01</c:v>
                </c:pt>
                <c:pt idx="49">
                  <c:v>104.78</c:v>
                </c:pt>
                <c:pt idx="50">
                  <c:v>103.37</c:v>
                </c:pt>
                <c:pt idx="51">
                  <c:v>104.26</c:v>
                </c:pt>
                <c:pt idx="52">
                  <c:v>103.4</c:v>
                </c:pt>
                <c:pt idx="53">
                  <c:v>103.07</c:v>
                </c:pt>
                <c:pt idx="54">
                  <c:v>103.34</c:v>
                </c:pt>
                <c:pt idx="55">
                  <c:v>103.27</c:v>
                </c:pt>
                <c:pt idx="56">
                  <c:v>103.17</c:v>
                </c:pt>
                <c:pt idx="57">
                  <c:v>103.32</c:v>
                </c:pt>
                <c:pt idx="58">
                  <c:v>105.09</c:v>
                </c:pt>
                <c:pt idx="59">
                  <c:v>105.02</c:v>
                </c:pt>
                <c:pt idx="60">
                  <c:v>105.04</c:v>
                </c:pt>
                <c:pt idx="61">
                  <c:v>107.2</c:v>
                </c:pt>
                <c:pt idx="62">
                  <c:v>107.49</c:v>
                </c:pt>
                <c:pt idx="63">
                  <c:v>107.52</c:v>
                </c:pt>
                <c:pt idx="64">
                  <c:v>106.95</c:v>
                </c:pt>
                <c:pt idx="65">
                  <c:v>106.64</c:v>
                </c:pt>
                <c:pt idx="66">
                  <c:v>107.08</c:v>
                </c:pt>
                <c:pt idx="67">
                  <c:v>107.95</c:v>
                </c:pt>
                <c:pt idx="68">
                  <c:v>106.83</c:v>
                </c:pt>
                <c:pt idx="69">
                  <c:v>106.64</c:v>
                </c:pt>
                <c:pt idx="70">
                  <c:v>107.04</c:v>
                </c:pt>
                <c:pt idx="71">
                  <c:v>106.49</c:v>
                </c:pt>
                <c:pt idx="72">
                  <c:v>106.46</c:v>
                </c:pt>
                <c:pt idx="73">
                  <c:v>106.07</c:v>
                </c:pt>
                <c:pt idx="74">
                  <c:v>106.06</c:v>
                </c:pt>
                <c:pt idx="75">
                  <c:v>105.18</c:v>
                </c:pt>
                <c:pt idx="76">
                  <c:v>104.76</c:v>
                </c:pt>
                <c:pt idx="77">
                  <c:v>104.19</c:v>
                </c:pt>
                <c:pt idx="78">
                  <c:v>104.06</c:v>
                </c:pt>
                <c:pt idx="79">
                  <c:v>102.93</c:v>
                </c:pt>
                <c:pt idx="80">
                  <c:v>103.61</c:v>
                </c:pt>
                <c:pt idx="81">
                  <c:v>101.48</c:v>
                </c:pt>
                <c:pt idx="82">
                  <c:v>101.73</c:v>
                </c:pt>
                <c:pt idx="83">
                  <c:v>100.56</c:v>
                </c:pt>
                <c:pt idx="84">
                  <c:v>101.88</c:v>
                </c:pt>
                <c:pt idx="85">
                  <c:v>103.84</c:v>
                </c:pt>
                <c:pt idx="86">
                  <c:v>103.83</c:v>
                </c:pt>
                <c:pt idx="87">
                  <c:v>105.34</c:v>
                </c:pt>
                <c:pt idx="88">
                  <c:v>104.59</c:v>
                </c:pt>
                <c:pt idx="89">
                  <c:v>103.81</c:v>
                </c:pt>
                <c:pt idx="90">
                  <c:v>102.76</c:v>
                </c:pt>
                <c:pt idx="91">
                  <c:v>105.23</c:v>
                </c:pt>
                <c:pt idx="92">
                  <c:v>105.68</c:v>
                </c:pt>
                <c:pt idx="93">
                  <c:v>104.91</c:v>
                </c:pt>
                <c:pt idx="94">
                  <c:v>104.29</c:v>
                </c:pt>
                <c:pt idx="95">
                  <c:v>98.23</c:v>
                </c:pt>
                <c:pt idx="96">
                  <c:v>97.86</c:v>
                </c:pt>
                <c:pt idx="97">
                  <c:v>98.26</c:v>
                </c:pt>
                <c:pt idx="98">
                  <c:v>97.34</c:v>
                </c:pt>
                <c:pt idx="99">
                  <c:v>96.93</c:v>
                </c:pt>
                <c:pt idx="100">
                  <c:v>97.34</c:v>
                </c:pt>
                <c:pt idx="101">
                  <c:v>97.61</c:v>
                </c:pt>
                <c:pt idx="102">
                  <c:v>98.09</c:v>
                </c:pt>
                <c:pt idx="103">
                  <c:v>97.36</c:v>
                </c:pt>
                <c:pt idx="104">
                  <c:v>97.57</c:v>
                </c:pt>
                <c:pt idx="105">
                  <c:v>95.54</c:v>
                </c:pt>
                <c:pt idx="106">
                  <c:v>97.3</c:v>
                </c:pt>
                <c:pt idx="107">
                  <c:v>96.44</c:v>
                </c:pt>
                <c:pt idx="108">
                  <c:v>94.35</c:v>
                </c:pt>
                <c:pt idx="109">
                  <c:v>96.4</c:v>
                </c:pt>
                <c:pt idx="110">
                  <c:v>93.97</c:v>
                </c:pt>
                <c:pt idx="111">
                  <c:v>93.61</c:v>
                </c:pt>
                <c:pt idx="112">
                  <c:v>95.39</c:v>
                </c:pt>
                <c:pt idx="113">
                  <c:v>95.78</c:v>
                </c:pt>
                <c:pt idx="114">
                  <c:v>95.82</c:v>
                </c:pt>
                <c:pt idx="115">
                  <c:v>96.44</c:v>
                </c:pt>
                <c:pt idx="116">
                  <c:v>97.86</c:v>
                </c:pt>
                <c:pt idx="117">
                  <c:v>92.92</c:v>
                </c:pt>
                <c:pt idx="118">
                  <c:v>95.5</c:v>
                </c:pt>
                <c:pt idx="119">
                  <c:v>94.51</c:v>
                </c:pt>
                <c:pt idx="120">
                  <c:v>93.32</c:v>
                </c:pt>
                <c:pt idx="121">
                  <c:v>92.64</c:v>
                </c:pt>
                <c:pt idx="122">
                  <c:v>92.73</c:v>
                </c:pt>
                <c:pt idx="123">
                  <c:v>91.71</c:v>
                </c:pt>
                <c:pt idx="124">
                  <c:v>92.89</c:v>
                </c:pt>
                <c:pt idx="125">
                  <c:v>92.18</c:v>
                </c:pt>
                <c:pt idx="126">
                  <c:v>92.86</c:v>
                </c:pt>
                <c:pt idx="127">
                  <c:v>94.91</c:v>
                </c:pt>
                <c:pt idx="128">
                  <c:v>94.33</c:v>
                </c:pt>
                <c:pt idx="129">
                  <c:v>93.07</c:v>
                </c:pt>
                <c:pt idx="130">
                  <c:v>92.43</c:v>
                </c:pt>
                <c:pt idx="131">
                  <c:v>91.46</c:v>
                </c:pt>
                <c:pt idx="132">
                  <c:v>91.55</c:v>
                </c:pt>
                <c:pt idx="133">
                  <c:v>93.6</c:v>
                </c:pt>
                <c:pt idx="134">
                  <c:v>93.59</c:v>
                </c:pt>
                <c:pt idx="135">
                  <c:v>95.55</c:v>
                </c:pt>
                <c:pt idx="136">
                  <c:v>94.53</c:v>
                </c:pt>
                <c:pt idx="137">
                  <c:v>91.17</c:v>
                </c:pt>
                <c:pt idx="138">
                  <c:v>90.74</c:v>
                </c:pt>
                <c:pt idx="139">
                  <c:v>91.02</c:v>
                </c:pt>
                <c:pt idx="140">
                  <c:v>89.76</c:v>
                </c:pt>
                <c:pt idx="141">
                  <c:v>90.33</c:v>
                </c:pt>
                <c:pt idx="142">
                  <c:v>88.89</c:v>
                </c:pt>
                <c:pt idx="143">
                  <c:v>87.29</c:v>
                </c:pt>
                <c:pt idx="144">
                  <c:v>85.76</c:v>
                </c:pt>
                <c:pt idx="145">
                  <c:v>85.87</c:v>
                </c:pt>
                <c:pt idx="146">
                  <c:v>85.73</c:v>
                </c:pt>
                <c:pt idx="147">
                  <c:v>81.72</c:v>
                </c:pt>
                <c:pt idx="148">
                  <c:v>81.819999999999993</c:v>
                </c:pt>
                <c:pt idx="149">
                  <c:v>82.33</c:v>
                </c:pt>
                <c:pt idx="150">
                  <c:v>82.8</c:v>
                </c:pt>
                <c:pt idx="151">
                  <c:v>82.76</c:v>
                </c:pt>
                <c:pt idx="152">
                  <c:v>83.25</c:v>
                </c:pt>
                <c:pt idx="153">
                  <c:v>80.52</c:v>
                </c:pt>
                <c:pt idx="154">
                  <c:v>82.81</c:v>
                </c:pt>
                <c:pt idx="155">
                  <c:v>81.27</c:v>
                </c:pt>
                <c:pt idx="156">
                  <c:v>81.260000000000005</c:v>
                </c:pt>
                <c:pt idx="157">
                  <c:v>81.36</c:v>
                </c:pt>
                <c:pt idx="158">
                  <c:v>82.25</c:v>
                </c:pt>
                <c:pt idx="159">
                  <c:v>81.06</c:v>
                </c:pt>
                <c:pt idx="160">
                  <c:v>80.53</c:v>
                </c:pt>
                <c:pt idx="161">
                  <c:v>78.77</c:v>
                </c:pt>
                <c:pt idx="162">
                  <c:v>77.150000000000006</c:v>
                </c:pt>
                <c:pt idx="163">
                  <c:v>78.709999999999994</c:v>
                </c:pt>
                <c:pt idx="164">
                  <c:v>77.87</c:v>
                </c:pt>
                <c:pt idx="165">
                  <c:v>78.709999999999994</c:v>
                </c:pt>
                <c:pt idx="166">
                  <c:v>77.430000000000007</c:v>
                </c:pt>
                <c:pt idx="167">
                  <c:v>77.849999999999994</c:v>
                </c:pt>
                <c:pt idx="168">
                  <c:v>77.16</c:v>
                </c:pt>
                <c:pt idx="169">
                  <c:v>74.13</c:v>
                </c:pt>
                <c:pt idx="170">
                  <c:v>75.91</c:v>
                </c:pt>
                <c:pt idx="171">
                  <c:v>75.64</c:v>
                </c:pt>
                <c:pt idx="172">
                  <c:v>74.55</c:v>
                </c:pt>
                <c:pt idx="173">
                  <c:v>74.55</c:v>
                </c:pt>
                <c:pt idx="174">
                  <c:v>75.63</c:v>
                </c:pt>
                <c:pt idx="175">
                  <c:v>76.52</c:v>
                </c:pt>
                <c:pt idx="176">
                  <c:v>75.739999999999995</c:v>
                </c:pt>
                <c:pt idx="177">
                  <c:v>74.040000000000006</c:v>
                </c:pt>
                <c:pt idx="178">
                  <c:v>73.7</c:v>
                </c:pt>
                <c:pt idx="179">
                  <c:v>65.94</c:v>
                </c:pt>
                <c:pt idx="180">
                  <c:v>68.98</c:v>
                </c:pt>
                <c:pt idx="181">
                  <c:v>66.989999999999995</c:v>
                </c:pt>
                <c:pt idx="182">
                  <c:v>67.3</c:v>
                </c:pt>
                <c:pt idx="183">
                  <c:v>66.73</c:v>
                </c:pt>
                <c:pt idx="184">
                  <c:v>65.89</c:v>
                </c:pt>
                <c:pt idx="185">
                  <c:v>63.13</c:v>
                </c:pt>
                <c:pt idx="186">
                  <c:v>63.74</c:v>
                </c:pt>
                <c:pt idx="187">
                  <c:v>60.99</c:v>
                </c:pt>
                <c:pt idx="188">
                  <c:v>60.01</c:v>
                </c:pt>
                <c:pt idx="189">
                  <c:v>57.81</c:v>
                </c:pt>
                <c:pt idx="190">
                  <c:v>55.96</c:v>
                </c:pt>
                <c:pt idx="191">
                  <c:v>55.97</c:v>
                </c:pt>
                <c:pt idx="192">
                  <c:v>56.43</c:v>
                </c:pt>
                <c:pt idx="193">
                  <c:v>54.18</c:v>
                </c:pt>
                <c:pt idx="194">
                  <c:v>56.91</c:v>
                </c:pt>
                <c:pt idx="195">
                  <c:v>55.25</c:v>
                </c:pt>
                <c:pt idx="196">
                  <c:v>56.78</c:v>
                </c:pt>
                <c:pt idx="197">
                  <c:v>55.7</c:v>
                </c:pt>
                <c:pt idx="198">
                  <c:v>54.59</c:v>
                </c:pt>
                <c:pt idx="199">
                  <c:v>53.46</c:v>
                </c:pt>
                <c:pt idx="200">
                  <c:v>54.14</c:v>
                </c:pt>
                <c:pt idx="201">
                  <c:v>53.45</c:v>
                </c:pt>
                <c:pt idx="202">
                  <c:v>53.45</c:v>
                </c:pt>
                <c:pt idx="203">
                  <c:v>52.72</c:v>
                </c:pt>
                <c:pt idx="204">
                  <c:v>50.05</c:v>
                </c:pt>
                <c:pt idx="205">
                  <c:v>47.98</c:v>
                </c:pt>
                <c:pt idx="206">
                  <c:v>48.69</c:v>
                </c:pt>
                <c:pt idx="207">
                  <c:v>48.8</c:v>
                </c:pt>
                <c:pt idx="208">
                  <c:v>48.35</c:v>
                </c:pt>
                <c:pt idx="209">
                  <c:v>46.06</c:v>
                </c:pt>
                <c:pt idx="210">
                  <c:v>45.92</c:v>
                </c:pt>
                <c:pt idx="211">
                  <c:v>48.49</c:v>
                </c:pt>
                <c:pt idx="212">
                  <c:v>46.37</c:v>
                </c:pt>
                <c:pt idx="213">
                  <c:v>48.49</c:v>
                </c:pt>
                <c:pt idx="214">
                  <c:v>46.79</c:v>
                </c:pt>
                <c:pt idx="215">
                  <c:v>47.85</c:v>
                </c:pt>
                <c:pt idx="216">
                  <c:v>45.93</c:v>
                </c:pt>
                <c:pt idx="217">
                  <c:v>45.26</c:v>
                </c:pt>
                <c:pt idx="218">
                  <c:v>44.8</c:v>
                </c:pt>
                <c:pt idx="219">
                  <c:v>45.84</c:v>
                </c:pt>
                <c:pt idx="220">
                  <c:v>44.08</c:v>
                </c:pt>
                <c:pt idx="221">
                  <c:v>44.12</c:v>
                </c:pt>
                <c:pt idx="222">
                  <c:v>47.79</c:v>
                </c:pt>
                <c:pt idx="223">
                  <c:v>49.25</c:v>
                </c:pt>
                <c:pt idx="224">
                  <c:v>53.04</c:v>
                </c:pt>
                <c:pt idx="225">
                  <c:v>48.45</c:v>
                </c:pt>
                <c:pt idx="226">
                  <c:v>50.48</c:v>
                </c:pt>
                <c:pt idx="227">
                  <c:v>51.66</c:v>
                </c:pt>
                <c:pt idx="228">
                  <c:v>52.99</c:v>
                </c:pt>
                <c:pt idx="229">
                  <c:v>50.06</c:v>
                </c:pt>
                <c:pt idx="230">
                  <c:v>48.8</c:v>
                </c:pt>
                <c:pt idx="231">
                  <c:v>51.17</c:v>
                </c:pt>
                <c:pt idx="232">
                  <c:v>52.66</c:v>
                </c:pt>
                <c:pt idx="233">
                  <c:v>53.56</c:v>
                </c:pt>
                <c:pt idx="234">
                  <c:v>52.13</c:v>
                </c:pt>
                <c:pt idx="235">
                  <c:v>51.12</c:v>
                </c:pt>
                <c:pt idx="236">
                  <c:v>49.95</c:v>
                </c:pt>
                <c:pt idx="237">
                  <c:v>49.56</c:v>
                </c:pt>
                <c:pt idx="238">
                  <c:v>48.48</c:v>
                </c:pt>
                <c:pt idx="239">
                  <c:v>50.25</c:v>
                </c:pt>
                <c:pt idx="240">
                  <c:v>47.65</c:v>
                </c:pt>
                <c:pt idx="241">
                  <c:v>49.84</c:v>
                </c:pt>
                <c:pt idx="242">
                  <c:v>49.59</c:v>
                </c:pt>
                <c:pt idx="243">
                  <c:v>50.43</c:v>
                </c:pt>
                <c:pt idx="244">
                  <c:v>51.53</c:v>
                </c:pt>
                <c:pt idx="245">
                  <c:v>50.76</c:v>
                </c:pt>
                <c:pt idx="246">
                  <c:v>49.61</c:v>
                </c:pt>
                <c:pt idx="247">
                  <c:v>49.95</c:v>
                </c:pt>
                <c:pt idx="248">
                  <c:v>48.42</c:v>
                </c:pt>
                <c:pt idx="249">
                  <c:v>48.06</c:v>
                </c:pt>
                <c:pt idx="250">
                  <c:v>47.12</c:v>
                </c:pt>
                <c:pt idx="251">
                  <c:v>44.88</c:v>
                </c:pt>
                <c:pt idx="252">
                  <c:v>43.93</c:v>
                </c:pt>
                <c:pt idx="253">
                  <c:v>43.39</c:v>
                </c:pt>
                <c:pt idx="254">
                  <c:v>44.63</c:v>
                </c:pt>
                <c:pt idx="255">
                  <c:v>44.02</c:v>
                </c:pt>
                <c:pt idx="256">
                  <c:v>46</c:v>
                </c:pt>
                <c:pt idx="257">
                  <c:v>47.4</c:v>
                </c:pt>
                <c:pt idx="258">
                  <c:v>47.03</c:v>
                </c:pt>
                <c:pt idx="259">
                  <c:v>48.75</c:v>
                </c:pt>
                <c:pt idx="260">
                  <c:v>51.41</c:v>
                </c:pt>
                <c:pt idx="261">
                  <c:v>48.83</c:v>
                </c:pt>
                <c:pt idx="262">
                  <c:v>48.66</c:v>
                </c:pt>
                <c:pt idx="263">
                  <c:v>47.72</c:v>
                </c:pt>
                <c:pt idx="264">
                  <c:v>50.12</c:v>
                </c:pt>
                <c:pt idx="265">
                  <c:v>49.13</c:v>
                </c:pt>
                <c:pt idx="266">
                  <c:v>49.13</c:v>
                </c:pt>
                <c:pt idx="267">
                  <c:v>52.08</c:v>
                </c:pt>
                <c:pt idx="268">
                  <c:v>53.95</c:v>
                </c:pt>
                <c:pt idx="269">
                  <c:v>50.44</c:v>
                </c:pt>
                <c:pt idx="270">
                  <c:v>50.79</c:v>
                </c:pt>
                <c:pt idx="271">
                  <c:v>51.63</c:v>
                </c:pt>
                <c:pt idx="272">
                  <c:v>51.95</c:v>
                </c:pt>
                <c:pt idx="273">
                  <c:v>53.3</c:v>
                </c:pt>
                <c:pt idx="274">
                  <c:v>56.25</c:v>
                </c:pt>
                <c:pt idx="275">
                  <c:v>56.69</c:v>
                </c:pt>
                <c:pt idx="276">
                  <c:v>55.71</c:v>
                </c:pt>
                <c:pt idx="277">
                  <c:v>56.37</c:v>
                </c:pt>
                <c:pt idx="278">
                  <c:v>55.58</c:v>
                </c:pt>
                <c:pt idx="279">
                  <c:v>56.17</c:v>
                </c:pt>
                <c:pt idx="280">
                  <c:v>56.59</c:v>
                </c:pt>
                <c:pt idx="281">
                  <c:v>55.98</c:v>
                </c:pt>
                <c:pt idx="282">
                  <c:v>55.56</c:v>
                </c:pt>
                <c:pt idx="283">
                  <c:v>57.05</c:v>
                </c:pt>
                <c:pt idx="284">
                  <c:v>58.55</c:v>
                </c:pt>
                <c:pt idx="285">
                  <c:v>59.62</c:v>
                </c:pt>
                <c:pt idx="286">
                  <c:v>59.1</c:v>
                </c:pt>
                <c:pt idx="287">
                  <c:v>58.92</c:v>
                </c:pt>
                <c:pt idx="288">
                  <c:v>60.38</c:v>
                </c:pt>
                <c:pt idx="289">
                  <c:v>60.93</c:v>
                </c:pt>
                <c:pt idx="290">
                  <c:v>58.99</c:v>
                </c:pt>
                <c:pt idx="291">
                  <c:v>59.41</c:v>
                </c:pt>
                <c:pt idx="292">
                  <c:v>59.23</c:v>
                </c:pt>
                <c:pt idx="293">
                  <c:v>60.72</c:v>
                </c:pt>
                <c:pt idx="294">
                  <c:v>60.5</c:v>
                </c:pt>
                <c:pt idx="295">
                  <c:v>59.89</c:v>
                </c:pt>
                <c:pt idx="296">
                  <c:v>59.73</c:v>
                </c:pt>
                <c:pt idx="297">
                  <c:v>59.44</c:v>
                </c:pt>
                <c:pt idx="298">
                  <c:v>57.3</c:v>
                </c:pt>
                <c:pt idx="299">
                  <c:v>58.96</c:v>
                </c:pt>
                <c:pt idx="300">
                  <c:v>60.18</c:v>
                </c:pt>
                <c:pt idx="301">
                  <c:v>58.88</c:v>
                </c:pt>
                <c:pt idx="302">
                  <c:v>58.88</c:v>
                </c:pt>
                <c:pt idx="303">
                  <c:v>57.29</c:v>
                </c:pt>
                <c:pt idx="304">
                  <c:v>57.51</c:v>
                </c:pt>
                <c:pt idx="305">
                  <c:v>57.69</c:v>
                </c:pt>
                <c:pt idx="306">
                  <c:v>60.25</c:v>
                </c:pt>
                <c:pt idx="307">
                  <c:v>60.24</c:v>
                </c:pt>
                <c:pt idx="308">
                  <c:v>61.3</c:v>
                </c:pt>
                <c:pt idx="309">
                  <c:v>59.67</c:v>
                </c:pt>
                <c:pt idx="310">
                  <c:v>58</c:v>
                </c:pt>
                <c:pt idx="311">
                  <c:v>59.11</c:v>
                </c:pt>
                <c:pt idx="312">
                  <c:v>58.15</c:v>
                </c:pt>
                <c:pt idx="313">
                  <c:v>60.15</c:v>
                </c:pt>
                <c:pt idx="314">
                  <c:v>61.36</c:v>
                </c:pt>
                <c:pt idx="315">
                  <c:v>60.74</c:v>
                </c:pt>
                <c:pt idx="316">
                  <c:v>59.96</c:v>
                </c:pt>
                <c:pt idx="317">
                  <c:v>59.53</c:v>
                </c:pt>
                <c:pt idx="318">
                  <c:v>60.01</c:v>
                </c:pt>
                <c:pt idx="319">
                  <c:v>59.89</c:v>
                </c:pt>
                <c:pt idx="320">
                  <c:v>60.41</c:v>
                </c:pt>
                <c:pt idx="321">
                  <c:v>59.62</c:v>
                </c:pt>
                <c:pt idx="322">
                  <c:v>60.01</c:v>
                </c:pt>
                <c:pt idx="323">
                  <c:v>61.05</c:v>
                </c:pt>
                <c:pt idx="324">
                  <c:v>60.01</c:v>
                </c:pt>
                <c:pt idx="325">
                  <c:v>59.59</c:v>
                </c:pt>
                <c:pt idx="326">
                  <c:v>59.41</c:v>
                </c:pt>
                <c:pt idx="327">
                  <c:v>58.34</c:v>
                </c:pt>
                <c:pt idx="328">
                  <c:v>59.48</c:v>
                </c:pt>
                <c:pt idx="329">
                  <c:v>56.94</c:v>
                </c:pt>
                <c:pt idx="330">
                  <c:v>56.93</c:v>
                </c:pt>
                <c:pt idx="331">
                  <c:v>56.93</c:v>
                </c:pt>
                <c:pt idx="332">
                  <c:v>52.48</c:v>
                </c:pt>
                <c:pt idx="333">
                  <c:v>52.33</c:v>
                </c:pt>
                <c:pt idx="334">
                  <c:v>51.61</c:v>
                </c:pt>
                <c:pt idx="335">
                  <c:v>52.76</c:v>
                </c:pt>
                <c:pt idx="336">
                  <c:v>52.74</c:v>
                </c:pt>
                <c:pt idx="337">
                  <c:v>52.19</c:v>
                </c:pt>
                <c:pt idx="338">
                  <c:v>53.05</c:v>
                </c:pt>
                <c:pt idx="339">
                  <c:v>51.4</c:v>
                </c:pt>
                <c:pt idx="340">
                  <c:v>50.9</c:v>
                </c:pt>
                <c:pt idx="341">
                  <c:v>50.88</c:v>
                </c:pt>
                <c:pt idx="342">
                  <c:v>50.11</c:v>
                </c:pt>
                <c:pt idx="343">
                  <c:v>50.59</c:v>
                </c:pt>
                <c:pt idx="344">
                  <c:v>49.27</c:v>
                </c:pt>
                <c:pt idx="345">
                  <c:v>48.11</c:v>
                </c:pt>
                <c:pt idx="346">
                  <c:v>47.98</c:v>
                </c:pt>
                <c:pt idx="347">
                  <c:v>47.17</c:v>
                </c:pt>
                <c:pt idx="348">
                  <c:v>47.97</c:v>
                </c:pt>
                <c:pt idx="349">
                  <c:v>48.77</c:v>
                </c:pt>
                <c:pt idx="350">
                  <c:v>48.53</c:v>
                </c:pt>
                <c:pt idx="351">
                  <c:v>47.11</c:v>
                </c:pt>
                <c:pt idx="352">
                  <c:v>45.25</c:v>
                </c:pt>
                <c:pt idx="353">
                  <c:v>45.75</c:v>
                </c:pt>
                <c:pt idx="354">
                  <c:v>45.13</c:v>
                </c:pt>
                <c:pt idx="355">
                  <c:v>44.69</c:v>
                </c:pt>
                <c:pt idx="356">
                  <c:v>43.87</c:v>
                </c:pt>
                <c:pt idx="357">
                  <c:v>44.94</c:v>
                </c:pt>
                <c:pt idx="358">
                  <c:v>43.11</c:v>
                </c:pt>
                <c:pt idx="359">
                  <c:v>43.22</c:v>
                </c:pt>
                <c:pt idx="360">
                  <c:v>42.27</c:v>
                </c:pt>
                <c:pt idx="361">
                  <c:v>42.45</c:v>
                </c:pt>
                <c:pt idx="362">
                  <c:v>41.93</c:v>
                </c:pt>
                <c:pt idx="363">
                  <c:v>42.58</c:v>
                </c:pt>
                <c:pt idx="364">
                  <c:v>40.75</c:v>
                </c:pt>
                <c:pt idx="365">
                  <c:v>41</c:v>
                </c:pt>
                <c:pt idx="366">
                  <c:v>40.450000000000003</c:v>
                </c:pt>
                <c:pt idx="367">
                  <c:v>38.22</c:v>
                </c:pt>
                <c:pt idx="368">
                  <c:v>39.15</c:v>
                </c:pt>
                <c:pt idx="369">
                  <c:v>38.5</c:v>
                </c:pt>
                <c:pt idx="370">
                  <c:v>42.47</c:v>
                </c:pt>
                <c:pt idx="371">
                  <c:v>45.29</c:v>
                </c:pt>
                <c:pt idx="372">
                  <c:v>49.2</c:v>
                </c:pt>
                <c:pt idx="373">
                  <c:v>45.38</c:v>
                </c:pt>
                <c:pt idx="374">
                  <c:v>46.3</c:v>
                </c:pt>
                <c:pt idx="375">
                  <c:v>46.75</c:v>
                </c:pt>
                <c:pt idx="376">
                  <c:v>46.02</c:v>
                </c:pt>
                <c:pt idx="377">
                  <c:v>46.02</c:v>
                </c:pt>
                <c:pt idx="378">
                  <c:v>45.92</c:v>
                </c:pt>
                <c:pt idx="379">
                  <c:v>44.13</c:v>
                </c:pt>
                <c:pt idx="380">
                  <c:v>45.85</c:v>
                </c:pt>
                <c:pt idx="381">
                  <c:v>44.75</c:v>
                </c:pt>
                <c:pt idx="382">
                  <c:v>44.07</c:v>
                </c:pt>
                <c:pt idx="383">
                  <c:v>44.58</c:v>
                </c:pt>
                <c:pt idx="384">
                  <c:v>47.12</c:v>
                </c:pt>
                <c:pt idx="385">
                  <c:v>46.93</c:v>
                </c:pt>
                <c:pt idx="386">
                  <c:v>44.71</c:v>
                </c:pt>
                <c:pt idx="387">
                  <c:v>46.67</c:v>
                </c:pt>
                <c:pt idx="388">
                  <c:v>46.17</c:v>
                </c:pt>
                <c:pt idx="389">
                  <c:v>44.53</c:v>
                </c:pt>
                <c:pt idx="390">
                  <c:v>44.94</c:v>
                </c:pt>
                <c:pt idx="391">
                  <c:v>45.55</c:v>
                </c:pt>
                <c:pt idx="392">
                  <c:v>44.4</c:v>
                </c:pt>
                <c:pt idx="393">
                  <c:v>45.24</c:v>
                </c:pt>
                <c:pt idx="394">
                  <c:v>45.06</c:v>
                </c:pt>
                <c:pt idx="395">
                  <c:v>44.75</c:v>
                </c:pt>
                <c:pt idx="396">
                  <c:v>45.54</c:v>
                </c:pt>
                <c:pt idx="397">
                  <c:v>46.28</c:v>
                </c:pt>
                <c:pt idx="398">
                  <c:v>48.53</c:v>
                </c:pt>
                <c:pt idx="399">
                  <c:v>47.86</c:v>
                </c:pt>
                <c:pt idx="400">
                  <c:v>49.46</c:v>
                </c:pt>
                <c:pt idx="401">
                  <c:v>49.67</c:v>
                </c:pt>
                <c:pt idx="402">
                  <c:v>47.09</c:v>
                </c:pt>
                <c:pt idx="403">
                  <c:v>46.7</c:v>
                </c:pt>
                <c:pt idx="404">
                  <c:v>46.63</c:v>
                </c:pt>
                <c:pt idx="405">
                  <c:v>46.38</c:v>
                </c:pt>
                <c:pt idx="406">
                  <c:v>47.3</c:v>
                </c:pt>
                <c:pt idx="407">
                  <c:v>45.91</c:v>
                </c:pt>
                <c:pt idx="408">
                  <c:v>45.84</c:v>
                </c:pt>
                <c:pt idx="409">
                  <c:v>45.22</c:v>
                </c:pt>
                <c:pt idx="410">
                  <c:v>44.9</c:v>
                </c:pt>
                <c:pt idx="411">
                  <c:v>43.91</c:v>
                </c:pt>
                <c:pt idx="412">
                  <c:v>43.19</c:v>
                </c:pt>
                <c:pt idx="413">
                  <c:v>43.21</c:v>
                </c:pt>
                <c:pt idx="414">
                  <c:v>45.93</c:v>
                </c:pt>
                <c:pt idx="415">
                  <c:v>46.02</c:v>
                </c:pt>
                <c:pt idx="416">
                  <c:v>46.6</c:v>
                </c:pt>
                <c:pt idx="417">
                  <c:v>46.12</c:v>
                </c:pt>
                <c:pt idx="418">
                  <c:v>47.88</c:v>
                </c:pt>
                <c:pt idx="419">
                  <c:v>46.32</c:v>
                </c:pt>
                <c:pt idx="420">
                  <c:v>45.27</c:v>
                </c:pt>
                <c:pt idx="421">
                  <c:v>44.32</c:v>
                </c:pt>
                <c:pt idx="422">
                  <c:v>43.87</c:v>
                </c:pt>
                <c:pt idx="423">
                  <c:v>44.23</c:v>
                </c:pt>
                <c:pt idx="424">
                  <c:v>42.95</c:v>
                </c:pt>
                <c:pt idx="425">
                  <c:v>41.74</c:v>
                </c:pt>
                <c:pt idx="426">
                  <c:v>40.69</c:v>
                </c:pt>
                <c:pt idx="427">
                  <c:v>41.68</c:v>
                </c:pt>
                <c:pt idx="428">
                  <c:v>40.729999999999997</c:v>
                </c:pt>
                <c:pt idx="429">
                  <c:v>40.75</c:v>
                </c:pt>
                <c:pt idx="430">
                  <c:v>40.549999999999997</c:v>
                </c:pt>
                <c:pt idx="431">
                  <c:v>39.39</c:v>
                </c:pt>
                <c:pt idx="432">
                  <c:v>39.270000000000003</c:v>
                </c:pt>
                <c:pt idx="433">
                  <c:v>40.89</c:v>
                </c:pt>
                <c:pt idx="434">
                  <c:v>41.22</c:v>
                </c:pt>
                <c:pt idx="435">
                  <c:v>41.22</c:v>
                </c:pt>
                <c:pt idx="436">
                  <c:v>40.57</c:v>
                </c:pt>
                <c:pt idx="437">
                  <c:v>40.43</c:v>
                </c:pt>
                <c:pt idx="438">
                  <c:v>40.58</c:v>
                </c:pt>
                <c:pt idx="439">
                  <c:v>39.93</c:v>
                </c:pt>
                <c:pt idx="440">
                  <c:v>41.08</c:v>
                </c:pt>
                <c:pt idx="441">
                  <c:v>40</c:v>
                </c:pt>
                <c:pt idx="442">
                  <c:v>37.64</c:v>
                </c:pt>
                <c:pt idx="443">
                  <c:v>37.46</c:v>
                </c:pt>
                <c:pt idx="444">
                  <c:v>37.159999999999997</c:v>
                </c:pt>
                <c:pt idx="445">
                  <c:v>36.76</c:v>
                </c:pt>
                <c:pt idx="446">
                  <c:v>35.65</c:v>
                </c:pt>
                <c:pt idx="447">
                  <c:v>36.31</c:v>
                </c:pt>
                <c:pt idx="448">
                  <c:v>37.32</c:v>
                </c:pt>
                <c:pt idx="449">
                  <c:v>35.549999999999997</c:v>
                </c:pt>
                <c:pt idx="450">
                  <c:v>34.979999999999997</c:v>
                </c:pt>
                <c:pt idx="451">
                  <c:v>34.72</c:v>
                </c:pt>
                <c:pt idx="452">
                  <c:v>34.549999999999997</c:v>
                </c:pt>
                <c:pt idx="453">
                  <c:v>36.119999999999997</c:v>
                </c:pt>
                <c:pt idx="454">
                  <c:v>36.76</c:v>
                </c:pt>
                <c:pt idx="455">
                  <c:v>37.619999999999997</c:v>
                </c:pt>
                <c:pt idx="456">
                  <c:v>37.6</c:v>
                </c:pt>
                <c:pt idx="457">
                  <c:v>36.36</c:v>
                </c:pt>
                <c:pt idx="458">
                  <c:v>37.880000000000003</c:v>
                </c:pt>
                <c:pt idx="459">
                  <c:v>36.590000000000003</c:v>
                </c:pt>
                <c:pt idx="460">
                  <c:v>37.130000000000003</c:v>
                </c:pt>
                <c:pt idx="461">
                  <c:v>37.130000000000003</c:v>
                </c:pt>
                <c:pt idx="462">
                  <c:v>36.81</c:v>
                </c:pt>
                <c:pt idx="463">
                  <c:v>35.97</c:v>
                </c:pt>
                <c:pt idx="464">
                  <c:v>33.97</c:v>
                </c:pt>
                <c:pt idx="465">
                  <c:v>33.29</c:v>
                </c:pt>
                <c:pt idx="466">
                  <c:v>33.200000000000003</c:v>
                </c:pt>
                <c:pt idx="467">
                  <c:v>31.42</c:v>
                </c:pt>
                <c:pt idx="468">
                  <c:v>30.42</c:v>
                </c:pt>
                <c:pt idx="469">
                  <c:v>30.42</c:v>
                </c:pt>
                <c:pt idx="470">
                  <c:v>31.22</c:v>
                </c:pt>
                <c:pt idx="471">
                  <c:v>29.45</c:v>
                </c:pt>
                <c:pt idx="472">
                  <c:v>28.47</c:v>
                </c:pt>
                <c:pt idx="473">
                  <c:v>26.68</c:v>
                </c:pt>
                <c:pt idx="474">
                  <c:v>29.55</c:v>
                </c:pt>
                <c:pt idx="475">
                  <c:v>32.07</c:v>
                </c:pt>
                <c:pt idx="476">
                  <c:v>30.31</c:v>
                </c:pt>
                <c:pt idx="477">
                  <c:v>29.54</c:v>
                </c:pt>
                <c:pt idx="478">
                  <c:v>32.32</c:v>
                </c:pt>
                <c:pt idx="479">
                  <c:v>33.21</c:v>
                </c:pt>
                <c:pt idx="480">
                  <c:v>33.659999999999997</c:v>
                </c:pt>
                <c:pt idx="481">
                  <c:v>31.62</c:v>
                </c:pt>
                <c:pt idx="482">
                  <c:v>29.9</c:v>
                </c:pt>
                <c:pt idx="483">
                  <c:v>32.29</c:v>
                </c:pt>
                <c:pt idx="484">
                  <c:v>31.63</c:v>
                </c:pt>
                <c:pt idx="485">
                  <c:v>30.86</c:v>
                </c:pt>
                <c:pt idx="486">
                  <c:v>29.71</c:v>
                </c:pt>
                <c:pt idx="487">
                  <c:v>27.96</c:v>
                </c:pt>
                <c:pt idx="488">
                  <c:v>27.54</c:v>
                </c:pt>
                <c:pt idx="489">
                  <c:v>26.19</c:v>
                </c:pt>
                <c:pt idx="490">
                  <c:v>29.32</c:v>
                </c:pt>
                <c:pt idx="491">
                  <c:v>29.05</c:v>
                </c:pt>
                <c:pt idx="492">
                  <c:v>30.68</c:v>
                </c:pt>
                <c:pt idx="493">
                  <c:v>30.77</c:v>
                </c:pt>
                <c:pt idx="494">
                  <c:v>29.59</c:v>
                </c:pt>
                <c:pt idx="495">
                  <c:v>31.37</c:v>
                </c:pt>
                <c:pt idx="496">
                  <c:v>31.84</c:v>
                </c:pt>
                <c:pt idx="497">
                  <c:v>30.35</c:v>
                </c:pt>
                <c:pt idx="498">
                  <c:v>31.4</c:v>
                </c:pt>
                <c:pt idx="499">
                  <c:v>31.65</c:v>
                </c:pt>
                <c:pt idx="500">
                  <c:v>32.74</c:v>
                </c:pt>
                <c:pt idx="501">
                  <c:v>34.39</c:v>
                </c:pt>
                <c:pt idx="502">
                  <c:v>34.57</c:v>
                </c:pt>
                <c:pt idx="503">
                  <c:v>34.56</c:v>
                </c:pt>
                <c:pt idx="504">
                  <c:v>35.909999999999997</c:v>
                </c:pt>
                <c:pt idx="505">
                  <c:v>37.9</c:v>
                </c:pt>
                <c:pt idx="506">
                  <c:v>36.67</c:v>
                </c:pt>
                <c:pt idx="507">
                  <c:v>37.619999999999997</c:v>
                </c:pt>
                <c:pt idx="508">
                  <c:v>37.770000000000003</c:v>
                </c:pt>
                <c:pt idx="509">
                  <c:v>38.51</c:v>
                </c:pt>
                <c:pt idx="510">
                  <c:v>37.200000000000003</c:v>
                </c:pt>
                <c:pt idx="511">
                  <c:v>36.32</c:v>
                </c:pt>
                <c:pt idx="512">
                  <c:v>38.43</c:v>
                </c:pt>
                <c:pt idx="513">
                  <c:v>40.17</c:v>
                </c:pt>
                <c:pt idx="514">
                  <c:v>39.47</c:v>
                </c:pt>
                <c:pt idx="515">
                  <c:v>39.909999999999997</c:v>
                </c:pt>
                <c:pt idx="516">
                  <c:v>41.45</c:v>
                </c:pt>
                <c:pt idx="517">
                  <c:v>38.28</c:v>
                </c:pt>
                <c:pt idx="518">
                  <c:v>38.14</c:v>
                </c:pt>
                <c:pt idx="519">
                  <c:v>37.99</c:v>
                </c:pt>
                <c:pt idx="520">
                  <c:v>36.909999999999997</c:v>
                </c:pt>
                <c:pt idx="521">
                  <c:v>36.909999999999997</c:v>
                </c:pt>
                <c:pt idx="522">
                  <c:v>36.94</c:v>
                </c:pt>
                <c:pt idx="523">
                  <c:v>35.36</c:v>
                </c:pt>
                <c:pt idx="524">
                  <c:v>34.299999999999997</c:v>
                </c:pt>
                <c:pt idx="525">
                  <c:v>34.520000000000003</c:v>
                </c:pt>
                <c:pt idx="526">
                  <c:v>37.74</c:v>
                </c:pt>
                <c:pt idx="527">
                  <c:v>37.299999999999997</c:v>
                </c:pt>
                <c:pt idx="528">
                  <c:v>39.74</c:v>
                </c:pt>
                <c:pt idx="529">
                  <c:v>40.46</c:v>
                </c:pt>
                <c:pt idx="530">
                  <c:v>42.12</c:v>
                </c:pt>
                <c:pt idx="531">
                  <c:v>41.7</c:v>
                </c:pt>
                <c:pt idx="532">
                  <c:v>41.45</c:v>
                </c:pt>
                <c:pt idx="533">
                  <c:v>40.4</c:v>
                </c:pt>
                <c:pt idx="534">
                  <c:v>39.74</c:v>
                </c:pt>
                <c:pt idx="535">
                  <c:v>40.880000000000003</c:v>
                </c:pt>
                <c:pt idx="536">
                  <c:v>42.72</c:v>
                </c:pt>
                <c:pt idx="537">
                  <c:v>43.18</c:v>
                </c:pt>
                <c:pt idx="538">
                  <c:v>42.76</c:v>
                </c:pt>
                <c:pt idx="539">
                  <c:v>41.67</c:v>
                </c:pt>
                <c:pt idx="540">
                  <c:v>42.52</c:v>
                </c:pt>
                <c:pt idx="541">
                  <c:v>45.29</c:v>
                </c:pt>
                <c:pt idx="542">
                  <c:v>46.03</c:v>
                </c:pt>
                <c:pt idx="543">
                  <c:v>45.98</c:v>
                </c:pt>
                <c:pt idx="544">
                  <c:v>44.75</c:v>
                </c:pt>
                <c:pt idx="545">
                  <c:v>43.65</c:v>
                </c:pt>
                <c:pt idx="546">
                  <c:v>43.77</c:v>
                </c:pt>
                <c:pt idx="547">
                  <c:v>44.33</c:v>
                </c:pt>
                <c:pt idx="548">
                  <c:v>44.58</c:v>
                </c:pt>
                <c:pt idx="549">
                  <c:v>43.45</c:v>
                </c:pt>
                <c:pt idx="550">
                  <c:v>44.68</c:v>
                </c:pt>
                <c:pt idx="551">
                  <c:v>46.21</c:v>
                </c:pt>
                <c:pt idx="552">
                  <c:v>46.64</c:v>
                </c:pt>
                <c:pt idx="553">
                  <c:v>46.22</c:v>
                </c:pt>
                <c:pt idx="554">
                  <c:v>47.72</c:v>
                </c:pt>
                <c:pt idx="555">
                  <c:v>48.29</c:v>
                </c:pt>
                <c:pt idx="556">
                  <c:v>48.12</c:v>
                </c:pt>
                <c:pt idx="557">
                  <c:v>48.16</c:v>
                </c:pt>
                <c:pt idx="558">
                  <c:v>47.67</c:v>
                </c:pt>
                <c:pt idx="559">
                  <c:v>48.12</c:v>
                </c:pt>
                <c:pt idx="560">
                  <c:v>48.04</c:v>
                </c:pt>
                <c:pt idx="561">
                  <c:v>49.1</c:v>
                </c:pt>
                <c:pt idx="562">
                  <c:v>49</c:v>
                </c:pt>
                <c:pt idx="563">
                  <c:v>49.36</c:v>
                </c:pt>
                <c:pt idx="564">
                  <c:v>49.1</c:v>
                </c:pt>
                <c:pt idx="565">
                  <c:v>49.07</c:v>
                </c:pt>
                <c:pt idx="566">
                  <c:v>49.14</c:v>
                </c:pt>
                <c:pt idx="567">
                  <c:v>48.69</c:v>
                </c:pt>
                <c:pt idx="568">
                  <c:v>49.71</c:v>
                </c:pt>
                <c:pt idx="569">
                  <c:v>50.37</c:v>
                </c:pt>
                <c:pt idx="570">
                  <c:v>51.23</c:v>
                </c:pt>
                <c:pt idx="571">
                  <c:v>50.52</c:v>
                </c:pt>
                <c:pt idx="572">
                  <c:v>49.09</c:v>
                </c:pt>
                <c:pt idx="573">
                  <c:v>48.89</c:v>
                </c:pt>
                <c:pt idx="574">
                  <c:v>48.49</c:v>
                </c:pt>
                <c:pt idx="575">
                  <c:v>47.92</c:v>
                </c:pt>
                <c:pt idx="576">
                  <c:v>46.14</c:v>
                </c:pt>
                <c:pt idx="577">
                  <c:v>48</c:v>
                </c:pt>
                <c:pt idx="578">
                  <c:v>49.4</c:v>
                </c:pt>
                <c:pt idx="579">
                  <c:v>48.95</c:v>
                </c:pt>
                <c:pt idx="580">
                  <c:v>49.16</c:v>
                </c:pt>
                <c:pt idx="581">
                  <c:v>49.34</c:v>
                </c:pt>
                <c:pt idx="582">
                  <c:v>46.7</c:v>
                </c:pt>
                <c:pt idx="583">
                  <c:v>45.8</c:v>
                </c:pt>
                <c:pt idx="584">
                  <c:v>47.93</c:v>
                </c:pt>
                <c:pt idx="585">
                  <c:v>49.85</c:v>
                </c:pt>
                <c:pt idx="586">
                  <c:v>48.27</c:v>
                </c:pt>
                <c:pt idx="587">
                  <c:v>49.02</c:v>
                </c:pt>
                <c:pt idx="588">
                  <c:v>46.73</c:v>
                </c:pt>
                <c:pt idx="589">
                  <c:v>47.37</c:v>
                </c:pt>
                <c:pt idx="590">
                  <c:v>45.22</c:v>
                </c:pt>
                <c:pt idx="591">
                  <c:v>45.37</c:v>
                </c:pt>
                <c:pt idx="592">
                  <c:v>44.73</c:v>
                </c:pt>
                <c:pt idx="593">
                  <c:v>46.82</c:v>
                </c:pt>
                <c:pt idx="594">
                  <c:v>44.87</c:v>
                </c:pt>
                <c:pt idx="595">
                  <c:v>45.64</c:v>
                </c:pt>
                <c:pt idx="596">
                  <c:v>45.93</c:v>
                </c:pt>
                <c:pt idx="597">
                  <c:v>45.23</c:v>
                </c:pt>
                <c:pt idx="598">
                  <c:v>44.64</c:v>
                </c:pt>
                <c:pt idx="599">
                  <c:v>44.96</c:v>
                </c:pt>
                <c:pt idx="600">
                  <c:v>43.96</c:v>
                </c:pt>
                <c:pt idx="601">
                  <c:v>43.41</c:v>
                </c:pt>
                <c:pt idx="602">
                  <c:v>42.4</c:v>
                </c:pt>
                <c:pt idx="603">
                  <c:v>42.16</c:v>
                </c:pt>
                <c:pt idx="604">
                  <c:v>41.9</c:v>
                </c:pt>
                <c:pt idx="605">
                  <c:v>41.13</c:v>
                </c:pt>
                <c:pt idx="606">
                  <c:v>41.54</c:v>
                </c:pt>
                <c:pt idx="607">
                  <c:v>40.049999999999997</c:v>
                </c:pt>
                <c:pt idx="608">
                  <c:v>39.5</c:v>
                </c:pt>
                <c:pt idx="609">
                  <c:v>40.799999999999997</c:v>
                </c:pt>
                <c:pt idx="610">
                  <c:v>41.92</c:v>
                </c:pt>
                <c:pt idx="611">
                  <c:v>41.83</c:v>
                </c:pt>
                <c:pt idx="612">
                  <c:v>43.06</c:v>
                </c:pt>
                <c:pt idx="613">
                  <c:v>42.78</c:v>
                </c:pt>
                <c:pt idx="614">
                  <c:v>41.75</c:v>
                </c:pt>
                <c:pt idx="615">
                  <c:v>43.51</c:v>
                </c:pt>
                <c:pt idx="616">
                  <c:v>44.47</c:v>
                </c:pt>
                <c:pt idx="617">
                  <c:v>45.72</c:v>
                </c:pt>
                <c:pt idx="618">
                  <c:v>46.57</c:v>
                </c:pt>
                <c:pt idx="619">
                  <c:v>46.81</c:v>
                </c:pt>
                <c:pt idx="620">
                  <c:v>48.2</c:v>
                </c:pt>
                <c:pt idx="621">
                  <c:v>48.48</c:v>
                </c:pt>
                <c:pt idx="622">
                  <c:v>46.8</c:v>
                </c:pt>
                <c:pt idx="623">
                  <c:v>47.54</c:v>
                </c:pt>
                <c:pt idx="624">
                  <c:v>46.29</c:v>
                </c:pt>
                <c:pt idx="625">
                  <c:v>46.97</c:v>
                </c:pt>
                <c:pt idx="626">
                  <c:v>47.64</c:v>
                </c:pt>
                <c:pt idx="627">
                  <c:v>46.97</c:v>
                </c:pt>
                <c:pt idx="628">
                  <c:v>46.32</c:v>
                </c:pt>
                <c:pt idx="629">
                  <c:v>44.68</c:v>
                </c:pt>
                <c:pt idx="630">
                  <c:v>43.17</c:v>
                </c:pt>
                <c:pt idx="631">
                  <c:v>44.39</c:v>
                </c:pt>
                <c:pt idx="632">
                  <c:v>44.39</c:v>
                </c:pt>
                <c:pt idx="633">
                  <c:v>44.85</c:v>
                </c:pt>
                <c:pt idx="634">
                  <c:v>45.47</c:v>
                </c:pt>
                <c:pt idx="635">
                  <c:v>47.63</c:v>
                </c:pt>
                <c:pt idx="636">
                  <c:v>45.88</c:v>
                </c:pt>
                <c:pt idx="637">
                  <c:v>46.28</c:v>
                </c:pt>
                <c:pt idx="638">
                  <c:v>44.91</c:v>
                </c:pt>
                <c:pt idx="639">
                  <c:v>43.62</c:v>
                </c:pt>
                <c:pt idx="640">
                  <c:v>43.85</c:v>
                </c:pt>
                <c:pt idx="641">
                  <c:v>43.04</c:v>
                </c:pt>
                <c:pt idx="642">
                  <c:v>43.34</c:v>
                </c:pt>
                <c:pt idx="643">
                  <c:v>43.85</c:v>
                </c:pt>
                <c:pt idx="644">
                  <c:v>45.33</c:v>
                </c:pt>
                <c:pt idx="645">
                  <c:v>46.1</c:v>
                </c:pt>
                <c:pt idx="646">
                  <c:v>44.36</c:v>
                </c:pt>
                <c:pt idx="647">
                  <c:v>45.6</c:v>
                </c:pt>
                <c:pt idx="648">
                  <c:v>44.65</c:v>
                </c:pt>
                <c:pt idx="649">
                  <c:v>47.07</c:v>
                </c:pt>
                <c:pt idx="650">
                  <c:v>47.72</c:v>
                </c:pt>
                <c:pt idx="651">
                  <c:v>47.72</c:v>
                </c:pt>
                <c:pt idx="652">
                  <c:v>48.8</c:v>
                </c:pt>
                <c:pt idx="653">
                  <c:v>48.67</c:v>
                </c:pt>
                <c:pt idx="654">
                  <c:v>49.75</c:v>
                </c:pt>
                <c:pt idx="655">
                  <c:v>50.44</c:v>
                </c:pt>
                <c:pt idx="656">
                  <c:v>49.76</c:v>
                </c:pt>
                <c:pt idx="657">
                  <c:v>49.76</c:v>
                </c:pt>
                <c:pt idx="658">
                  <c:v>50.72</c:v>
                </c:pt>
                <c:pt idx="659">
                  <c:v>50.14</c:v>
                </c:pt>
                <c:pt idx="660">
                  <c:v>50.47</c:v>
                </c:pt>
                <c:pt idx="661">
                  <c:v>50.35</c:v>
                </c:pt>
                <c:pt idx="662">
                  <c:v>49.97</c:v>
                </c:pt>
                <c:pt idx="663">
                  <c:v>50.3</c:v>
                </c:pt>
                <c:pt idx="664">
                  <c:v>51.59</c:v>
                </c:pt>
                <c:pt idx="665">
                  <c:v>50.31</c:v>
                </c:pt>
                <c:pt idx="666">
                  <c:v>50.61</c:v>
                </c:pt>
                <c:pt idx="667">
                  <c:v>50.18</c:v>
                </c:pt>
                <c:pt idx="668">
                  <c:v>49.45</c:v>
                </c:pt>
                <c:pt idx="669">
                  <c:v>48.75</c:v>
                </c:pt>
                <c:pt idx="670">
                  <c:v>49.71</c:v>
                </c:pt>
                <c:pt idx="671">
                  <c:v>48.72</c:v>
                </c:pt>
                <c:pt idx="672">
                  <c:v>46.83</c:v>
                </c:pt>
                <c:pt idx="673">
                  <c:v>46.66</c:v>
                </c:pt>
                <c:pt idx="674">
                  <c:v>45.32</c:v>
                </c:pt>
                <c:pt idx="675">
                  <c:v>44.66</c:v>
                </c:pt>
                <c:pt idx="676">
                  <c:v>44.07</c:v>
                </c:pt>
                <c:pt idx="677">
                  <c:v>44.88</c:v>
                </c:pt>
                <c:pt idx="678">
                  <c:v>44.96</c:v>
                </c:pt>
                <c:pt idx="679">
                  <c:v>45.2</c:v>
                </c:pt>
                <c:pt idx="680">
                  <c:v>44.62</c:v>
                </c:pt>
                <c:pt idx="681">
                  <c:v>43.39</c:v>
                </c:pt>
                <c:pt idx="682">
                  <c:v>43.29</c:v>
                </c:pt>
                <c:pt idx="683">
                  <c:v>45.86</c:v>
                </c:pt>
                <c:pt idx="684">
                  <c:v>45.56</c:v>
                </c:pt>
                <c:pt idx="685">
                  <c:v>45.37</c:v>
                </c:pt>
                <c:pt idx="686">
                  <c:v>45.69</c:v>
                </c:pt>
                <c:pt idx="687">
                  <c:v>47.48</c:v>
                </c:pt>
                <c:pt idx="688">
                  <c:v>48.07</c:v>
                </c:pt>
                <c:pt idx="689">
                  <c:v>46.72</c:v>
                </c:pt>
                <c:pt idx="690">
                  <c:v>46.72</c:v>
                </c:pt>
                <c:pt idx="691">
                  <c:v>46.72</c:v>
                </c:pt>
                <c:pt idx="692">
                  <c:v>45.66</c:v>
                </c:pt>
                <c:pt idx="693">
                  <c:v>45.29</c:v>
                </c:pt>
                <c:pt idx="694">
                  <c:v>49.41</c:v>
                </c:pt>
                <c:pt idx="695">
                  <c:v>51.08</c:v>
                </c:pt>
                <c:pt idx="696">
                  <c:v>51.7</c:v>
                </c:pt>
                <c:pt idx="697">
                  <c:v>51.72</c:v>
                </c:pt>
                <c:pt idx="698">
                  <c:v>50.95</c:v>
                </c:pt>
                <c:pt idx="699">
                  <c:v>49.85</c:v>
                </c:pt>
                <c:pt idx="700">
                  <c:v>50.84</c:v>
                </c:pt>
                <c:pt idx="701">
                  <c:v>51.51</c:v>
                </c:pt>
                <c:pt idx="702">
                  <c:v>52.74</c:v>
                </c:pt>
                <c:pt idx="703">
                  <c:v>52.99</c:v>
                </c:pt>
                <c:pt idx="704">
                  <c:v>51.01</c:v>
                </c:pt>
                <c:pt idx="705">
                  <c:v>50.9</c:v>
                </c:pt>
                <c:pt idx="706">
                  <c:v>51.93</c:v>
                </c:pt>
                <c:pt idx="707">
                  <c:v>52.13</c:v>
                </c:pt>
                <c:pt idx="708">
                  <c:v>52.22</c:v>
                </c:pt>
                <c:pt idx="709">
                  <c:v>51.44</c:v>
                </c:pt>
                <c:pt idx="710">
                  <c:v>51.98</c:v>
                </c:pt>
                <c:pt idx="711">
                  <c:v>52.01</c:v>
                </c:pt>
                <c:pt idx="712">
                  <c:v>52.82</c:v>
                </c:pt>
                <c:pt idx="713">
                  <c:v>54.01</c:v>
                </c:pt>
                <c:pt idx="714">
                  <c:v>53.8</c:v>
                </c:pt>
                <c:pt idx="715">
                  <c:v>53.75</c:v>
                </c:pt>
                <c:pt idx="716">
                  <c:v>52.36</c:v>
                </c:pt>
                <c:pt idx="717">
                  <c:v>53.26</c:v>
                </c:pt>
                <c:pt idx="718">
                  <c:v>53.77</c:v>
                </c:pt>
                <c:pt idx="719">
                  <c:v>53.98</c:v>
                </c:pt>
                <c:pt idx="720">
                  <c:v>51.95</c:v>
                </c:pt>
                <c:pt idx="721">
                  <c:v>50.82</c:v>
                </c:pt>
                <c:pt idx="722">
                  <c:v>52.19</c:v>
                </c:pt>
                <c:pt idx="723">
                  <c:v>53.01</c:v>
                </c:pt>
                <c:pt idx="724">
                  <c:v>52.36</c:v>
                </c:pt>
                <c:pt idx="725">
                  <c:v>52.45</c:v>
                </c:pt>
                <c:pt idx="726">
                  <c:v>51.12</c:v>
                </c:pt>
                <c:pt idx="727">
                  <c:v>51.39</c:v>
                </c:pt>
                <c:pt idx="728">
                  <c:v>52.33</c:v>
                </c:pt>
                <c:pt idx="729">
                  <c:v>52.77</c:v>
                </c:pt>
                <c:pt idx="730">
                  <c:v>52.38</c:v>
                </c:pt>
                <c:pt idx="731">
                  <c:v>52.14</c:v>
                </c:pt>
                <c:pt idx="732">
                  <c:v>53.24</c:v>
                </c:pt>
                <c:pt idx="733">
                  <c:v>53.18</c:v>
                </c:pt>
                <c:pt idx="734">
                  <c:v>52.63</c:v>
                </c:pt>
                <c:pt idx="735">
                  <c:v>52.75</c:v>
                </c:pt>
                <c:pt idx="736">
                  <c:v>53.9</c:v>
                </c:pt>
                <c:pt idx="737">
                  <c:v>53.55</c:v>
                </c:pt>
                <c:pt idx="738">
                  <c:v>53.81</c:v>
                </c:pt>
                <c:pt idx="739">
                  <c:v>53.01</c:v>
                </c:pt>
                <c:pt idx="740">
                  <c:v>52.19</c:v>
                </c:pt>
                <c:pt idx="741">
                  <c:v>52.37</c:v>
                </c:pt>
                <c:pt idx="742">
                  <c:v>52.99</c:v>
                </c:pt>
                <c:pt idx="743">
                  <c:v>53.84</c:v>
                </c:pt>
                <c:pt idx="744">
                  <c:v>52.96</c:v>
                </c:pt>
                <c:pt idx="745">
                  <c:v>53.21</c:v>
                </c:pt>
                <c:pt idx="746">
                  <c:v>53.11</c:v>
                </c:pt>
                <c:pt idx="747">
                  <c:v>53.41</c:v>
                </c:pt>
                <c:pt idx="748">
                  <c:v>53.41</c:v>
                </c:pt>
                <c:pt idx="749">
                  <c:v>54.02</c:v>
                </c:pt>
                <c:pt idx="750">
                  <c:v>53.61</c:v>
                </c:pt>
                <c:pt idx="751">
                  <c:v>54.48</c:v>
                </c:pt>
                <c:pt idx="752">
                  <c:v>53.99</c:v>
                </c:pt>
                <c:pt idx="753">
                  <c:v>54.04</c:v>
                </c:pt>
                <c:pt idx="754">
                  <c:v>54</c:v>
                </c:pt>
                <c:pt idx="755">
                  <c:v>53.82</c:v>
                </c:pt>
                <c:pt idx="756">
                  <c:v>52.63</c:v>
                </c:pt>
                <c:pt idx="757">
                  <c:v>53.33</c:v>
                </c:pt>
                <c:pt idx="758">
                  <c:v>53.19</c:v>
                </c:pt>
                <c:pt idx="759">
                  <c:v>52.68</c:v>
                </c:pt>
                <c:pt idx="760">
                  <c:v>49.83</c:v>
                </c:pt>
                <c:pt idx="761">
                  <c:v>48.75</c:v>
                </c:pt>
                <c:pt idx="762">
                  <c:v>48.05</c:v>
                </c:pt>
                <c:pt idx="763">
                  <c:v>47.95</c:v>
                </c:pt>
                <c:pt idx="764">
                  <c:v>47.24</c:v>
                </c:pt>
                <c:pt idx="765">
                  <c:v>48.34</c:v>
                </c:pt>
                <c:pt idx="766">
                  <c:v>48.3</c:v>
                </c:pt>
                <c:pt idx="767">
                  <c:v>48.34</c:v>
                </c:pt>
                <c:pt idx="768">
                  <c:v>47.79</c:v>
                </c:pt>
                <c:pt idx="769">
                  <c:v>47.02</c:v>
                </c:pt>
                <c:pt idx="770">
                  <c:v>47.29</c:v>
                </c:pt>
                <c:pt idx="771">
                  <c:v>47</c:v>
                </c:pt>
                <c:pt idx="772">
                  <c:v>47.3</c:v>
                </c:pt>
                <c:pt idx="773">
                  <c:v>47.02</c:v>
                </c:pt>
                <c:pt idx="774">
                  <c:v>48.36</c:v>
                </c:pt>
                <c:pt idx="775">
                  <c:v>49.47</c:v>
                </c:pt>
                <c:pt idx="776">
                  <c:v>50.3</c:v>
                </c:pt>
                <c:pt idx="777">
                  <c:v>50.54</c:v>
                </c:pt>
                <c:pt idx="778">
                  <c:v>50.25</c:v>
                </c:pt>
                <c:pt idx="779">
                  <c:v>50.99</c:v>
                </c:pt>
                <c:pt idx="780">
                  <c:v>51.14</c:v>
                </c:pt>
                <c:pt idx="781">
                  <c:v>51.69</c:v>
                </c:pt>
                <c:pt idx="782">
                  <c:v>52.25</c:v>
                </c:pt>
                <c:pt idx="783">
                  <c:v>53.06</c:v>
                </c:pt>
                <c:pt idx="784">
                  <c:v>53.38</c:v>
                </c:pt>
                <c:pt idx="785">
                  <c:v>53.12</c:v>
                </c:pt>
                <c:pt idx="786">
                  <c:v>53.19</c:v>
                </c:pt>
                <c:pt idx="787">
                  <c:v>52.62</c:v>
                </c:pt>
                <c:pt idx="788">
                  <c:v>52.46</c:v>
                </c:pt>
                <c:pt idx="789">
                  <c:v>50.49</c:v>
                </c:pt>
                <c:pt idx="790">
                  <c:v>50.26</c:v>
                </c:pt>
                <c:pt idx="791">
                  <c:v>49.64</c:v>
                </c:pt>
                <c:pt idx="792">
                  <c:v>48.9</c:v>
                </c:pt>
                <c:pt idx="793">
                  <c:v>49.22</c:v>
                </c:pt>
                <c:pt idx="794">
                  <c:v>49.22</c:v>
                </c:pt>
                <c:pt idx="795">
                  <c:v>48.96</c:v>
                </c:pt>
                <c:pt idx="796">
                  <c:v>49.31</c:v>
                </c:pt>
                <c:pt idx="797">
                  <c:v>48.83</c:v>
                </c:pt>
                <c:pt idx="798">
                  <c:v>47.65</c:v>
                </c:pt>
                <c:pt idx="799">
                  <c:v>47.79</c:v>
                </c:pt>
                <c:pt idx="800">
                  <c:v>45.55</c:v>
                </c:pt>
                <c:pt idx="801">
                  <c:v>46.23</c:v>
                </c:pt>
                <c:pt idx="802">
                  <c:v>46.46</c:v>
                </c:pt>
                <c:pt idx="803">
                  <c:v>45.84</c:v>
                </c:pt>
                <c:pt idx="804">
                  <c:v>47.28</c:v>
                </c:pt>
                <c:pt idx="805">
                  <c:v>47.81</c:v>
                </c:pt>
                <c:pt idx="806">
                  <c:v>47.83</c:v>
                </c:pt>
                <c:pt idx="807">
                  <c:v>48.86</c:v>
                </c:pt>
                <c:pt idx="808">
                  <c:v>48.64</c:v>
                </c:pt>
                <c:pt idx="809">
                  <c:v>49.04</c:v>
                </c:pt>
                <c:pt idx="810">
                  <c:v>49.36</c:v>
                </c:pt>
                <c:pt idx="811">
                  <c:v>50.32</c:v>
                </c:pt>
                <c:pt idx="812">
                  <c:v>50.81</c:v>
                </c:pt>
                <c:pt idx="813">
                  <c:v>51.12</c:v>
                </c:pt>
                <c:pt idx="814">
                  <c:v>50.99</c:v>
                </c:pt>
                <c:pt idx="815">
                  <c:v>48.57</c:v>
                </c:pt>
                <c:pt idx="816">
                  <c:v>49.58</c:v>
                </c:pt>
                <c:pt idx="817">
                  <c:v>49.63</c:v>
                </c:pt>
                <c:pt idx="818">
                  <c:v>48.29</c:v>
                </c:pt>
                <c:pt idx="819">
                  <c:v>48.32</c:v>
                </c:pt>
                <c:pt idx="820">
                  <c:v>47.68</c:v>
                </c:pt>
                <c:pt idx="821">
                  <c:v>47.4</c:v>
                </c:pt>
                <c:pt idx="822">
                  <c:v>48.13</c:v>
                </c:pt>
                <c:pt idx="823">
                  <c:v>45.8</c:v>
                </c:pt>
                <c:pt idx="824">
                  <c:v>45.68</c:v>
                </c:pt>
                <c:pt idx="825">
                  <c:v>45.82</c:v>
                </c:pt>
                <c:pt idx="826">
                  <c:v>46.1</c:v>
                </c:pt>
                <c:pt idx="827">
                  <c:v>46.41</c:v>
                </c:pt>
                <c:pt idx="828">
                  <c:v>44.79</c:v>
                </c:pt>
                <c:pt idx="829">
                  <c:v>44.47</c:v>
                </c:pt>
                <c:pt idx="830">
                  <c:v>44.73</c:v>
                </c:pt>
                <c:pt idx="831">
                  <c:v>44.24</c:v>
                </c:pt>
                <c:pt idx="832">
                  <c:v>43.34</c:v>
                </c:pt>
                <c:pt idx="833">
                  <c:v>42.48</c:v>
                </c:pt>
                <c:pt idx="834">
                  <c:v>42.53</c:v>
                </c:pt>
                <c:pt idx="835">
                  <c:v>42.86</c:v>
                </c:pt>
                <c:pt idx="836">
                  <c:v>43.24</c:v>
                </c:pt>
                <c:pt idx="837">
                  <c:v>44.25</c:v>
                </c:pt>
                <c:pt idx="838">
                  <c:v>44.74</c:v>
                </c:pt>
                <c:pt idx="839">
                  <c:v>44.88</c:v>
                </c:pt>
                <c:pt idx="840">
                  <c:v>46.02</c:v>
                </c:pt>
                <c:pt idx="841">
                  <c:v>46.02</c:v>
                </c:pt>
                <c:pt idx="842">
                  <c:v>45.11</c:v>
                </c:pt>
                <c:pt idx="843">
                  <c:v>45.52</c:v>
                </c:pt>
                <c:pt idx="844">
                  <c:v>44.25</c:v>
                </c:pt>
                <c:pt idx="845">
                  <c:v>44.4</c:v>
                </c:pt>
                <c:pt idx="846">
                  <c:v>45.06</c:v>
                </c:pt>
                <c:pt idx="847">
                  <c:v>45.48</c:v>
                </c:pt>
                <c:pt idx="848">
                  <c:v>46.06</c:v>
                </c:pt>
                <c:pt idx="849">
                  <c:v>46.53</c:v>
                </c:pt>
                <c:pt idx="850">
                  <c:v>46.02</c:v>
                </c:pt>
                <c:pt idx="851">
                  <c:v>46.4</c:v>
                </c:pt>
                <c:pt idx="852">
                  <c:v>47.1</c:v>
                </c:pt>
                <c:pt idx="853">
                  <c:v>46.73</c:v>
                </c:pt>
                <c:pt idx="854">
                  <c:v>45.78</c:v>
                </c:pt>
                <c:pt idx="855">
                  <c:v>46.21</c:v>
                </c:pt>
                <c:pt idx="856">
                  <c:v>47.77</c:v>
                </c:pt>
                <c:pt idx="857">
                  <c:v>48.58</c:v>
                </c:pt>
                <c:pt idx="858">
                  <c:v>49.05</c:v>
                </c:pt>
                <c:pt idx="859">
                  <c:v>49.72</c:v>
                </c:pt>
                <c:pt idx="860">
                  <c:v>50.21</c:v>
                </c:pt>
                <c:pt idx="861">
                  <c:v>49.19</c:v>
                </c:pt>
                <c:pt idx="862">
                  <c:v>49.6</c:v>
                </c:pt>
                <c:pt idx="863">
                  <c:v>49.03</c:v>
                </c:pt>
                <c:pt idx="864">
                  <c:v>49.57</c:v>
                </c:pt>
                <c:pt idx="865">
                  <c:v>49.37</c:v>
                </c:pt>
                <c:pt idx="866">
                  <c:v>49.07</c:v>
                </c:pt>
                <c:pt idx="867">
                  <c:v>49.59</c:v>
                </c:pt>
                <c:pt idx="868">
                  <c:v>48.54</c:v>
                </c:pt>
                <c:pt idx="869">
                  <c:v>48.81</c:v>
                </c:pt>
                <c:pt idx="870">
                  <c:v>47.59</c:v>
                </c:pt>
                <c:pt idx="871">
                  <c:v>47.57</c:v>
                </c:pt>
                <c:pt idx="872">
                  <c:v>46.8</c:v>
                </c:pt>
                <c:pt idx="873">
                  <c:v>47.07</c:v>
                </c:pt>
                <c:pt idx="874">
                  <c:v>48.59</c:v>
                </c:pt>
                <c:pt idx="875">
                  <c:v>47.39</c:v>
                </c:pt>
                <c:pt idx="876">
                  <c:v>47.65</c:v>
                </c:pt>
                <c:pt idx="877">
                  <c:v>48.45</c:v>
                </c:pt>
                <c:pt idx="878">
                  <c:v>47.24</c:v>
                </c:pt>
                <c:pt idx="879">
                  <c:v>47.65</c:v>
                </c:pt>
                <c:pt idx="880">
                  <c:v>46.4</c:v>
                </c:pt>
                <c:pt idx="881">
                  <c:v>46.46</c:v>
                </c:pt>
                <c:pt idx="882">
                  <c:v>45.96</c:v>
                </c:pt>
                <c:pt idx="883">
                  <c:v>47.26</c:v>
                </c:pt>
                <c:pt idx="884">
                  <c:v>47.32</c:v>
                </c:pt>
                <c:pt idx="885">
                  <c:v>48.63</c:v>
                </c:pt>
                <c:pt idx="886">
                  <c:v>49.13</c:v>
                </c:pt>
                <c:pt idx="887">
                  <c:v>49.1</c:v>
                </c:pt>
                <c:pt idx="888">
                  <c:v>47.44</c:v>
                </c:pt>
                <c:pt idx="889">
                  <c:v>48.06</c:v>
                </c:pt>
                <c:pt idx="890">
                  <c:v>48.21</c:v>
                </c:pt>
                <c:pt idx="891">
                  <c:v>49.3</c:v>
                </c:pt>
                <c:pt idx="892">
                  <c:v>49.86</c:v>
                </c:pt>
                <c:pt idx="893">
                  <c:v>49.9</c:v>
                </c:pt>
                <c:pt idx="894">
                  <c:v>49.88</c:v>
                </c:pt>
                <c:pt idx="895">
                  <c:v>49.54</c:v>
                </c:pt>
                <c:pt idx="896">
                  <c:v>50.29</c:v>
                </c:pt>
                <c:pt idx="897">
                  <c:v>50.58</c:v>
                </c:pt>
                <c:pt idx="898">
                  <c:v>50.33</c:v>
                </c:pt>
                <c:pt idx="899">
                  <c:v>51.85</c:v>
                </c:pt>
                <c:pt idx="900">
                  <c:v>51.59</c:v>
                </c:pt>
                <c:pt idx="901">
                  <c:v>52.14</c:v>
                </c:pt>
                <c:pt idx="902">
                  <c:v>51.62</c:v>
                </c:pt>
                <c:pt idx="903">
                  <c:v>51.67</c:v>
                </c:pt>
                <c:pt idx="904">
                  <c:v>50.59</c:v>
                </c:pt>
                <c:pt idx="905">
                  <c:v>50.44</c:v>
                </c:pt>
                <c:pt idx="906">
                  <c:v>50</c:v>
                </c:pt>
                <c:pt idx="907">
                  <c:v>50.79</c:v>
                </c:pt>
                <c:pt idx="908">
                  <c:v>49.34</c:v>
                </c:pt>
                <c:pt idx="909">
                  <c:v>49.58</c:v>
                </c:pt>
                <c:pt idx="910">
                  <c:v>50.93</c:v>
                </c:pt>
                <c:pt idx="911">
                  <c:v>51.3</c:v>
                </c:pt>
                <c:pt idx="912">
                  <c:v>50.61</c:v>
                </c:pt>
                <c:pt idx="913">
                  <c:v>51.43</c:v>
                </c:pt>
                <c:pt idx="914">
                  <c:v>51.86</c:v>
                </c:pt>
                <c:pt idx="915">
                  <c:v>51.87</c:v>
                </c:pt>
                <c:pt idx="916">
                  <c:v>52.05</c:v>
                </c:pt>
                <c:pt idx="917">
                  <c:v>51.29</c:v>
                </c:pt>
                <c:pt idx="918">
                  <c:v>51.63</c:v>
                </c:pt>
                <c:pt idx="919">
                  <c:v>51.91</c:v>
                </c:pt>
                <c:pt idx="920">
                  <c:v>52.32</c:v>
                </c:pt>
                <c:pt idx="921">
                  <c:v>51.97</c:v>
                </c:pt>
                <c:pt idx="922">
                  <c:v>52.41</c:v>
                </c:pt>
                <c:pt idx="923">
                  <c:v>53.92</c:v>
                </c:pt>
                <c:pt idx="924">
                  <c:v>54.11</c:v>
                </c:pt>
                <c:pt idx="925">
                  <c:v>54.36</c:v>
                </c:pt>
                <c:pt idx="926">
                  <c:v>54.32</c:v>
                </c:pt>
                <c:pt idx="927">
                  <c:v>54.55</c:v>
                </c:pt>
                <c:pt idx="928">
                  <c:v>55.63</c:v>
                </c:pt>
                <c:pt idx="929">
                  <c:v>57.34</c:v>
                </c:pt>
                <c:pt idx="930">
                  <c:v>57.19</c:v>
                </c:pt>
                <c:pt idx="931">
                  <c:v>56.82</c:v>
                </c:pt>
                <c:pt idx="932">
                  <c:v>57.16</c:v>
                </c:pt>
                <c:pt idx="933">
                  <c:v>56.75</c:v>
                </c:pt>
                <c:pt idx="934">
                  <c:v>56.77</c:v>
                </c:pt>
                <c:pt idx="935">
                  <c:v>55.67</c:v>
                </c:pt>
                <c:pt idx="936">
                  <c:v>55.28</c:v>
                </c:pt>
                <c:pt idx="937">
                  <c:v>55.14</c:v>
                </c:pt>
                <c:pt idx="938">
                  <c:v>56.21</c:v>
                </c:pt>
                <c:pt idx="939">
                  <c:v>56.21</c:v>
                </c:pt>
                <c:pt idx="940">
                  <c:v>56.84</c:v>
                </c:pt>
                <c:pt idx="941">
                  <c:v>57.88</c:v>
                </c:pt>
                <c:pt idx="942">
                  <c:v>58.94</c:v>
                </c:pt>
                <c:pt idx="943">
                  <c:v>58.1</c:v>
                </c:pt>
                <c:pt idx="944">
                  <c:v>57.96</c:v>
                </c:pt>
                <c:pt idx="945">
                  <c:v>57.25</c:v>
                </c:pt>
                <c:pt idx="946">
                  <c:v>57.4</c:v>
                </c:pt>
                <c:pt idx="947">
                  <c:v>58.35</c:v>
                </c:pt>
                <c:pt idx="948">
                  <c:v>57.48</c:v>
                </c:pt>
                <c:pt idx="949">
                  <c:v>57.66</c:v>
                </c:pt>
                <c:pt idx="950">
                  <c:v>55.79</c:v>
                </c:pt>
                <c:pt idx="951">
                  <c:v>56.5</c:v>
                </c:pt>
                <c:pt idx="952">
                  <c:v>57.15</c:v>
                </c:pt>
                <c:pt idx="953">
                  <c:v>57.84</c:v>
                </c:pt>
                <c:pt idx="954">
                  <c:v>57.12</c:v>
                </c:pt>
                <c:pt idx="955">
                  <c:v>56.59</c:v>
                </c:pt>
                <c:pt idx="956">
                  <c:v>57</c:v>
                </c:pt>
                <c:pt idx="957">
                  <c:v>57.29</c:v>
                </c:pt>
                <c:pt idx="958">
                  <c:v>57.17</c:v>
                </c:pt>
                <c:pt idx="959">
                  <c:v>57.49</c:v>
                </c:pt>
                <c:pt idx="960">
                  <c:v>58.09</c:v>
                </c:pt>
                <c:pt idx="961">
                  <c:v>58.34</c:v>
                </c:pt>
                <c:pt idx="962">
                  <c:v>58.25</c:v>
                </c:pt>
                <c:pt idx="963">
                  <c:v>59.55</c:v>
                </c:pt>
                <c:pt idx="964">
                  <c:v>59.67</c:v>
                </c:pt>
                <c:pt idx="965">
                  <c:v>59.84</c:v>
                </c:pt>
                <c:pt idx="966">
                  <c:v>60.46</c:v>
                </c:pt>
                <c:pt idx="967">
                  <c:v>60.37</c:v>
                </c:pt>
                <c:pt idx="968">
                  <c:v>61.61</c:v>
                </c:pt>
                <c:pt idx="969">
                  <c:v>61.98</c:v>
                </c:pt>
                <c:pt idx="970">
                  <c:v>61.49</c:v>
                </c:pt>
                <c:pt idx="971">
                  <c:v>61.73</c:v>
                </c:pt>
                <c:pt idx="972">
                  <c:v>62.92</c:v>
                </c:pt>
                <c:pt idx="973">
                  <c:v>63.6</c:v>
                </c:pt>
                <c:pt idx="974">
                  <c:v>63.81</c:v>
                </c:pt>
                <c:pt idx="975">
                  <c:v>64.22</c:v>
                </c:pt>
                <c:pt idx="976">
                  <c:v>63.82</c:v>
                </c:pt>
                <c:pt idx="977">
                  <c:v>63.92</c:v>
                </c:pt>
                <c:pt idx="978">
                  <c:v>63.96</c:v>
                </c:pt>
                <c:pt idx="979">
                  <c:v>63.38</c:v>
                </c:pt>
                <c:pt idx="980">
                  <c:v>63.66</c:v>
                </c:pt>
                <c:pt idx="981">
                  <c:v>64.45</c:v>
                </c:pt>
                <c:pt idx="982">
                  <c:v>65.69</c:v>
                </c:pt>
                <c:pt idx="983">
                  <c:v>65.62</c:v>
                </c:pt>
                <c:pt idx="984">
                  <c:v>66.27</c:v>
                </c:pt>
                <c:pt idx="985">
                  <c:v>65.709999999999994</c:v>
                </c:pt>
                <c:pt idx="986">
                  <c:v>64.64</c:v>
                </c:pt>
                <c:pt idx="987">
                  <c:v>64.819999999999993</c:v>
                </c:pt>
                <c:pt idx="988">
                  <c:v>65.92</c:v>
                </c:pt>
                <c:pt idx="989">
                  <c:v>65.5</c:v>
                </c:pt>
                <c:pt idx="990">
                  <c:v>64.180000000000007</c:v>
                </c:pt>
                <c:pt idx="991">
                  <c:v>63.48</c:v>
                </c:pt>
                <c:pt idx="992">
                  <c:v>61.91</c:v>
                </c:pt>
                <c:pt idx="993">
                  <c:v>61.3</c:v>
                </c:pt>
                <c:pt idx="994">
                  <c:v>59.2</c:v>
                </c:pt>
                <c:pt idx="995">
                  <c:v>59.41</c:v>
                </c:pt>
                <c:pt idx="996">
                  <c:v>59.33</c:v>
                </c:pt>
                <c:pt idx="997">
                  <c:v>60.7</c:v>
                </c:pt>
                <c:pt idx="998">
                  <c:v>61.48</c:v>
                </c:pt>
                <c:pt idx="999">
                  <c:v>61.89</c:v>
                </c:pt>
                <c:pt idx="1000">
                  <c:v>61.91</c:v>
                </c:pt>
                <c:pt idx="1001">
                  <c:v>61.73</c:v>
                </c:pt>
                <c:pt idx="1002">
                  <c:v>62.72</c:v>
                </c:pt>
                <c:pt idx="1003">
                  <c:v>63.52</c:v>
                </c:pt>
                <c:pt idx="1004">
                  <c:v>63.81</c:v>
                </c:pt>
                <c:pt idx="1005">
                  <c:v>62.94</c:v>
                </c:pt>
                <c:pt idx="1006">
                  <c:v>61.43</c:v>
                </c:pt>
                <c:pt idx="1007">
                  <c:v>60.98</c:v>
                </c:pt>
                <c:pt idx="1008">
                  <c:v>61.19</c:v>
                </c:pt>
                <c:pt idx="1009">
                  <c:v>62.49</c:v>
                </c:pt>
                <c:pt idx="1010">
                  <c:v>62.54</c:v>
                </c:pt>
                <c:pt idx="1011">
                  <c:v>61.09</c:v>
                </c:pt>
                <c:pt idx="1012">
                  <c:v>60.13</c:v>
                </c:pt>
                <c:pt idx="1013">
                  <c:v>62.02</c:v>
                </c:pt>
                <c:pt idx="1014">
                  <c:v>61.35</c:v>
                </c:pt>
                <c:pt idx="1015">
                  <c:v>60.69</c:v>
                </c:pt>
                <c:pt idx="1016">
                  <c:v>60.89</c:v>
                </c:pt>
                <c:pt idx="1017">
                  <c:v>61.16</c:v>
                </c:pt>
                <c:pt idx="1018">
                  <c:v>62.29</c:v>
                </c:pt>
                <c:pt idx="1019">
                  <c:v>62.01</c:v>
                </c:pt>
                <c:pt idx="1020">
                  <c:v>63.37</c:v>
                </c:pt>
                <c:pt idx="1021">
                  <c:v>65.099999999999994</c:v>
                </c:pt>
                <c:pt idx="1022">
                  <c:v>64.25</c:v>
                </c:pt>
                <c:pt idx="1023">
                  <c:v>65.8</c:v>
                </c:pt>
                <c:pt idx="1024">
                  <c:v>65.489999999999995</c:v>
                </c:pt>
                <c:pt idx="1025">
                  <c:v>65.209999999999994</c:v>
                </c:pt>
                <c:pt idx="1026">
                  <c:v>64.3</c:v>
                </c:pt>
                <c:pt idx="1027">
                  <c:v>64.87</c:v>
                </c:pt>
                <c:pt idx="1028">
                  <c:v>63.05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D0-4E2D-A1C4-758124502B89}"/>
            </c:ext>
          </c:extLst>
        </c:ser>
        <c:ser>
          <c:idx val="1"/>
          <c:order val="1"/>
          <c:tx>
            <c:v>20-days MA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 &amp;50 -days MA'!$B$54:$B$1082</c:f>
              <c:numCache>
                <c:formatCode>m/d/yyyy</c:formatCode>
                <c:ptCount val="1029"/>
                <c:pt idx="0">
                  <c:v>41715</c:v>
                </c:pt>
                <c:pt idx="1">
                  <c:v>41716</c:v>
                </c:pt>
                <c:pt idx="2">
                  <c:v>41717</c:v>
                </c:pt>
                <c:pt idx="3">
                  <c:v>41718</c:v>
                </c:pt>
                <c:pt idx="4">
                  <c:v>41719</c:v>
                </c:pt>
                <c:pt idx="5">
                  <c:v>41722</c:v>
                </c:pt>
                <c:pt idx="6">
                  <c:v>41723</c:v>
                </c:pt>
                <c:pt idx="7">
                  <c:v>41724</c:v>
                </c:pt>
                <c:pt idx="8">
                  <c:v>41725</c:v>
                </c:pt>
                <c:pt idx="9">
                  <c:v>41726</c:v>
                </c:pt>
                <c:pt idx="10">
                  <c:v>41729</c:v>
                </c:pt>
                <c:pt idx="11">
                  <c:v>41730</c:v>
                </c:pt>
                <c:pt idx="12">
                  <c:v>41731</c:v>
                </c:pt>
                <c:pt idx="13">
                  <c:v>41732</c:v>
                </c:pt>
                <c:pt idx="14">
                  <c:v>41733</c:v>
                </c:pt>
                <c:pt idx="15">
                  <c:v>41736</c:v>
                </c:pt>
                <c:pt idx="16">
                  <c:v>41737</c:v>
                </c:pt>
                <c:pt idx="17">
                  <c:v>41738</c:v>
                </c:pt>
                <c:pt idx="18">
                  <c:v>41739</c:v>
                </c:pt>
                <c:pt idx="19">
                  <c:v>41740</c:v>
                </c:pt>
                <c:pt idx="20">
                  <c:v>41743</c:v>
                </c:pt>
                <c:pt idx="21">
                  <c:v>41744</c:v>
                </c:pt>
                <c:pt idx="22">
                  <c:v>41745</c:v>
                </c:pt>
                <c:pt idx="23">
                  <c:v>41746</c:v>
                </c:pt>
                <c:pt idx="24">
                  <c:v>41750</c:v>
                </c:pt>
                <c:pt idx="25">
                  <c:v>41751</c:v>
                </c:pt>
                <c:pt idx="26">
                  <c:v>41752</c:v>
                </c:pt>
                <c:pt idx="27">
                  <c:v>41753</c:v>
                </c:pt>
                <c:pt idx="28">
                  <c:v>41754</c:v>
                </c:pt>
                <c:pt idx="29">
                  <c:v>41757</c:v>
                </c:pt>
                <c:pt idx="30">
                  <c:v>41758</c:v>
                </c:pt>
                <c:pt idx="31">
                  <c:v>41759</c:v>
                </c:pt>
                <c:pt idx="32">
                  <c:v>41760</c:v>
                </c:pt>
                <c:pt idx="33">
                  <c:v>41761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41771</c:v>
                </c:pt>
                <c:pt idx="40">
                  <c:v>41772</c:v>
                </c:pt>
                <c:pt idx="41">
                  <c:v>41773</c:v>
                </c:pt>
                <c:pt idx="42">
                  <c:v>41774</c:v>
                </c:pt>
                <c:pt idx="43">
                  <c:v>41775</c:v>
                </c:pt>
                <c:pt idx="44">
                  <c:v>41778</c:v>
                </c:pt>
                <c:pt idx="45">
                  <c:v>41779</c:v>
                </c:pt>
                <c:pt idx="46">
                  <c:v>41780</c:v>
                </c:pt>
                <c:pt idx="47">
                  <c:v>41781</c:v>
                </c:pt>
                <c:pt idx="48">
                  <c:v>41782</c:v>
                </c:pt>
                <c:pt idx="49">
                  <c:v>41786</c:v>
                </c:pt>
                <c:pt idx="50">
                  <c:v>41787</c:v>
                </c:pt>
                <c:pt idx="51">
                  <c:v>41788</c:v>
                </c:pt>
                <c:pt idx="52">
                  <c:v>41789</c:v>
                </c:pt>
                <c:pt idx="53">
                  <c:v>41792</c:v>
                </c:pt>
                <c:pt idx="54">
                  <c:v>41793</c:v>
                </c:pt>
                <c:pt idx="55">
                  <c:v>41794</c:v>
                </c:pt>
                <c:pt idx="56">
                  <c:v>41795</c:v>
                </c:pt>
                <c:pt idx="57">
                  <c:v>41796</c:v>
                </c:pt>
                <c:pt idx="58">
                  <c:v>41799</c:v>
                </c:pt>
                <c:pt idx="59">
                  <c:v>41800</c:v>
                </c:pt>
                <c:pt idx="60">
                  <c:v>41801</c:v>
                </c:pt>
                <c:pt idx="61">
                  <c:v>41802</c:v>
                </c:pt>
                <c:pt idx="62">
                  <c:v>41803</c:v>
                </c:pt>
                <c:pt idx="63">
                  <c:v>41806</c:v>
                </c:pt>
                <c:pt idx="64">
                  <c:v>41807</c:v>
                </c:pt>
                <c:pt idx="65">
                  <c:v>41808</c:v>
                </c:pt>
                <c:pt idx="66">
                  <c:v>41809</c:v>
                </c:pt>
                <c:pt idx="67">
                  <c:v>41810</c:v>
                </c:pt>
                <c:pt idx="68">
                  <c:v>41813</c:v>
                </c:pt>
                <c:pt idx="69">
                  <c:v>41814</c:v>
                </c:pt>
                <c:pt idx="70">
                  <c:v>41815</c:v>
                </c:pt>
                <c:pt idx="71">
                  <c:v>41816</c:v>
                </c:pt>
                <c:pt idx="72">
                  <c:v>41817</c:v>
                </c:pt>
                <c:pt idx="73">
                  <c:v>41820</c:v>
                </c:pt>
                <c:pt idx="74">
                  <c:v>41821</c:v>
                </c:pt>
                <c:pt idx="75">
                  <c:v>41822</c:v>
                </c:pt>
                <c:pt idx="76">
                  <c:v>41823</c:v>
                </c:pt>
                <c:pt idx="77">
                  <c:v>41827</c:v>
                </c:pt>
                <c:pt idx="78">
                  <c:v>41828</c:v>
                </c:pt>
                <c:pt idx="79">
                  <c:v>41829</c:v>
                </c:pt>
                <c:pt idx="80">
                  <c:v>41830</c:v>
                </c:pt>
                <c:pt idx="81">
                  <c:v>41831</c:v>
                </c:pt>
                <c:pt idx="82">
                  <c:v>41834</c:v>
                </c:pt>
                <c:pt idx="83">
                  <c:v>41835</c:v>
                </c:pt>
                <c:pt idx="84">
                  <c:v>41836</c:v>
                </c:pt>
                <c:pt idx="85">
                  <c:v>41837</c:v>
                </c:pt>
                <c:pt idx="86">
                  <c:v>41838</c:v>
                </c:pt>
                <c:pt idx="87">
                  <c:v>41841</c:v>
                </c:pt>
                <c:pt idx="88">
                  <c:v>41842</c:v>
                </c:pt>
                <c:pt idx="89">
                  <c:v>41843</c:v>
                </c:pt>
                <c:pt idx="90">
                  <c:v>41844</c:v>
                </c:pt>
                <c:pt idx="91">
                  <c:v>41845</c:v>
                </c:pt>
                <c:pt idx="92">
                  <c:v>41848</c:v>
                </c:pt>
                <c:pt idx="93">
                  <c:v>41849</c:v>
                </c:pt>
                <c:pt idx="94">
                  <c:v>41850</c:v>
                </c:pt>
                <c:pt idx="95">
                  <c:v>41851</c:v>
                </c:pt>
                <c:pt idx="96">
                  <c:v>41852</c:v>
                </c:pt>
                <c:pt idx="97">
                  <c:v>41855</c:v>
                </c:pt>
                <c:pt idx="98">
                  <c:v>41856</c:v>
                </c:pt>
                <c:pt idx="99">
                  <c:v>41857</c:v>
                </c:pt>
                <c:pt idx="100">
                  <c:v>41858</c:v>
                </c:pt>
                <c:pt idx="101">
                  <c:v>41859</c:v>
                </c:pt>
                <c:pt idx="102">
                  <c:v>41862</c:v>
                </c:pt>
                <c:pt idx="103">
                  <c:v>41863</c:v>
                </c:pt>
                <c:pt idx="104">
                  <c:v>41864</c:v>
                </c:pt>
                <c:pt idx="105">
                  <c:v>41865</c:v>
                </c:pt>
                <c:pt idx="106">
                  <c:v>41866</c:v>
                </c:pt>
                <c:pt idx="107">
                  <c:v>41869</c:v>
                </c:pt>
                <c:pt idx="108">
                  <c:v>41870</c:v>
                </c:pt>
                <c:pt idx="109">
                  <c:v>41871</c:v>
                </c:pt>
                <c:pt idx="110">
                  <c:v>41872</c:v>
                </c:pt>
                <c:pt idx="111">
                  <c:v>41873</c:v>
                </c:pt>
                <c:pt idx="112">
                  <c:v>41876</c:v>
                </c:pt>
                <c:pt idx="113">
                  <c:v>41877</c:v>
                </c:pt>
                <c:pt idx="114">
                  <c:v>41878</c:v>
                </c:pt>
                <c:pt idx="115">
                  <c:v>41879</c:v>
                </c:pt>
                <c:pt idx="116">
                  <c:v>41880</c:v>
                </c:pt>
                <c:pt idx="117">
                  <c:v>41884</c:v>
                </c:pt>
                <c:pt idx="118">
                  <c:v>41885</c:v>
                </c:pt>
                <c:pt idx="119">
                  <c:v>41886</c:v>
                </c:pt>
                <c:pt idx="120">
                  <c:v>41887</c:v>
                </c:pt>
                <c:pt idx="121">
                  <c:v>41890</c:v>
                </c:pt>
                <c:pt idx="122">
                  <c:v>41891</c:v>
                </c:pt>
                <c:pt idx="123">
                  <c:v>41892</c:v>
                </c:pt>
                <c:pt idx="124">
                  <c:v>41893</c:v>
                </c:pt>
                <c:pt idx="125">
                  <c:v>41894</c:v>
                </c:pt>
                <c:pt idx="126">
                  <c:v>41897</c:v>
                </c:pt>
                <c:pt idx="127">
                  <c:v>41898</c:v>
                </c:pt>
                <c:pt idx="128">
                  <c:v>41899</c:v>
                </c:pt>
                <c:pt idx="129">
                  <c:v>41900</c:v>
                </c:pt>
                <c:pt idx="130">
                  <c:v>41901</c:v>
                </c:pt>
                <c:pt idx="131">
                  <c:v>41904</c:v>
                </c:pt>
                <c:pt idx="132">
                  <c:v>41905</c:v>
                </c:pt>
                <c:pt idx="133">
                  <c:v>41906</c:v>
                </c:pt>
                <c:pt idx="134">
                  <c:v>41907</c:v>
                </c:pt>
                <c:pt idx="135">
                  <c:v>41908</c:v>
                </c:pt>
                <c:pt idx="136">
                  <c:v>41911</c:v>
                </c:pt>
                <c:pt idx="137">
                  <c:v>41912</c:v>
                </c:pt>
                <c:pt idx="138">
                  <c:v>41913</c:v>
                </c:pt>
                <c:pt idx="139">
                  <c:v>41914</c:v>
                </c:pt>
                <c:pt idx="140">
                  <c:v>41915</c:v>
                </c:pt>
                <c:pt idx="141">
                  <c:v>41918</c:v>
                </c:pt>
                <c:pt idx="142">
                  <c:v>41919</c:v>
                </c:pt>
                <c:pt idx="143">
                  <c:v>41920</c:v>
                </c:pt>
                <c:pt idx="144">
                  <c:v>41921</c:v>
                </c:pt>
                <c:pt idx="145">
                  <c:v>41922</c:v>
                </c:pt>
                <c:pt idx="146">
                  <c:v>41925</c:v>
                </c:pt>
                <c:pt idx="147">
                  <c:v>41926</c:v>
                </c:pt>
                <c:pt idx="148">
                  <c:v>41927</c:v>
                </c:pt>
                <c:pt idx="149">
                  <c:v>41928</c:v>
                </c:pt>
                <c:pt idx="150">
                  <c:v>41929</c:v>
                </c:pt>
                <c:pt idx="151">
                  <c:v>41932</c:v>
                </c:pt>
                <c:pt idx="152">
                  <c:v>41933</c:v>
                </c:pt>
                <c:pt idx="153">
                  <c:v>41934</c:v>
                </c:pt>
                <c:pt idx="154">
                  <c:v>41935</c:v>
                </c:pt>
                <c:pt idx="155">
                  <c:v>41936</c:v>
                </c:pt>
                <c:pt idx="156">
                  <c:v>41939</c:v>
                </c:pt>
                <c:pt idx="157">
                  <c:v>41940</c:v>
                </c:pt>
                <c:pt idx="158">
                  <c:v>41941</c:v>
                </c:pt>
                <c:pt idx="159">
                  <c:v>41942</c:v>
                </c:pt>
                <c:pt idx="160">
                  <c:v>41943</c:v>
                </c:pt>
                <c:pt idx="161">
                  <c:v>41946</c:v>
                </c:pt>
                <c:pt idx="162">
                  <c:v>41947</c:v>
                </c:pt>
                <c:pt idx="163">
                  <c:v>41948</c:v>
                </c:pt>
                <c:pt idx="164">
                  <c:v>41949</c:v>
                </c:pt>
                <c:pt idx="165">
                  <c:v>41950</c:v>
                </c:pt>
                <c:pt idx="166">
                  <c:v>41953</c:v>
                </c:pt>
                <c:pt idx="167">
                  <c:v>41954</c:v>
                </c:pt>
                <c:pt idx="168">
                  <c:v>41955</c:v>
                </c:pt>
                <c:pt idx="169">
                  <c:v>41956</c:v>
                </c:pt>
                <c:pt idx="170">
                  <c:v>41957</c:v>
                </c:pt>
                <c:pt idx="171">
                  <c:v>41960</c:v>
                </c:pt>
                <c:pt idx="172">
                  <c:v>41961</c:v>
                </c:pt>
                <c:pt idx="173">
                  <c:v>41962</c:v>
                </c:pt>
                <c:pt idx="174">
                  <c:v>41963</c:v>
                </c:pt>
                <c:pt idx="175">
                  <c:v>41964</c:v>
                </c:pt>
                <c:pt idx="176">
                  <c:v>41967</c:v>
                </c:pt>
                <c:pt idx="177">
                  <c:v>41968</c:v>
                </c:pt>
                <c:pt idx="178">
                  <c:v>41969</c:v>
                </c:pt>
                <c:pt idx="179">
                  <c:v>41971</c:v>
                </c:pt>
                <c:pt idx="180">
                  <c:v>41974</c:v>
                </c:pt>
                <c:pt idx="181">
                  <c:v>41975</c:v>
                </c:pt>
                <c:pt idx="182">
                  <c:v>41976</c:v>
                </c:pt>
                <c:pt idx="183">
                  <c:v>41977</c:v>
                </c:pt>
                <c:pt idx="184">
                  <c:v>41978</c:v>
                </c:pt>
                <c:pt idx="185">
                  <c:v>41981</c:v>
                </c:pt>
                <c:pt idx="186">
                  <c:v>41982</c:v>
                </c:pt>
                <c:pt idx="187">
                  <c:v>41983</c:v>
                </c:pt>
                <c:pt idx="188">
                  <c:v>41984</c:v>
                </c:pt>
                <c:pt idx="189">
                  <c:v>41985</c:v>
                </c:pt>
                <c:pt idx="190">
                  <c:v>41988</c:v>
                </c:pt>
                <c:pt idx="191">
                  <c:v>41989</c:v>
                </c:pt>
                <c:pt idx="192">
                  <c:v>41990</c:v>
                </c:pt>
                <c:pt idx="193">
                  <c:v>41991</c:v>
                </c:pt>
                <c:pt idx="194">
                  <c:v>41992</c:v>
                </c:pt>
                <c:pt idx="195">
                  <c:v>41995</c:v>
                </c:pt>
                <c:pt idx="196">
                  <c:v>41996</c:v>
                </c:pt>
                <c:pt idx="197">
                  <c:v>41997</c:v>
                </c:pt>
                <c:pt idx="198">
                  <c:v>41999</c:v>
                </c:pt>
                <c:pt idx="199">
                  <c:v>42002</c:v>
                </c:pt>
                <c:pt idx="200">
                  <c:v>42003</c:v>
                </c:pt>
                <c:pt idx="201">
                  <c:v>42004</c:v>
                </c:pt>
                <c:pt idx="202">
                  <c:v>42005</c:v>
                </c:pt>
                <c:pt idx="203">
                  <c:v>42006</c:v>
                </c:pt>
                <c:pt idx="204">
                  <c:v>42009</c:v>
                </c:pt>
                <c:pt idx="205">
                  <c:v>42010</c:v>
                </c:pt>
                <c:pt idx="206">
                  <c:v>42011</c:v>
                </c:pt>
                <c:pt idx="207">
                  <c:v>42012</c:v>
                </c:pt>
                <c:pt idx="208">
                  <c:v>42013</c:v>
                </c:pt>
                <c:pt idx="209">
                  <c:v>42016</c:v>
                </c:pt>
                <c:pt idx="210">
                  <c:v>42017</c:v>
                </c:pt>
                <c:pt idx="211">
                  <c:v>42018</c:v>
                </c:pt>
                <c:pt idx="212">
                  <c:v>42019</c:v>
                </c:pt>
                <c:pt idx="213">
                  <c:v>42020</c:v>
                </c:pt>
                <c:pt idx="214">
                  <c:v>42024</c:v>
                </c:pt>
                <c:pt idx="215">
                  <c:v>42025</c:v>
                </c:pt>
                <c:pt idx="216">
                  <c:v>42026</c:v>
                </c:pt>
                <c:pt idx="217">
                  <c:v>42027</c:v>
                </c:pt>
                <c:pt idx="218">
                  <c:v>42030</c:v>
                </c:pt>
                <c:pt idx="219">
                  <c:v>42031</c:v>
                </c:pt>
                <c:pt idx="220">
                  <c:v>42032</c:v>
                </c:pt>
                <c:pt idx="221">
                  <c:v>42033</c:v>
                </c:pt>
                <c:pt idx="222">
                  <c:v>42034</c:v>
                </c:pt>
                <c:pt idx="223">
                  <c:v>42037</c:v>
                </c:pt>
                <c:pt idx="224">
                  <c:v>42038</c:v>
                </c:pt>
                <c:pt idx="225">
                  <c:v>42039</c:v>
                </c:pt>
                <c:pt idx="226">
                  <c:v>42040</c:v>
                </c:pt>
                <c:pt idx="227">
                  <c:v>42041</c:v>
                </c:pt>
                <c:pt idx="228">
                  <c:v>42044</c:v>
                </c:pt>
                <c:pt idx="229">
                  <c:v>42045</c:v>
                </c:pt>
                <c:pt idx="230">
                  <c:v>42046</c:v>
                </c:pt>
                <c:pt idx="231">
                  <c:v>42047</c:v>
                </c:pt>
                <c:pt idx="232">
                  <c:v>42048</c:v>
                </c:pt>
                <c:pt idx="233">
                  <c:v>42052</c:v>
                </c:pt>
                <c:pt idx="234">
                  <c:v>42053</c:v>
                </c:pt>
                <c:pt idx="235">
                  <c:v>42054</c:v>
                </c:pt>
                <c:pt idx="236">
                  <c:v>42055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42065</c:v>
                </c:pt>
                <c:pt idx="243">
                  <c:v>42066</c:v>
                </c:pt>
                <c:pt idx="244">
                  <c:v>42067</c:v>
                </c:pt>
                <c:pt idx="245">
                  <c:v>42068</c:v>
                </c:pt>
                <c:pt idx="246">
                  <c:v>42069</c:v>
                </c:pt>
                <c:pt idx="247">
                  <c:v>42072</c:v>
                </c:pt>
                <c:pt idx="248">
                  <c:v>42073</c:v>
                </c:pt>
                <c:pt idx="249">
                  <c:v>42074</c:v>
                </c:pt>
                <c:pt idx="250">
                  <c:v>42075</c:v>
                </c:pt>
                <c:pt idx="251">
                  <c:v>42076</c:v>
                </c:pt>
                <c:pt idx="252">
                  <c:v>42079</c:v>
                </c:pt>
                <c:pt idx="253">
                  <c:v>42080</c:v>
                </c:pt>
                <c:pt idx="254">
                  <c:v>42081</c:v>
                </c:pt>
                <c:pt idx="255">
                  <c:v>42082</c:v>
                </c:pt>
                <c:pt idx="256">
                  <c:v>42083</c:v>
                </c:pt>
                <c:pt idx="257">
                  <c:v>42086</c:v>
                </c:pt>
                <c:pt idx="258">
                  <c:v>42087</c:v>
                </c:pt>
                <c:pt idx="259">
                  <c:v>42088</c:v>
                </c:pt>
                <c:pt idx="260">
                  <c:v>42089</c:v>
                </c:pt>
                <c:pt idx="261">
                  <c:v>42090</c:v>
                </c:pt>
                <c:pt idx="262">
                  <c:v>42093</c:v>
                </c:pt>
                <c:pt idx="263">
                  <c:v>42094</c:v>
                </c:pt>
                <c:pt idx="264">
                  <c:v>42095</c:v>
                </c:pt>
                <c:pt idx="265">
                  <c:v>42096</c:v>
                </c:pt>
                <c:pt idx="266">
                  <c:v>42097</c:v>
                </c:pt>
                <c:pt idx="267">
                  <c:v>42100</c:v>
                </c:pt>
                <c:pt idx="268">
                  <c:v>42101</c:v>
                </c:pt>
                <c:pt idx="269">
                  <c:v>42102</c:v>
                </c:pt>
                <c:pt idx="270">
                  <c:v>42103</c:v>
                </c:pt>
                <c:pt idx="271">
                  <c:v>42104</c:v>
                </c:pt>
                <c:pt idx="272">
                  <c:v>42107</c:v>
                </c:pt>
                <c:pt idx="273">
                  <c:v>42108</c:v>
                </c:pt>
                <c:pt idx="274">
                  <c:v>42109</c:v>
                </c:pt>
                <c:pt idx="275">
                  <c:v>42110</c:v>
                </c:pt>
                <c:pt idx="276">
                  <c:v>42111</c:v>
                </c:pt>
                <c:pt idx="277">
                  <c:v>42114</c:v>
                </c:pt>
                <c:pt idx="278">
                  <c:v>42115</c:v>
                </c:pt>
                <c:pt idx="279">
                  <c:v>42116</c:v>
                </c:pt>
                <c:pt idx="280">
                  <c:v>42117</c:v>
                </c:pt>
                <c:pt idx="281">
                  <c:v>42118</c:v>
                </c:pt>
                <c:pt idx="282">
                  <c:v>42121</c:v>
                </c:pt>
                <c:pt idx="283">
                  <c:v>42122</c:v>
                </c:pt>
                <c:pt idx="284">
                  <c:v>42123</c:v>
                </c:pt>
                <c:pt idx="285">
                  <c:v>42124</c:v>
                </c:pt>
                <c:pt idx="286">
                  <c:v>42125</c:v>
                </c:pt>
                <c:pt idx="287">
                  <c:v>42128</c:v>
                </c:pt>
                <c:pt idx="288">
                  <c:v>42129</c:v>
                </c:pt>
                <c:pt idx="289">
                  <c:v>42130</c:v>
                </c:pt>
                <c:pt idx="290">
                  <c:v>42131</c:v>
                </c:pt>
                <c:pt idx="291">
                  <c:v>42132</c:v>
                </c:pt>
                <c:pt idx="292">
                  <c:v>42135</c:v>
                </c:pt>
                <c:pt idx="293">
                  <c:v>42136</c:v>
                </c:pt>
                <c:pt idx="294">
                  <c:v>42137</c:v>
                </c:pt>
                <c:pt idx="295">
                  <c:v>42138</c:v>
                </c:pt>
                <c:pt idx="296">
                  <c:v>42139</c:v>
                </c:pt>
                <c:pt idx="297">
                  <c:v>42142</c:v>
                </c:pt>
                <c:pt idx="298">
                  <c:v>42143</c:v>
                </c:pt>
                <c:pt idx="299">
                  <c:v>42144</c:v>
                </c:pt>
                <c:pt idx="300">
                  <c:v>42145</c:v>
                </c:pt>
                <c:pt idx="301">
                  <c:v>42146</c:v>
                </c:pt>
                <c:pt idx="302">
                  <c:v>42149</c:v>
                </c:pt>
                <c:pt idx="303">
                  <c:v>42150</c:v>
                </c:pt>
                <c:pt idx="304">
                  <c:v>42151</c:v>
                </c:pt>
                <c:pt idx="305">
                  <c:v>42152</c:v>
                </c:pt>
                <c:pt idx="306">
                  <c:v>42153</c:v>
                </c:pt>
                <c:pt idx="307">
                  <c:v>42156</c:v>
                </c:pt>
                <c:pt idx="308">
                  <c:v>42157</c:v>
                </c:pt>
                <c:pt idx="309">
                  <c:v>42158</c:v>
                </c:pt>
                <c:pt idx="310">
                  <c:v>42159</c:v>
                </c:pt>
                <c:pt idx="311">
                  <c:v>42160</c:v>
                </c:pt>
                <c:pt idx="312">
                  <c:v>42163</c:v>
                </c:pt>
                <c:pt idx="313">
                  <c:v>42164</c:v>
                </c:pt>
                <c:pt idx="314">
                  <c:v>42165</c:v>
                </c:pt>
                <c:pt idx="315">
                  <c:v>42166</c:v>
                </c:pt>
                <c:pt idx="316">
                  <c:v>42167</c:v>
                </c:pt>
                <c:pt idx="317">
                  <c:v>42170</c:v>
                </c:pt>
                <c:pt idx="318">
                  <c:v>42171</c:v>
                </c:pt>
                <c:pt idx="319">
                  <c:v>42172</c:v>
                </c:pt>
                <c:pt idx="320">
                  <c:v>42173</c:v>
                </c:pt>
                <c:pt idx="321">
                  <c:v>42174</c:v>
                </c:pt>
                <c:pt idx="322">
                  <c:v>42177</c:v>
                </c:pt>
                <c:pt idx="323">
                  <c:v>42178</c:v>
                </c:pt>
                <c:pt idx="324">
                  <c:v>42179</c:v>
                </c:pt>
                <c:pt idx="325">
                  <c:v>42180</c:v>
                </c:pt>
                <c:pt idx="326">
                  <c:v>42181</c:v>
                </c:pt>
                <c:pt idx="327">
                  <c:v>42184</c:v>
                </c:pt>
                <c:pt idx="328">
                  <c:v>42185</c:v>
                </c:pt>
                <c:pt idx="329">
                  <c:v>42186</c:v>
                </c:pt>
                <c:pt idx="330">
                  <c:v>42187</c:v>
                </c:pt>
                <c:pt idx="331">
                  <c:v>42188</c:v>
                </c:pt>
                <c:pt idx="332">
                  <c:v>42191</c:v>
                </c:pt>
                <c:pt idx="333">
                  <c:v>42192</c:v>
                </c:pt>
                <c:pt idx="334">
                  <c:v>42193</c:v>
                </c:pt>
                <c:pt idx="335">
                  <c:v>42194</c:v>
                </c:pt>
                <c:pt idx="336">
                  <c:v>42195</c:v>
                </c:pt>
                <c:pt idx="337">
                  <c:v>42198</c:v>
                </c:pt>
                <c:pt idx="338">
                  <c:v>42199</c:v>
                </c:pt>
                <c:pt idx="339">
                  <c:v>42200</c:v>
                </c:pt>
                <c:pt idx="340">
                  <c:v>42201</c:v>
                </c:pt>
                <c:pt idx="341">
                  <c:v>42202</c:v>
                </c:pt>
                <c:pt idx="342">
                  <c:v>42205</c:v>
                </c:pt>
                <c:pt idx="343">
                  <c:v>42206</c:v>
                </c:pt>
                <c:pt idx="344">
                  <c:v>42207</c:v>
                </c:pt>
                <c:pt idx="345">
                  <c:v>42208</c:v>
                </c:pt>
                <c:pt idx="346">
                  <c:v>42209</c:v>
                </c:pt>
                <c:pt idx="347">
                  <c:v>42212</c:v>
                </c:pt>
                <c:pt idx="348">
                  <c:v>42213</c:v>
                </c:pt>
                <c:pt idx="349">
                  <c:v>42214</c:v>
                </c:pt>
                <c:pt idx="350">
                  <c:v>42215</c:v>
                </c:pt>
                <c:pt idx="351">
                  <c:v>42216</c:v>
                </c:pt>
                <c:pt idx="352">
                  <c:v>42219</c:v>
                </c:pt>
                <c:pt idx="353">
                  <c:v>42220</c:v>
                </c:pt>
                <c:pt idx="354">
                  <c:v>42221</c:v>
                </c:pt>
                <c:pt idx="355">
                  <c:v>42222</c:v>
                </c:pt>
                <c:pt idx="356">
                  <c:v>42223</c:v>
                </c:pt>
                <c:pt idx="357">
                  <c:v>42226</c:v>
                </c:pt>
                <c:pt idx="358">
                  <c:v>42227</c:v>
                </c:pt>
                <c:pt idx="359">
                  <c:v>42228</c:v>
                </c:pt>
                <c:pt idx="360">
                  <c:v>42229</c:v>
                </c:pt>
                <c:pt idx="361">
                  <c:v>42230</c:v>
                </c:pt>
                <c:pt idx="362">
                  <c:v>42233</c:v>
                </c:pt>
                <c:pt idx="363">
                  <c:v>42234</c:v>
                </c:pt>
                <c:pt idx="364">
                  <c:v>42235</c:v>
                </c:pt>
                <c:pt idx="365">
                  <c:v>42236</c:v>
                </c:pt>
                <c:pt idx="366">
                  <c:v>42237</c:v>
                </c:pt>
                <c:pt idx="367">
                  <c:v>42240</c:v>
                </c:pt>
                <c:pt idx="368">
                  <c:v>42241</c:v>
                </c:pt>
                <c:pt idx="369">
                  <c:v>42242</c:v>
                </c:pt>
                <c:pt idx="370">
                  <c:v>42243</c:v>
                </c:pt>
                <c:pt idx="371">
                  <c:v>42244</c:v>
                </c:pt>
                <c:pt idx="372">
                  <c:v>42247</c:v>
                </c:pt>
                <c:pt idx="373">
                  <c:v>42248</c:v>
                </c:pt>
                <c:pt idx="374">
                  <c:v>42249</c:v>
                </c:pt>
                <c:pt idx="375">
                  <c:v>42250</c:v>
                </c:pt>
                <c:pt idx="376">
                  <c:v>42251</c:v>
                </c:pt>
                <c:pt idx="377">
                  <c:v>42254</c:v>
                </c:pt>
                <c:pt idx="378">
                  <c:v>42255</c:v>
                </c:pt>
                <c:pt idx="379">
                  <c:v>42256</c:v>
                </c:pt>
                <c:pt idx="380">
                  <c:v>42257</c:v>
                </c:pt>
                <c:pt idx="381">
                  <c:v>42258</c:v>
                </c:pt>
                <c:pt idx="382">
                  <c:v>42261</c:v>
                </c:pt>
                <c:pt idx="383">
                  <c:v>42262</c:v>
                </c:pt>
                <c:pt idx="384">
                  <c:v>42263</c:v>
                </c:pt>
                <c:pt idx="385">
                  <c:v>42264</c:v>
                </c:pt>
                <c:pt idx="386">
                  <c:v>42265</c:v>
                </c:pt>
                <c:pt idx="387">
                  <c:v>42268</c:v>
                </c:pt>
                <c:pt idx="388">
                  <c:v>42269</c:v>
                </c:pt>
                <c:pt idx="389">
                  <c:v>42270</c:v>
                </c:pt>
                <c:pt idx="390">
                  <c:v>42271</c:v>
                </c:pt>
                <c:pt idx="391">
                  <c:v>42272</c:v>
                </c:pt>
                <c:pt idx="392">
                  <c:v>42275</c:v>
                </c:pt>
                <c:pt idx="393">
                  <c:v>42276</c:v>
                </c:pt>
                <c:pt idx="394">
                  <c:v>42277</c:v>
                </c:pt>
                <c:pt idx="395">
                  <c:v>42278</c:v>
                </c:pt>
                <c:pt idx="396">
                  <c:v>42279</c:v>
                </c:pt>
                <c:pt idx="397">
                  <c:v>42282</c:v>
                </c:pt>
                <c:pt idx="398">
                  <c:v>42283</c:v>
                </c:pt>
                <c:pt idx="399">
                  <c:v>42284</c:v>
                </c:pt>
                <c:pt idx="400">
                  <c:v>42285</c:v>
                </c:pt>
                <c:pt idx="401">
                  <c:v>42286</c:v>
                </c:pt>
                <c:pt idx="402">
                  <c:v>42289</c:v>
                </c:pt>
                <c:pt idx="403">
                  <c:v>42290</c:v>
                </c:pt>
                <c:pt idx="404">
                  <c:v>42291</c:v>
                </c:pt>
                <c:pt idx="405">
                  <c:v>42292</c:v>
                </c:pt>
                <c:pt idx="406">
                  <c:v>42293</c:v>
                </c:pt>
                <c:pt idx="407">
                  <c:v>42296</c:v>
                </c:pt>
                <c:pt idx="408">
                  <c:v>42297</c:v>
                </c:pt>
                <c:pt idx="409">
                  <c:v>42298</c:v>
                </c:pt>
                <c:pt idx="410">
                  <c:v>42299</c:v>
                </c:pt>
                <c:pt idx="411">
                  <c:v>42300</c:v>
                </c:pt>
                <c:pt idx="412">
                  <c:v>42303</c:v>
                </c:pt>
                <c:pt idx="413">
                  <c:v>42304</c:v>
                </c:pt>
                <c:pt idx="414">
                  <c:v>42305</c:v>
                </c:pt>
                <c:pt idx="415">
                  <c:v>42306</c:v>
                </c:pt>
                <c:pt idx="416">
                  <c:v>42307</c:v>
                </c:pt>
                <c:pt idx="417">
                  <c:v>42310</c:v>
                </c:pt>
                <c:pt idx="418">
                  <c:v>42311</c:v>
                </c:pt>
                <c:pt idx="419">
                  <c:v>42312</c:v>
                </c:pt>
                <c:pt idx="420">
                  <c:v>42313</c:v>
                </c:pt>
                <c:pt idx="421">
                  <c:v>42314</c:v>
                </c:pt>
                <c:pt idx="422">
                  <c:v>42317</c:v>
                </c:pt>
                <c:pt idx="423">
                  <c:v>42318</c:v>
                </c:pt>
                <c:pt idx="424">
                  <c:v>42319</c:v>
                </c:pt>
                <c:pt idx="425">
                  <c:v>42320</c:v>
                </c:pt>
                <c:pt idx="426">
                  <c:v>42321</c:v>
                </c:pt>
                <c:pt idx="427">
                  <c:v>42324</c:v>
                </c:pt>
                <c:pt idx="428">
                  <c:v>42325</c:v>
                </c:pt>
                <c:pt idx="429">
                  <c:v>42326</c:v>
                </c:pt>
                <c:pt idx="430">
                  <c:v>42327</c:v>
                </c:pt>
                <c:pt idx="431">
                  <c:v>42328</c:v>
                </c:pt>
                <c:pt idx="432">
                  <c:v>42331</c:v>
                </c:pt>
                <c:pt idx="433">
                  <c:v>42332</c:v>
                </c:pt>
                <c:pt idx="434">
                  <c:v>42333</c:v>
                </c:pt>
                <c:pt idx="435">
                  <c:v>42334</c:v>
                </c:pt>
                <c:pt idx="436">
                  <c:v>42335</c:v>
                </c:pt>
                <c:pt idx="437">
                  <c:v>42338</c:v>
                </c:pt>
                <c:pt idx="438">
                  <c:v>42339</c:v>
                </c:pt>
                <c:pt idx="439">
                  <c:v>42340</c:v>
                </c:pt>
                <c:pt idx="440">
                  <c:v>42341</c:v>
                </c:pt>
                <c:pt idx="441">
                  <c:v>42342</c:v>
                </c:pt>
                <c:pt idx="442">
                  <c:v>42345</c:v>
                </c:pt>
                <c:pt idx="443">
                  <c:v>42346</c:v>
                </c:pt>
                <c:pt idx="444">
                  <c:v>42347</c:v>
                </c:pt>
                <c:pt idx="445">
                  <c:v>42348</c:v>
                </c:pt>
                <c:pt idx="446">
                  <c:v>42349</c:v>
                </c:pt>
                <c:pt idx="447">
                  <c:v>42352</c:v>
                </c:pt>
                <c:pt idx="448">
                  <c:v>42353</c:v>
                </c:pt>
                <c:pt idx="449">
                  <c:v>42354</c:v>
                </c:pt>
                <c:pt idx="450">
                  <c:v>42355</c:v>
                </c:pt>
                <c:pt idx="451">
                  <c:v>42356</c:v>
                </c:pt>
                <c:pt idx="452">
                  <c:v>42359</c:v>
                </c:pt>
                <c:pt idx="453">
                  <c:v>42360</c:v>
                </c:pt>
                <c:pt idx="454">
                  <c:v>42361</c:v>
                </c:pt>
                <c:pt idx="455">
                  <c:v>42362</c:v>
                </c:pt>
                <c:pt idx="456">
                  <c:v>42363</c:v>
                </c:pt>
                <c:pt idx="457">
                  <c:v>42366</c:v>
                </c:pt>
                <c:pt idx="458">
                  <c:v>42367</c:v>
                </c:pt>
                <c:pt idx="459">
                  <c:v>42368</c:v>
                </c:pt>
                <c:pt idx="460">
                  <c:v>42369</c:v>
                </c:pt>
                <c:pt idx="461">
                  <c:v>42370</c:v>
                </c:pt>
                <c:pt idx="462">
                  <c:v>42373</c:v>
                </c:pt>
                <c:pt idx="463">
                  <c:v>42374</c:v>
                </c:pt>
                <c:pt idx="464">
                  <c:v>42375</c:v>
                </c:pt>
                <c:pt idx="465">
                  <c:v>42376</c:v>
                </c:pt>
                <c:pt idx="466">
                  <c:v>42377</c:v>
                </c:pt>
                <c:pt idx="467">
                  <c:v>42380</c:v>
                </c:pt>
                <c:pt idx="468">
                  <c:v>42381</c:v>
                </c:pt>
                <c:pt idx="469">
                  <c:v>42382</c:v>
                </c:pt>
                <c:pt idx="470">
                  <c:v>42383</c:v>
                </c:pt>
                <c:pt idx="471">
                  <c:v>42384</c:v>
                </c:pt>
                <c:pt idx="472">
                  <c:v>42388</c:v>
                </c:pt>
                <c:pt idx="473">
                  <c:v>42389</c:v>
                </c:pt>
                <c:pt idx="474">
                  <c:v>42390</c:v>
                </c:pt>
                <c:pt idx="475">
                  <c:v>42391</c:v>
                </c:pt>
                <c:pt idx="476">
                  <c:v>42394</c:v>
                </c:pt>
                <c:pt idx="477">
                  <c:v>42395</c:v>
                </c:pt>
                <c:pt idx="478">
                  <c:v>42396</c:v>
                </c:pt>
                <c:pt idx="479">
                  <c:v>42397</c:v>
                </c:pt>
                <c:pt idx="480">
                  <c:v>42398</c:v>
                </c:pt>
                <c:pt idx="481">
                  <c:v>42401</c:v>
                </c:pt>
                <c:pt idx="482">
                  <c:v>42402</c:v>
                </c:pt>
                <c:pt idx="483">
                  <c:v>42403</c:v>
                </c:pt>
                <c:pt idx="484">
                  <c:v>42404</c:v>
                </c:pt>
                <c:pt idx="485">
                  <c:v>42405</c:v>
                </c:pt>
                <c:pt idx="486">
                  <c:v>42408</c:v>
                </c:pt>
                <c:pt idx="487">
                  <c:v>42409</c:v>
                </c:pt>
                <c:pt idx="488">
                  <c:v>42410</c:v>
                </c:pt>
                <c:pt idx="489">
                  <c:v>42411</c:v>
                </c:pt>
                <c:pt idx="490">
                  <c:v>42412</c:v>
                </c:pt>
                <c:pt idx="491">
                  <c:v>42416</c:v>
                </c:pt>
                <c:pt idx="492">
                  <c:v>42417</c:v>
                </c:pt>
                <c:pt idx="493">
                  <c:v>42418</c:v>
                </c:pt>
                <c:pt idx="494">
                  <c:v>42419</c:v>
                </c:pt>
                <c:pt idx="495">
                  <c:v>42422</c:v>
                </c:pt>
                <c:pt idx="496">
                  <c:v>42423</c:v>
                </c:pt>
                <c:pt idx="497">
                  <c:v>42424</c:v>
                </c:pt>
                <c:pt idx="498">
                  <c:v>42425</c:v>
                </c:pt>
                <c:pt idx="499">
                  <c:v>42426</c:v>
                </c:pt>
                <c:pt idx="500">
                  <c:v>42429</c:v>
                </c:pt>
                <c:pt idx="501">
                  <c:v>42430</c:v>
                </c:pt>
                <c:pt idx="502">
                  <c:v>42431</c:v>
                </c:pt>
                <c:pt idx="503">
                  <c:v>42432</c:v>
                </c:pt>
                <c:pt idx="504">
                  <c:v>42433</c:v>
                </c:pt>
                <c:pt idx="505">
                  <c:v>42436</c:v>
                </c:pt>
                <c:pt idx="506">
                  <c:v>42437</c:v>
                </c:pt>
                <c:pt idx="507">
                  <c:v>42438</c:v>
                </c:pt>
                <c:pt idx="508">
                  <c:v>42439</c:v>
                </c:pt>
                <c:pt idx="509">
                  <c:v>42440</c:v>
                </c:pt>
                <c:pt idx="510">
                  <c:v>42443</c:v>
                </c:pt>
                <c:pt idx="511">
                  <c:v>42444</c:v>
                </c:pt>
                <c:pt idx="512">
                  <c:v>42445</c:v>
                </c:pt>
                <c:pt idx="513">
                  <c:v>42446</c:v>
                </c:pt>
                <c:pt idx="514">
                  <c:v>42447</c:v>
                </c:pt>
                <c:pt idx="515">
                  <c:v>42450</c:v>
                </c:pt>
                <c:pt idx="516">
                  <c:v>42451</c:v>
                </c:pt>
                <c:pt idx="517">
                  <c:v>42452</c:v>
                </c:pt>
                <c:pt idx="518">
                  <c:v>42453</c:v>
                </c:pt>
                <c:pt idx="519">
                  <c:v>42457</c:v>
                </c:pt>
                <c:pt idx="520">
                  <c:v>42458</c:v>
                </c:pt>
                <c:pt idx="521">
                  <c:v>42459</c:v>
                </c:pt>
                <c:pt idx="522">
                  <c:v>42460</c:v>
                </c:pt>
                <c:pt idx="523">
                  <c:v>42461</c:v>
                </c:pt>
                <c:pt idx="524">
                  <c:v>42464</c:v>
                </c:pt>
                <c:pt idx="525">
                  <c:v>42465</c:v>
                </c:pt>
                <c:pt idx="526">
                  <c:v>42466</c:v>
                </c:pt>
                <c:pt idx="527">
                  <c:v>42467</c:v>
                </c:pt>
                <c:pt idx="528">
                  <c:v>42468</c:v>
                </c:pt>
                <c:pt idx="529">
                  <c:v>42471</c:v>
                </c:pt>
                <c:pt idx="530">
                  <c:v>42472</c:v>
                </c:pt>
                <c:pt idx="531">
                  <c:v>42473</c:v>
                </c:pt>
                <c:pt idx="532">
                  <c:v>42474</c:v>
                </c:pt>
                <c:pt idx="533">
                  <c:v>42475</c:v>
                </c:pt>
                <c:pt idx="534">
                  <c:v>42478</c:v>
                </c:pt>
                <c:pt idx="535">
                  <c:v>42479</c:v>
                </c:pt>
                <c:pt idx="536">
                  <c:v>42480</c:v>
                </c:pt>
                <c:pt idx="537">
                  <c:v>42481</c:v>
                </c:pt>
                <c:pt idx="538">
                  <c:v>42482</c:v>
                </c:pt>
                <c:pt idx="539">
                  <c:v>42485</c:v>
                </c:pt>
                <c:pt idx="540">
                  <c:v>42486</c:v>
                </c:pt>
                <c:pt idx="541">
                  <c:v>42487</c:v>
                </c:pt>
                <c:pt idx="542">
                  <c:v>42488</c:v>
                </c:pt>
                <c:pt idx="543">
                  <c:v>42489</c:v>
                </c:pt>
                <c:pt idx="544">
                  <c:v>42492</c:v>
                </c:pt>
                <c:pt idx="545">
                  <c:v>42493</c:v>
                </c:pt>
                <c:pt idx="546">
                  <c:v>42494</c:v>
                </c:pt>
                <c:pt idx="547">
                  <c:v>42495</c:v>
                </c:pt>
                <c:pt idx="548">
                  <c:v>42496</c:v>
                </c:pt>
                <c:pt idx="549">
                  <c:v>42499</c:v>
                </c:pt>
                <c:pt idx="550">
                  <c:v>42500</c:v>
                </c:pt>
                <c:pt idx="551">
                  <c:v>42501</c:v>
                </c:pt>
                <c:pt idx="552">
                  <c:v>42502</c:v>
                </c:pt>
                <c:pt idx="553">
                  <c:v>42503</c:v>
                </c:pt>
                <c:pt idx="554">
                  <c:v>42506</c:v>
                </c:pt>
                <c:pt idx="555">
                  <c:v>42507</c:v>
                </c:pt>
                <c:pt idx="556">
                  <c:v>42508</c:v>
                </c:pt>
                <c:pt idx="557">
                  <c:v>42509</c:v>
                </c:pt>
                <c:pt idx="558">
                  <c:v>42510</c:v>
                </c:pt>
                <c:pt idx="559">
                  <c:v>42513</c:v>
                </c:pt>
                <c:pt idx="560">
                  <c:v>42514</c:v>
                </c:pt>
                <c:pt idx="561">
                  <c:v>42515</c:v>
                </c:pt>
                <c:pt idx="562">
                  <c:v>42516</c:v>
                </c:pt>
                <c:pt idx="563">
                  <c:v>42517</c:v>
                </c:pt>
                <c:pt idx="564">
                  <c:v>42521</c:v>
                </c:pt>
                <c:pt idx="565">
                  <c:v>42522</c:v>
                </c:pt>
                <c:pt idx="566">
                  <c:v>42523</c:v>
                </c:pt>
                <c:pt idx="567">
                  <c:v>42524</c:v>
                </c:pt>
                <c:pt idx="568">
                  <c:v>42527</c:v>
                </c:pt>
                <c:pt idx="569">
                  <c:v>42528</c:v>
                </c:pt>
                <c:pt idx="570">
                  <c:v>42529</c:v>
                </c:pt>
                <c:pt idx="571">
                  <c:v>42530</c:v>
                </c:pt>
                <c:pt idx="572">
                  <c:v>42531</c:v>
                </c:pt>
                <c:pt idx="573">
                  <c:v>42534</c:v>
                </c:pt>
                <c:pt idx="574">
                  <c:v>42535</c:v>
                </c:pt>
                <c:pt idx="575">
                  <c:v>42536</c:v>
                </c:pt>
                <c:pt idx="576">
                  <c:v>42537</c:v>
                </c:pt>
                <c:pt idx="577">
                  <c:v>42538</c:v>
                </c:pt>
                <c:pt idx="578">
                  <c:v>42541</c:v>
                </c:pt>
                <c:pt idx="579">
                  <c:v>42542</c:v>
                </c:pt>
                <c:pt idx="580">
                  <c:v>42543</c:v>
                </c:pt>
                <c:pt idx="581">
                  <c:v>42544</c:v>
                </c:pt>
                <c:pt idx="582">
                  <c:v>42545</c:v>
                </c:pt>
                <c:pt idx="583">
                  <c:v>42548</c:v>
                </c:pt>
                <c:pt idx="584">
                  <c:v>42549</c:v>
                </c:pt>
                <c:pt idx="585">
                  <c:v>42550</c:v>
                </c:pt>
                <c:pt idx="586">
                  <c:v>42551</c:v>
                </c:pt>
                <c:pt idx="587">
                  <c:v>42552</c:v>
                </c:pt>
                <c:pt idx="588">
                  <c:v>42556</c:v>
                </c:pt>
                <c:pt idx="589">
                  <c:v>42557</c:v>
                </c:pt>
                <c:pt idx="590">
                  <c:v>42558</c:v>
                </c:pt>
                <c:pt idx="591">
                  <c:v>42559</c:v>
                </c:pt>
                <c:pt idx="592">
                  <c:v>42562</c:v>
                </c:pt>
                <c:pt idx="593">
                  <c:v>42563</c:v>
                </c:pt>
                <c:pt idx="594">
                  <c:v>42564</c:v>
                </c:pt>
                <c:pt idx="595">
                  <c:v>42565</c:v>
                </c:pt>
                <c:pt idx="596">
                  <c:v>42566</c:v>
                </c:pt>
                <c:pt idx="597">
                  <c:v>42569</c:v>
                </c:pt>
                <c:pt idx="598">
                  <c:v>42570</c:v>
                </c:pt>
                <c:pt idx="599">
                  <c:v>42571</c:v>
                </c:pt>
                <c:pt idx="600">
                  <c:v>42572</c:v>
                </c:pt>
                <c:pt idx="601">
                  <c:v>42573</c:v>
                </c:pt>
                <c:pt idx="602">
                  <c:v>42576</c:v>
                </c:pt>
                <c:pt idx="603">
                  <c:v>42577</c:v>
                </c:pt>
                <c:pt idx="604">
                  <c:v>42578</c:v>
                </c:pt>
                <c:pt idx="605">
                  <c:v>42579</c:v>
                </c:pt>
                <c:pt idx="606">
                  <c:v>42580</c:v>
                </c:pt>
                <c:pt idx="607">
                  <c:v>42583</c:v>
                </c:pt>
                <c:pt idx="608">
                  <c:v>42584</c:v>
                </c:pt>
                <c:pt idx="609">
                  <c:v>42585</c:v>
                </c:pt>
                <c:pt idx="610">
                  <c:v>42586</c:v>
                </c:pt>
                <c:pt idx="611">
                  <c:v>42587</c:v>
                </c:pt>
                <c:pt idx="612">
                  <c:v>42590</c:v>
                </c:pt>
                <c:pt idx="613">
                  <c:v>42591</c:v>
                </c:pt>
                <c:pt idx="614">
                  <c:v>42592</c:v>
                </c:pt>
                <c:pt idx="615">
                  <c:v>42593</c:v>
                </c:pt>
                <c:pt idx="616">
                  <c:v>42594</c:v>
                </c:pt>
                <c:pt idx="617">
                  <c:v>42597</c:v>
                </c:pt>
                <c:pt idx="618">
                  <c:v>42598</c:v>
                </c:pt>
                <c:pt idx="619">
                  <c:v>42599</c:v>
                </c:pt>
                <c:pt idx="620">
                  <c:v>42600</c:v>
                </c:pt>
                <c:pt idx="621">
                  <c:v>42601</c:v>
                </c:pt>
                <c:pt idx="622">
                  <c:v>42604</c:v>
                </c:pt>
                <c:pt idx="623">
                  <c:v>42605</c:v>
                </c:pt>
                <c:pt idx="624">
                  <c:v>42606</c:v>
                </c:pt>
                <c:pt idx="625">
                  <c:v>42607</c:v>
                </c:pt>
                <c:pt idx="626">
                  <c:v>42608</c:v>
                </c:pt>
                <c:pt idx="627">
                  <c:v>42611</c:v>
                </c:pt>
                <c:pt idx="628">
                  <c:v>42612</c:v>
                </c:pt>
                <c:pt idx="629">
                  <c:v>42613</c:v>
                </c:pt>
                <c:pt idx="630">
                  <c:v>42614</c:v>
                </c:pt>
                <c:pt idx="631">
                  <c:v>42615</c:v>
                </c:pt>
                <c:pt idx="632">
                  <c:v>42618</c:v>
                </c:pt>
                <c:pt idx="633">
                  <c:v>42619</c:v>
                </c:pt>
                <c:pt idx="634">
                  <c:v>42620</c:v>
                </c:pt>
                <c:pt idx="635">
                  <c:v>42621</c:v>
                </c:pt>
                <c:pt idx="636">
                  <c:v>42622</c:v>
                </c:pt>
                <c:pt idx="637">
                  <c:v>42625</c:v>
                </c:pt>
                <c:pt idx="638">
                  <c:v>42626</c:v>
                </c:pt>
                <c:pt idx="639">
                  <c:v>42627</c:v>
                </c:pt>
                <c:pt idx="640">
                  <c:v>42628</c:v>
                </c:pt>
                <c:pt idx="641">
                  <c:v>42629</c:v>
                </c:pt>
                <c:pt idx="642">
                  <c:v>42632</c:v>
                </c:pt>
                <c:pt idx="643">
                  <c:v>42633</c:v>
                </c:pt>
                <c:pt idx="644">
                  <c:v>42634</c:v>
                </c:pt>
                <c:pt idx="645">
                  <c:v>42635</c:v>
                </c:pt>
                <c:pt idx="646">
                  <c:v>42636</c:v>
                </c:pt>
                <c:pt idx="647">
                  <c:v>42639</c:v>
                </c:pt>
                <c:pt idx="648">
                  <c:v>42640</c:v>
                </c:pt>
                <c:pt idx="649">
                  <c:v>42641</c:v>
                </c:pt>
                <c:pt idx="650">
                  <c:v>42642</c:v>
                </c:pt>
                <c:pt idx="651">
                  <c:v>42643</c:v>
                </c:pt>
                <c:pt idx="652">
                  <c:v>42646</c:v>
                </c:pt>
                <c:pt idx="653">
                  <c:v>42647</c:v>
                </c:pt>
                <c:pt idx="654">
                  <c:v>42648</c:v>
                </c:pt>
                <c:pt idx="655">
                  <c:v>42649</c:v>
                </c:pt>
                <c:pt idx="656">
                  <c:v>42650</c:v>
                </c:pt>
                <c:pt idx="657">
                  <c:v>42653</c:v>
                </c:pt>
                <c:pt idx="658">
                  <c:v>42654</c:v>
                </c:pt>
                <c:pt idx="659">
                  <c:v>42655</c:v>
                </c:pt>
                <c:pt idx="660">
                  <c:v>42656</c:v>
                </c:pt>
                <c:pt idx="661">
                  <c:v>42657</c:v>
                </c:pt>
                <c:pt idx="662">
                  <c:v>42660</c:v>
                </c:pt>
                <c:pt idx="663">
                  <c:v>42661</c:v>
                </c:pt>
                <c:pt idx="664">
                  <c:v>42662</c:v>
                </c:pt>
                <c:pt idx="665">
                  <c:v>42663</c:v>
                </c:pt>
                <c:pt idx="666">
                  <c:v>42664</c:v>
                </c:pt>
                <c:pt idx="667">
                  <c:v>42667</c:v>
                </c:pt>
                <c:pt idx="668">
                  <c:v>42668</c:v>
                </c:pt>
                <c:pt idx="669">
                  <c:v>42669</c:v>
                </c:pt>
                <c:pt idx="670">
                  <c:v>42670</c:v>
                </c:pt>
                <c:pt idx="671">
                  <c:v>42671</c:v>
                </c:pt>
                <c:pt idx="672">
                  <c:v>42674</c:v>
                </c:pt>
                <c:pt idx="673">
                  <c:v>42675</c:v>
                </c:pt>
                <c:pt idx="674">
                  <c:v>42676</c:v>
                </c:pt>
                <c:pt idx="675">
                  <c:v>42677</c:v>
                </c:pt>
                <c:pt idx="676">
                  <c:v>42678</c:v>
                </c:pt>
                <c:pt idx="677">
                  <c:v>42681</c:v>
                </c:pt>
                <c:pt idx="678">
                  <c:v>42682</c:v>
                </c:pt>
                <c:pt idx="679">
                  <c:v>42683</c:v>
                </c:pt>
                <c:pt idx="680">
                  <c:v>42684</c:v>
                </c:pt>
                <c:pt idx="681">
                  <c:v>42685</c:v>
                </c:pt>
                <c:pt idx="682">
                  <c:v>42688</c:v>
                </c:pt>
                <c:pt idx="683">
                  <c:v>42689</c:v>
                </c:pt>
                <c:pt idx="684">
                  <c:v>42690</c:v>
                </c:pt>
                <c:pt idx="685">
                  <c:v>42691</c:v>
                </c:pt>
                <c:pt idx="686">
                  <c:v>42692</c:v>
                </c:pt>
                <c:pt idx="687">
                  <c:v>42695</c:v>
                </c:pt>
                <c:pt idx="688">
                  <c:v>42696</c:v>
                </c:pt>
                <c:pt idx="689">
                  <c:v>42697</c:v>
                </c:pt>
                <c:pt idx="690">
                  <c:v>42698</c:v>
                </c:pt>
                <c:pt idx="691">
                  <c:v>42699</c:v>
                </c:pt>
                <c:pt idx="692">
                  <c:v>42702</c:v>
                </c:pt>
                <c:pt idx="693">
                  <c:v>42703</c:v>
                </c:pt>
                <c:pt idx="694">
                  <c:v>42704</c:v>
                </c:pt>
                <c:pt idx="695">
                  <c:v>42705</c:v>
                </c:pt>
                <c:pt idx="696">
                  <c:v>42706</c:v>
                </c:pt>
                <c:pt idx="697">
                  <c:v>42709</c:v>
                </c:pt>
                <c:pt idx="698">
                  <c:v>42710</c:v>
                </c:pt>
                <c:pt idx="699">
                  <c:v>42711</c:v>
                </c:pt>
                <c:pt idx="700">
                  <c:v>42712</c:v>
                </c:pt>
                <c:pt idx="701">
                  <c:v>42713</c:v>
                </c:pt>
                <c:pt idx="702">
                  <c:v>42716</c:v>
                </c:pt>
                <c:pt idx="703">
                  <c:v>42717</c:v>
                </c:pt>
                <c:pt idx="704">
                  <c:v>42718</c:v>
                </c:pt>
                <c:pt idx="705">
                  <c:v>42719</c:v>
                </c:pt>
                <c:pt idx="706">
                  <c:v>42720</c:v>
                </c:pt>
                <c:pt idx="707">
                  <c:v>42723</c:v>
                </c:pt>
                <c:pt idx="708">
                  <c:v>42724</c:v>
                </c:pt>
                <c:pt idx="709">
                  <c:v>42725</c:v>
                </c:pt>
                <c:pt idx="710">
                  <c:v>42726</c:v>
                </c:pt>
                <c:pt idx="711">
                  <c:v>42727</c:v>
                </c:pt>
                <c:pt idx="712">
                  <c:v>42731</c:v>
                </c:pt>
                <c:pt idx="713">
                  <c:v>42732</c:v>
                </c:pt>
                <c:pt idx="714">
                  <c:v>42733</c:v>
                </c:pt>
                <c:pt idx="715">
                  <c:v>42734</c:v>
                </c:pt>
                <c:pt idx="716">
                  <c:v>42738</c:v>
                </c:pt>
                <c:pt idx="717">
                  <c:v>42739</c:v>
                </c:pt>
                <c:pt idx="718">
                  <c:v>42740</c:v>
                </c:pt>
                <c:pt idx="719">
                  <c:v>42741</c:v>
                </c:pt>
                <c:pt idx="720">
                  <c:v>42744</c:v>
                </c:pt>
                <c:pt idx="721">
                  <c:v>42745</c:v>
                </c:pt>
                <c:pt idx="722">
                  <c:v>42746</c:v>
                </c:pt>
                <c:pt idx="723">
                  <c:v>42747</c:v>
                </c:pt>
                <c:pt idx="724">
                  <c:v>42748</c:v>
                </c:pt>
                <c:pt idx="725">
                  <c:v>42752</c:v>
                </c:pt>
                <c:pt idx="726">
                  <c:v>42753</c:v>
                </c:pt>
                <c:pt idx="727">
                  <c:v>42754</c:v>
                </c:pt>
                <c:pt idx="728">
                  <c:v>42755</c:v>
                </c:pt>
                <c:pt idx="729">
                  <c:v>42758</c:v>
                </c:pt>
                <c:pt idx="730">
                  <c:v>42759</c:v>
                </c:pt>
                <c:pt idx="731">
                  <c:v>42760</c:v>
                </c:pt>
                <c:pt idx="732">
                  <c:v>42761</c:v>
                </c:pt>
                <c:pt idx="733">
                  <c:v>42762</c:v>
                </c:pt>
                <c:pt idx="734">
                  <c:v>42765</c:v>
                </c:pt>
                <c:pt idx="735">
                  <c:v>42766</c:v>
                </c:pt>
                <c:pt idx="736">
                  <c:v>42767</c:v>
                </c:pt>
                <c:pt idx="737">
                  <c:v>42768</c:v>
                </c:pt>
                <c:pt idx="738">
                  <c:v>42769</c:v>
                </c:pt>
                <c:pt idx="739">
                  <c:v>42772</c:v>
                </c:pt>
                <c:pt idx="740">
                  <c:v>42773</c:v>
                </c:pt>
                <c:pt idx="741">
                  <c:v>42774</c:v>
                </c:pt>
                <c:pt idx="742">
                  <c:v>42775</c:v>
                </c:pt>
                <c:pt idx="743">
                  <c:v>42776</c:v>
                </c:pt>
                <c:pt idx="744">
                  <c:v>42779</c:v>
                </c:pt>
                <c:pt idx="745">
                  <c:v>42780</c:v>
                </c:pt>
                <c:pt idx="746">
                  <c:v>42781</c:v>
                </c:pt>
                <c:pt idx="747">
                  <c:v>42782</c:v>
                </c:pt>
                <c:pt idx="748">
                  <c:v>42783</c:v>
                </c:pt>
                <c:pt idx="749">
                  <c:v>42787</c:v>
                </c:pt>
                <c:pt idx="750">
                  <c:v>42788</c:v>
                </c:pt>
                <c:pt idx="751">
                  <c:v>42789</c:v>
                </c:pt>
                <c:pt idx="752">
                  <c:v>42790</c:v>
                </c:pt>
                <c:pt idx="753">
                  <c:v>42793</c:v>
                </c:pt>
                <c:pt idx="754">
                  <c:v>42794</c:v>
                </c:pt>
                <c:pt idx="755">
                  <c:v>42795</c:v>
                </c:pt>
                <c:pt idx="756">
                  <c:v>42796</c:v>
                </c:pt>
                <c:pt idx="757">
                  <c:v>42797</c:v>
                </c:pt>
                <c:pt idx="758">
                  <c:v>42800</c:v>
                </c:pt>
                <c:pt idx="759">
                  <c:v>42801</c:v>
                </c:pt>
                <c:pt idx="760">
                  <c:v>42802</c:v>
                </c:pt>
                <c:pt idx="761">
                  <c:v>42803</c:v>
                </c:pt>
                <c:pt idx="762">
                  <c:v>42804</c:v>
                </c:pt>
                <c:pt idx="763">
                  <c:v>42807</c:v>
                </c:pt>
                <c:pt idx="764">
                  <c:v>42808</c:v>
                </c:pt>
                <c:pt idx="765">
                  <c:v>42809</c:v>
                </c:pt>
                <c:pt idx="766">
                  <c:v>42810</c:v>
                </c:pt>
                <c:pt idx="767">
                  <c:v>42811</c:v>
                </c:pt>
                <c:pt idx="768">
                  <c:v>42814</c:v>
                </c:pt>
                <c:pt idx="769">
                  <c:v>42815</c:v>
                </c:pt>
                <c:pt idx="770">
                  <c:v>42816</c:v>
                </c:pt>
                <c:pt idx="771">
                  <c:v>42817</c:v>
                </c:pt>
                <c:pt idx="772">
                  <c:v>42818</c:v>
                </c:pt>
                <c:pt idx="773">
                  <c:v>42821</c:v>
                </c:pt>
                <c:pt idx="774">
                  <c:v>42822</c:v>
                </c:pt>
                <c:pt idx="775">
                  <c:v>42823</c:v>
                </c:pt>
                <c:pt idx="776">
                  <c:v>42824</c:v>
                </c:pt>
                <c:pt idx="777">
                  <c:v>42825</c:v>
                </c:pt>
                <c:pt idx="778">
                  <c:v>42828</c:v>
                </c:pt>
                <c:pt idx="779">
                  <c:v>42829</c:v>
                </c:pt>
                <c:pt idx="780">
                  <c:v>42830</c:v>
                </c:pt>
                <c:pt idx="781">
                  <c:v>42831</c:v>
                </c:pt>
                <c:pt idx="782">
                  <c:v>42832</c:v>
                </c:pt>
                <c:pt idx="783">
                  <c:v>42835</c:v>
                </c:pt>
                <c:pt idx="784">
                  <c:v>42836</c:v>
                </c:pt>
                <c:pt idx="785">
                  <c:v>42837</c:v>
                </c:pt>
                <c:pt idx="786">
                  <c:v>42838</c:v>
                </c:pt>
                <c:pt idx="787">
                  <c:v>42842</c:v>
                </c:pt>
                <c:pt idx="788">
                  <c:v>42843</c:v>
                </c:pt>
                <c:pt idx="789">
                  <c:v>42844</c:v>
                </c:pt>
                <c:pt idx="790">
                  <c:v>42845</c:v>
                </c:pt>
                <c:pt idx="791">
                  <c:v>42846</c:v>
                </c:pt>
                <c:pt idx="792">
                  <c:v>42849</c:v>
                </c:pt>
                <c:pt idx="793">
                  <c:v>42850</c:v>
                </c:pt>
                <c:pt idx="794">
                  <c:v>42851</c:v>
                </c:pt>
                <c:pt idx="795">
                  <c:v>42852</c:v>
                </c:pt>
                <c:pt idx="796">
                  <c:v>42853</c:v>
                </c:pt>
                <c:pt idx="797">
                  <c:v>42856</c:v>
                </c:pt>
                <c:pt idx="798">
                  <c:v>42857</c:v>
                </c:pt>
                <c:pt idx="799">
                  <c:v>42858</c:v>
                </c:pt>
                <c:pt idx="800">
                  <c:v>42859</c:v>
                </c:pt>
                <c:pt idx="801">
                  <c:v>42860</c:v>
                </c:pt>
                <c:pt idx="802">
                  <c:v>42863</c:v>
                </c:pt>
                <c:pt idx="803">
                  <c:v>42864</c:v>
                </c:pt>
                <c:pt idx="804">
                  <c:v>42865</c:v>
                </c:pt>
                <c:pt idx="805">
                  <c:v>42866</c:v>
                </c:pt>
                <c:pt idx="806">
                  <c:v>42867</c:v>
                </c:pt>
                <c:pt idx="807">
                  <c:v>42870</c:v>
                </c:pt>
                <c:pt idx="808">
                  <c:v>42871</c:v>
                </c:pt>
                <c:pt idx="809">
                  <c:v>42872</c:v>
                </c:pt>
                <c:pt idx="810">
                  <c:v>42873</c:v>
                </c:pt>
                <c:pt idx="811">
                  <c:v>42874</c:v>
                </c:pt>
                <c:pt idx="812">
                  <c:v>42877</c:v>
                </c:pt>
                <c:pt idx="813">
                  <c:v>42878</c:v>
                </c:pt>
                <c:pt idx="814">
                  <c:v>42879</c:v>
                </c:pt>
                <c:pt idx="815">
                  <c:v>42880</c:v>
                </c:pt>
                <c:pt idx="816">
                  <c:v>42881</c:v>
                </c:pt>
                <c:pt idx="817">
                  <c:v>42885</c:v>
                </c:pt>
                <c:pt idx="818">
                  <c:v>42886</c:v>
                </c:pt>
                <c:pt idx="819">
                  <c:v>42887</c:v>
                </c:pt>
                <c:pt idx="820">
                  <c:v>42888</c:v>
                </c:pt>
                <c:pt idx="821">
                  <c:v>42891</c:v>
                </c:pt>
                <c:pt idx="822">
                  <c:v>42892</c:v>
                </c:pt>
                <c:pt idx="823">
                  <c:v>42893</c:v>
                </c:pt>
                <c:pt idx="824">
                  <c:v>42894</c:v>
                </c:pt>
                <c:pt idx="825">
                  <c:v>42895</c:v>
                </c:pt>
                <c:pt idx="826">
                  <c:v>42898</c:v>
                </c:pt>
                <c:pt idx="827">
                  <c:v>42899</c:v>
                </c:pt>
                <c:pt idx="828">
                  <c:v>42900</c:v>
                </c:pt>
                <c:pt idx="829">
                  <c:v>42901</c:v>
                </c:pt>
                <c:pt idx="830">
                  <c:v>42902</c:v>
                </c:pt>
                <c:pt idx="831">
                  <c:v>42905</c:v>
                </c:pt>
                <c:pt idx="832">
                  <c:v>42906</c:v>
                </c:pt>
                <c:pt idx="833">
                  <c:v>42907</c:v>
                </c:pt>
                <c:pt idx="834">
                  <c:v>42908</c:v>
                </c:pt>
                <c:pt idx="835">
                  <c:v>42909</c:v>
                </c:pt>
                <c:pt idx="836">
                  <c:v>42912</c:v>
                </c:pt>
                <c:pt idx="837">
                  <c:v>42913</c:v>
                </c:pt>
                <c:pt idx="838">
                  <c:v>42914</c:v>
                </c:pt>
                <c:pt idx="839">
                  <c:v>42915</c:v>
                </c:pt>
                <c:pt idx="840">
                  <c:v>42916</c:v>
                </c:pt>
                <c:pt idx="841">
                  <c:v>42919</c:v>
                </c:pt>
                <c:pt idx="842">
                  <c:v>42921</c:v>
                </c:pt>
                <c:pt idx="843">
                  <c:v>42922</c:v>
                </c:pt>
                <c:pt idx="844">
                  <c:v>42923</c:v>
                </c:pt>
                <c:pt idx="845">
                  <c:v>42926</c:v>
                </c:pt>
                <c:pt idx="846">
                  <c:v>42927</c:v>
                </c:pt>
                <c:pt idx="847">
                  <c:v>42928</c:v>
                </c:pt>
                <c:pt idx="848">
                  <c:v>42929</c:v>
                </c:pt>
                <c:pt idx="849">
                  <c:v>42930</c:v>
                </c:pt>
                <c:pt idx="850">
                  <c:v>42933</c:v>
                </c:pt>
                <c:pt idx="851">
                  <c:v>42934</c:v>
                </c:pt>
                <c:pt idx="852">
                  <c:v>42935</c:v>
                </c:pt>
                <c:pt idx="853">
                  <c:v>42936</c:v>
                </c:pt>
                <c:pt idx="854">
                  <c:v>42937</c:v>
                </c:pt>
                <c:pt idx="855">
                  <c:v>42940</c:v>
                </c:pt>
                <c:pt idx="856">
                  <c:v>42941</c:v>
                </c:pt>
                <c:pt idx="857">
                  <c:v>42942</c:v>
                </c:pt>
                <c:pt idx="858">
                  <c:v>42943</c:v>
                </c:pt>
                <c:pt idx="859">
                  <c:v>42944</c:v>
                </c:pt>
                <c:pt idx="860">
                  <c:v>42947</c:v>
                </c:pt>
                <c:pt idx="861">
                  <c:v>42948</c:v>
                </c:pt>
                <c:pt idx="862">
                  <c:v>42949</c:v>
                </c:pt>
                <c:pt idx="863">
                  <c:v>42950</c:v>
                </c:pt>
                <c:pt idx="864">
                  <c:v>42951</c:v>
                </c:pt>
                <c:pt idx="865">
                  <c:v>42954</c:v>
                </c:pt>
                <c:pt idx="866">
                  <c:v>42955</c:v>
                </c:pt>
                <c:pt idx="867">
                  <c:v>42956</c:v>
                </c:pt>
                <c:pt idx="868">
                  <c:v>42957</c:v>
                </c:pt>
                <c:pt idx="869">
                  <c:v>42958</c:v>
                </c:pt>
                <c:pt idx="870">
                  <c:v>42961</c:v>
                </c:pt>
                <c:pt idx="871">
                  <c:v>42962</c:v>
                </c:pt>
                <c:pt idx="872">
                  <c:v>42963</c:v>
                </c:pt>
                <c:pt idx="873">
                  <c:v>42964</c:v>
                </c:pt>
                <c:pt idx="874">
                  <c:v>42965</c:v>
                </c:pt>
                <c:pt idx="875">
                  <c:v>42968</c:v>
                </c:pt>
                <c:pt idx="876">
                  <c:v>42969</c:v>
                </c:pt>
                <c:pt idx="877">
                  <c:v>42970</c:v>
                </c:pt>
                <c:pt idx="878">
                  <c:v>42971</c:v>
                </c:pt>
                <c:pt idx="879">
                  <c:v>42972</c:v>
                </c:pt>
                <c:pt idx="880">
                  <c:v>42975</c:v>
                </c:pt>
                <c:pt idx="881">
                  <c:v>42976</c:v>
                </c:pt>
                <c:pt idx="882">
                  <c:v>42977</c:v>
                </c:pt>
                <c:pt idx="883">
                  <c:v>42978</c:v>
                </c:pt>
                <c:pt idx="884">
                  <c:v>42979</c:v>
                </c:pt>
                <c:pt idx="885">
                  <c:v>42983</c:v>
                </c:pt>
                <c:pt idx="886">
                  <c:v>42984</c:v>
                </c:pt>
                <c:pt idx="887">
                  <c:v>42985</c:v>
                </c:pt>
                <c:pt idx="888">
                  <c:v>42986</c:v>
                </c:pt>
                <c:pt idx="889">
                  <c:v>42989</c:v>
                </c:pt>
                <c:pt idx="890">
                  <c:v>42990</c:v>
                </c:pt>
                <c:pt idx="891">
                  <c:v>42991</c:v>
                </c:pt>
                <c:pt idx="892">
                  <c:v>42992</c:v>
                </c:pt>
                <c:pt idx="893">
                  <c:v>42993</c:v>
                </c:pt>
                <c:pt idx="894">
                  <c:v>42996</c:v>
                </c:pt>
                <c:pt idx="895">
                  <c:v>42997</c:v>
                </c:pt>
                <c:pt idx="896">
                  <c:v>42998</c:v>
                </c:pt>
                <c:pt idx="897">
                  <c:v>42999</c:v>
                </c:pt>
                <c:pt idx="898">
                  <c:v>43000</c:v>
                </c:pt>
                <c:pt idx="899">
                  <c:v>43003</c:v>
                </c:pt>
                <c:pt idx="900">
                  <c:v>43004</c:v>
                </c:pt>
                <c:pt idx="901">
                  <c:v>43005</c:v>
                </c:pt>
                <c:pt idx="902">
                  <c:v>43006</c:v>
                </c:pt>
                <c:pt idx="903">
                  <c:v>43007</c:v>
                </c:pt>
                <c:pt idx="904">
                  <c:v>43010</c:v>
                </c:pt>
                <c:pt idx="905">
                  <c:v>43011</c:v>
                </c:pt>
                <c:pt idx="906">
                  <c:v>43012</c:v>
                </c:pt>
                <c:pt idx="907">
                  <c:v>43013</c:v>
                </c:pt>
                <c:pt idx="908">
                  <c:v>43014</c:v>
                </c:pt>
                <c:pt idx="909">
                  <c:v>43017</c:v>
                </c:pt>
                <c:pt idx="910">
                  <c:v>43018</c:v>
                </c:pt>
                <c:pt idx="911">
                  <c:v>43019</c:v>
                </c:pt>
                <c:pt idx="912">
                  <c:v>43020</c:v>
                </c:pt>
                <c:pt idx="913">
                  <c:v>43021</c:v>
                </c:pt>
                <c:pt idx="914">
                  <c:v>43024</c:v>
                </c:pt>
                <c:pt idx="915">
                  <c:v>43025</c:v>
                </c:pt>
                <c:pt idx="916">
                  <c:v>43026</c:v>
                </c:pt>
                <c:pt idx="917">
                  <c:v>43027</c:v>
                </c:pt>
                <c:pt idx="918">
                  <c:v>43028</c:v>
                </c:pt>
                <c:pt idx="919">
                  <c:v>43031</c:v>
                </c:pt>
                <c:pt idx="920">
                  <c:v>43032</c:v>
                </c:pt>
                <c:pt idx="921">
                  <c:v>43033</c:v>
                </c:pt>
                <c:pt idx="922">
                  <c:v>43034</c:v>
                </c:pt>
                <c:pt idx="923">
                  <c:v>43035</c:v>
                </c:pt>
                <c:pt idx="924">
                  <c:v>43038</c:v>
                </c:pt>
                <c:pt idx="925">
                  <c:v>43039</c:v>
                </c:pt>
                <c:pt idx="926">
                  <c:v>43040</c:v>
                </c:pt>
                <c:pt idx="927">
                  <c:v>43041</c:v>
                </c:pt>
                <c:pt idx="928">
                  <c:v>43042</c:v>
                </c:pt>
                <c:pt idx="929">
                  <c:v>43045</c:v>
                </c:pt>
                <c:pt idx="930">
                  <c:v>43046</c:v>
                </c:pt>
                <c:pt idx="931">
                  <c:v>43047</c:v>
                </c:pt>
                <c:pt idx="932">
                  <c:v>43048</c:v>
                </c:pt>
                <c:pt idx="933">
                  <c:v>43049</c:v>
                </c:pt>
                <c:pt idx="934">
                  <c:v>43052</c:v>
                </c:pt>
                <c:pt idx="935">
                  <c:v>43053</c:v>
                </c:pt>
                <c:pt idx="936">
                  <c:v>43054</c:v>
                </c:pt>
                <c:pt idx="937">
                  <c:v>43055</c:v>
                </c:pt>
                <c:pt idx="938">
                  <c:v>43056</c:v>
                </c:pt>
                <c:pt idx="939">
                  <c:v>43059</c:v>
                </c:pt>
                <c:pt idx="940">
                  <c:v>43060</c:v>
                </c:pt>
                <c:pt idx="941">
                  <c:v>43061</c:v>
                </c:pt>
                <c:pt idx="942">
                  <c:v>43063</c:v>
                </c:pt>
                <c:pt idx="943">
                  <c:v>43066</c:v>
                </c:pt>
                <c:pt idx="944">
                  <c:v>43067</c:v>
                </c:pt>
                <c:pt idx="945">
                  <c:v>43068</c:v>
                </c:pt>
                <c:pt idx="946">
                  <c:v>43069</c:v>
                </c:pt>
                <c:pt idx="947">
                  <c:v>43070</c:v>
                </c:pt>
                <c:pt idx="948">
                  <c:v>43073</c:v>
                </c:pt>
                <c:pt idx="949">
                  <c:v>43074</c:v>
                </c:pt>
                <c:pt idx="950">
                  <c:v>43075</c:v>
                </c:pt>
                <c:pt idx="951">
                  <c:v>43076</c:v>
                </c:pt>
                <c:pt idx="952">
                  <c:v>43077</c:v>
                </c:pt>
                <c:pt idx="953">
                  <c:v>43080</c:v>
                </c:pt>
                <c:pt idx="954">
                  <c:v>43081</c:v>
                </c:pt>
                <c:pt idx="955">
                  <c:v>43082</c:v>
                </c:pt>
                <c:pt idx="956">
                  <c:v>43083</c:v>
                </c:pt>
                <c:pt idx="957">
                  <c:v>43084</c:v>
                </c:pt>
                <c:pt idx="958">
                  <c:v>43087</c:v>
                </c:pt>
                <c:pt idx="959">
                  <c:v>43088</c:v>
                </c:pt>
                <c:pt idx="960">
                  <c:v>43089</c:v>
                </c:pt>
                <c:pt idx="961">
                  <c:v>43090</c:v>
                </c:pt>
                <c:pt idx="962">
                  <c:v>43091</c:v>
                </c:pt>
                <c:pt idx="963">
                  <c:v>43095</c:v>
                </c:pt>
                <c:pt idx="964">
                  <c:v>43096</c:v>
                </c:pt>
                <c:pt idx="965">
                  <c:v>43097</c:v>
                </c:pt>
                <c:pt idx="966">
                  <c:v>43098</c:v>
                </c:pt>
                <c:pt idx="967">
                  <c:v>43102</c:v>
                </c:pt>
                <c:pt idx="968">
                  <c:v>43103</c:v>
                </c:pt>
                <c:pt idx="969">
                  <c:v>43104</c:v>
                </c:pt>
                <c:pt idx="970">
                  <c:v>43105</c:v>
                </c:pt>
                <c:pt idx="971">
                  <c:v>43108</c:v>
                </c:pt>
                <c:pt idx="972">
                  <c:v>43109</c:v>
                </c:pt>
                <c:pt idx="973">
                  <c:v>43110</c:v>
                </c:pt>
                <c:pt idx="974">
                  <c:v>43111</c:v>
                </c:pt>
                <c:pt idx="975">
                  <c:v>43112</c:v>
                </c:pt>
                <c:pt idx="976">
                  <c:v>43116</c:v>
                </c:pt>
                <c:pt idx="977">
                  <c:v>43117</c:v>
                </c:pt>
                <c:pt idx="978">
                  <c:v>43118</c:v>
                </c:pt>
                <c:pt idx="979">
                  <c:v>43119</c:v>
                </c:pt>
                <c:pt idx="980">
                  <c:v>43122</c:v>
                </c:pt>
                <c:pt idx="981">
                  <c:v>43123</c:v>
                </c:pt>
                <c:pt idx="982">
                  <c:v>43124</c:v>
                </c:pt>
                <c:pt idx="983">
                  <c:v>43125</c:v>
                </c:pt>
                <c:pt idx="984">
                  <c:v>43126</c:v>
                </c:pt>
                <c:pt idx="985">
                  <c:v>43129</c:v>
                </c:pt>
                <c:pt idx="986">
                  <c:v>43130</c:v>
                </c:pt>
                <c:pt idx="987">
                  <c:v>43131</c:v>
                </c:pt>
                <c:pt idx="988">
                  <c:v>43132</c:v>
                </c:pt>
                <c:pt idx="989">
                  <c:v>43133</c:v>
                </c:pt>
                <c:pt idx="990">
                  <c:v>43136</c:v>
                </c:pt>
                <c:pt idx="991">
                  <c:v>43137</c:v>
                </c:pt>
                <c:pt idx="992">
                  <c:v>43138</c:v>
                </c:pt>
                <c:pt idx="993">
                  <c:v>43139</c:v>
                </c:pt>
                <c:pt idx="994">
                  <c:v>43140</c:v>
                </c:pt>
                <c:pt idx="995">
                  <c:v>43143</c:v>
                </c:pt>
                <c:pt idx="996">
                  <c:v>43144</c:v>
                </c:pt>
                <c:pt idx="997">
                  <c:v>43145</c:v>
                </c:pt>
                <c:pt idx="998">
                  <c:v>43146</c:v>
                </c:pt>
                <c:pt idx="999">
                  <c:v>43147</c:v>
                </c:pt>
                <c:pt idx="1000">
                  <c:v>43151</c:v>
                </c:pt>
                <c:pt idx="1001">
                  <c:v>43152</c:v>
                </c:pt>
                <c:pt idx="1002">
                  <c:v>43153</c:v>
                </c:pt>
                <c:pt idx="1003">
                  <c:v>43154</c:v>
                </c:pt>
                <c:pt idx="1004">
                  <c:v>43157</c:v>
                </c:pt>
                <c:pt idx="1005">
                  <c:v>43158</c:v>
                </c:pt>
                <c:pt idx="1006">
                  <c:v>43159</c:v>
                </c:pt>
                <c:pt idx="1007">
                  <c:v>43160</c:v>
                </c:pt>
                <c:pt idx="1008">
                  <c:v>43161</c:v>
                </c:pt>
                <c:pt idx="1009">
                  <c:v>43164</c:v>
                </c:pt>
                <c:pt idx="1010">
                  <c:v>43165</c:v>
                </c:pt>
                <c:pt idx="1011">
                  <c:v>43166</c:v>
                </c:pt>
                <c:pt idx="1012">
                  <c:v>43167</c:v>
                </c:pt>
                <c:pt idx="1013">
                  <c:v>43168</c:v>
                </c:pt>
                <c:pt idx="1014">
                  <c:v>43171</c:v>
                </c:pt>
                <c:pt idx="1015">
                  <c:v>43172</c:v>
                </c:pt>
                <c:pt idx="1016">
                  <c:v>43173</c:v>
                </c:pt>
                <c:pt idx="1017">
                  <c:v>43174</c:v>
                </c:pt>
                <c:pt idx="1018">
                  <c:v>43175</c:v>
                </c:pt>
                <c:pt idx="1019">
                  <c:v>43178</c:v>
                </c:pt>
                <c:pt idx="1020">
                  <c:v>43179</c:v>
                </c:pt>
                <c:pt idx="1021">
                  <c:v>43180</c:v>
                </c:pt>
                <c:pt idx="1022">
                  <c:v>43181</c:v>
                </c:pt>
                <c:pt idx="1023">
                  <c:v>43182</c:v>
                </c:pt>
                <c:pt idx="1024">
                  <c:v>43185</c:v>
                </c:pt>
                <c:pt idx="1025">
                  <c:v>43186</c:v>
                </c:pt>
                <c:pt idx="1026">
                  <c:v>43187</c:v>
                </c:pt>
                <c:pt idx="1027">
                  <c:v>43188</c:v>
                </c:pt>
                <c:pt idx="1028">
                  <c:v>43192</c:v>
                </c:pt>
              </c:numCache>
            </c:numRef>
          </c:cat>
          <c:val>
            <c:numRef>
              <c:f>'20 &amp;50 -days MA'!$D$24:$D$1082</c:f>
              <c:numCache>
                <c:formatCode>0.00</c:formatCode>
                <c:ptCount val="1059"/>
                <c:pt idx="0">
                  <c:v>94.470499999999987</c:v>
                </c:pt>
                <c:pt idx="1">
                  <c:v>94.590999999999994</c:v>
                </c:pt>
                <c:pt idx="2">
                  <c:v>94.72999999999999</c:v>
                </c:pt>
                <c:pt idx="3">
                  <c:v>94.935999999999993</c:v>
                </c:pt>
                <c:pt idx="4">
                  <c:v>95.140500000000003</c:v>
                </c:pt>
                <c:pt idx="5">
                  <c:v>95.4375</c:v>
                </c:pt>
                <c:pt idx="6">
                  <c:v>95.868499999999997</c:v>
                </c:pt>
                <c:pt idx="7">
                  <c:v>96.254999999999995</c:v>
                </c:pt>
                <c:pt idx="8">
                  <c:v>96.680500000000009</c:v>
                </c:pt>
                <c:pt idx="9">
                  <c:v>97.092000000000013</c:v>
                </c:pt>
                <c:pt idx="10">
                  <c:v>97.416500000000013</c:v>
                </c:pt>
                <c:pt idx="11">
                  <c:v>97.754999999999995</c:v>
                </c:pt>
                <c:pt idx="12">
                  <c:v>98.183999999999997</c:v>
                </c:pt>
                <c:pt idx="13">
                  <c:v>98.631500000000003</c:v>
                </c:pt>
                <c:pt idx="14">
                  <c:v>98.974000000000018</c:v>
                </c:pt>
                <c:pt idx="15">
                  <c:v>99.239000000000004</c:v>
                </c:pt>
                <c:pt idx="16">
                  <c:v>99.564499999999995</c:v>
                </c:pt>
                <c:pt idx="17">
                  <c:v>99.883499999999998</c:v>
                </c:pt>
                <c:pt idx="18">
                  <c:v>100.1555</c:v>
                </c:pt>
                <c:pt idx="19">
                  <c:v>100.42250000000001</c:v>
                </c:pt>
                <c:pt idx="20">
                  <c:v>100.65400000000002</c:v>
                </c:pt>
                <c:pt idx="21">
                  <c:v>101.04350000000001</c:v>
                </c:pt>
                <c:pt idx="22">
                  <c:v>101.40350000000001</c:v>
                </c:pt>
                <c:pt idx="23">
                  <c:v>101.62900000000002</c:v>
                </c:pt>
                <c:pt idx="24">
                  <c:v>101.85000000000001</c:v>
                </c:pt>
                <c:pt idx="25">
                  <c:v>102.099</c:v>
                </c:pt>
                <c:pt idx="26">
                  <c:v>102.1695</c:v>
                </c:pt>
                <c:pt idx="27">
                  <c:v>102.17800000000001</c:v>
                </c:pt>
                <c:pt idx="28">
                  <c:v>102.09450000000001</c:v>
                </c:pt>
                <c:pt idx="29">
                  <c:v>102.00399999999999</c:v>
                </c:pt>
                <c:pt idx="30">
                  <c:v>101.952</c:v>
                </c:pt>
                <c:pt idx="31">
                  <c:v>101.858</c:v>
                </c:pt>
                <c:pt idx="32">
                  <c:v>101.735</c:v>
                </c:pt>
                <c:pt idx="33">
                  <c:v>101.5975</c:v>
                </c:pt>
                <c:pt idx="34">
                  <c:v>101.42150000000001</c:v>
                </c:pt>
                <c:pt idx="35">
                  <c:v>101.29350000000001</c:v>
                </c:pt>
                <c:pt idx="36">
                  <c:v>101.1375</c:v>
                </c:pt>
                <c:pt idx="37">
                  <c:v>101.01050000000001</c:v>
                </c:pt>
                <c:pt idx="38">
                  <c:v>100.89449999999999</c:v>
                </c:pt>
                <c:pt idx="39">
                  <c:v>100.82300000000001</c:v>
                </c:pt>
                <c:pt idx="40">
                  <c:v>100.7655</c:v>
                </c:pt>
                <c:pt idx="41">
                  <c:v>100.577</c:v>
                </c:pt>
                <c:pt idx="42">
                  <c:v>100.37950000000001</c:v>
                </c:pt>
                <c:pt idx="43">
                  <c:v>100.27200000000001</c:v>
                </c:pt>
                <c:pt idx="44">
                  <c:v>100.1955</c:v>
                </c:pt>
                <c:pt idx="45">
                  <c:v>100.1125</c:v>
                </c:pt>
                <c:pt idx="46">
                  <c:v>100.0645</c:v>
                </c:pt>
                <c:pt idx="47">
                  <c:v>100.1785</c:v>
                </c:pt>
                <c:pt idx="48">
                  <c:v>100.44149999999999</c:v>
                </c:pt>
                <c:pt idx="49">
                  <c:v>100.68149999999999</c:v>
                </c:pt>
                <c:pt idx="50">
                  <c:v>100.90400000000001</c:v>
                </c:pt>
                <c:pt idx="51">
                  <c:v>101.18500000000002</c:v>
                </c:pt>
                <c:pt idx="52">
                  <c:v>101.366</c:v>
                </c:pt>
                <c:pt idx="53">
                  <c:v>101.51600000000002</c:v>
                </c:pt>
                <c:pt idx="54">
                  <c:v>101.74850000000001</c:v>
                </c:pt>
                <c:pt idx="55">
                  <c:v>101.96749999999999</c:v>
                </c:pt>
                <c:pt idx="56">
                  <c:v>102.04949999999999</c:v>
                </c:pt>
                <c:pt idx="57">
                  <c:v>102.13999999999999</c:v>
                </c:pt>
                <c:pt idx="58">
                  <c:v>102.21950000000001</c:v>
                </c:pt>
                <c:pt idx="59">
                  <c:v>102.19949999999999</c:v>
                </c:pt>
                <c:pt idx="60">
                  <c:v>102.1695</c:v>
                </c:pt>
                <c:pt idx="61">
                  <c:v>102.16899999999998</c:v>
                </c:pt>
                <c:pt idx="62">
                  <c:v>102.18799999999997</c:v>
                </c:pt>
                <c:pt idx="63">
                  <c:v>102.19249999999998</c:v>
                </c:pt>
                <c:pt idx="64">
                  <c:v>102.18249999999998</c:v>
                </c:pt>
                <c:pt idx="65">
                  <c:v>102.11149999999999</c:v>
                </c:pt>
                <c:pt idx="66">
                  <c:v>102.0805</c:v>
                </c:pt>
                <c:pt idx="67">
                  <c:v>102.00499999999998</c:v>
                </c:pt>
                <c:pt idx="68">
                  <c:v>101.8535</c:v>
                </c:pt>
                <c:pt idx="69">
                  <c:v>101.70099999999998</c:v>
                </c:pt>
                <c:pt idx="70">
                  <c:v>101.5615</c:v>
                </c:pt>
                <c:pt idx="71">
                  <c:v>101.45949999999999</c:v>
                </c:pt>
                <c:pt idx="72">
                  <c:v>101.40599999999999</c:v>
                </c:pt>
                <c:pt idx="73">
                  <c:v>101.30749999999999</c:v>
                </c:pt>
                <c:pt idx="74">
                  <c:v>101.20649999999999</c:v>
                </c:pt>
                <c:pt idx="75">
                  <c:v>101.1365</c:v>
                </c:pt>
                <c:pt idx="76">
                  <c:v>101.19199999999999</c:v>
                </c:pt>
                <c:pt idx="77">
                  <c:v>101.334</c:v>
                </c:pt>
                <c:pt idx="78">
                  <c:v>101.42549999999999</c:v>
                </c:pt>
                <c:pt idx="79">
                  <c:v>101.6335</c:v>
                </c:pt>
                <c:pt idx="80">
                  <c:v>101.81599999999999</c:v>
                </c:pt>
                <c:pt idx="81">
                  <c:v>101.90649999999998</c:v>
                </c:pt>
                <c:pt idx="82">
                  <c:v>102.116</c:v>
                </c:pt>
                <c:pt idx="83">
                  <c:v>102.3015</c:v>
                </c:pt>
                <c:pt idx="84">
                  <c:v>102.45049999999999</c:v>
                </c:pt>
                <c:pt idx="85">
                  <c:v>102.63050000000001</c:v>
                </c:pt>
                <c:pt idx="86">
                  <c:v>102.80350000000001</c:v>
                </c:pt>
                <c:pt idx="87">
                  <c:v>102.90899999999996</c:v>
                </c:pt>
                <c:pt idx="88">
                  <c:v>103.04900000000001</c:v>
                </c:pt>
                <c:pt idx="89">
                  <c:v>103.28749999999999</c:v>
                </c:pt>
                <c:pt idx="90">
                  <c:v>103.494</c:v>
                </c:pt>
                <c:pt idx="91">
                  <c:v>103.6455</c:v>
                </c:pt>
                <c:pt idx="92">
                  <c:v>103.87399999999998</c:v>
                </c:pt>
                <c:pt idx="93">
                  <c:v>104.16149999999998</c:v>
                </c:pt>
                <c:pt idx="94">
                  <c:v>104.422</c:v>
                </c:pt>
                <c:pt idx="95">
                  <c:v>104.62199999999999</c:v>
                </c:pt>
                <c:pt idx="96">
                  <c:v>104.81400000000001</c:v>
                </c:pt>
                <c:pt idx="97">
                  <c:v>104.95250000000001</c:v>
                </c:pt>
                <c:pt idx="98">
                  <c:v>105.14849999999998</c:v>
                </c:pt>
                <c:pt idx="99">
                  <c:v>105.23949999999999</c:v>
                </c:pt>
                <c:pt idx="100">
                  <c:v>105.33250000000001</c:v>
                </c:pt>
                <c:pt idx="101">
                  <c:v>105.51600000000001</c:v>
                </c:pt>
                <c:pt idx="102">
                  <c:v>105.62749999999998</c:v>
                </c:pt>
                <c:pt idx="103">
                  <c:v>105.7805</c:v>
                </c:pt>
                <c:pt idx="104">
                  <c:v>105.93050000000001</c:v>
                </c:pt>
                <c:pt idx="105">
                  <c:v>106.06649999999999</c:v>
                </c:pt>
                <c:pt idx="106">
                  <c:v>106.16199999999999</c:v>
                </c:pt>
                <c:pt idx="107">
                  <c:v>106.24150000000002</c:v>
                </c:pt>
                <c:pt idx="108">
                  <c:v>106.285</c:v>
                </c:pt>
                <c:pt idx="109">
                  <c:v>106.23350000000001</c:v>
                </c:pt>
                <c:pt idx="110">
                  <c:v>106.12899999999999</c:v>
                </c:pt>
                <c:pt idx="111">
                  <c:v>106.0575</c:v>
                </c:pt>
                <c:pt idx="112">
                  <c:v>105.77149999999999</c:v>
                </c:pt>
                <c:pt idx="113">
                  <c:v>105.48349999999998</c:v>
                </c:pt>
                <c:pt idx="114">
                  <c:v>105.13550000000001</c:v>
                </c:pt>
                <c:pt idx="115">
                  <c:v>104.88199999999999</c:v>
                </c:pt>
                <c:pt idx="116">
                  <c:v>104.742</c:v>
                </c:pt>
                <c:pt idx="117">
                  <c:v>104.57950000000001</c:v>
                </c:pt>
                <c:pt idx="118">
                  <c:v>104.44899999999998</c:v>
                </c:pt>
                <c:pt idx="119">
                  <c:v>104.33699999999999</c:v>
                </c:pt>
                <c:pt idx="120">
                  <c:v>104.1955</c:v>
                </c:pt>
                <c:pt idx="121">
                  <c:v>103.98149999999998</c:v>
                </c:pt>
                <c:pt idx="122">
                  <c:v>103.91849999999997</c:v>
                </c:pt>
                <c:pt idx="123">
                  <c:v>103.87949999999996</c:v>
                </c:pt>
                <c:pt idx="124">
                  <c:v>103.82149999999999</c:v>
                </c:pt>
                <c:pt idx="125">
                  <c:v>103.73299999999999</c:v>
                </c:pt>
                <c:pt idx="126">
                  <c:v>103.38549999999998</c:v>
                </c:pt>
                <c:pt idx="127">
                  <c:v>103.04049999999999</c:v>
                </c:pt>
                <c:pt idx="128">
                  <c:v>102.744</c:v>
                </c:pt>
                <c:pt idx="129">
                  <c:v>102.40800000000002</c:v>
                </c:pt>
                <c:pt idx="130">
                  <c:v>102.108</c:v>
                </c:pt>
                <c:pt idx="131">
                  <c:v>101.7945</c:v>
                </c:pt>
                <c:pt idx="132">
                  <c:v>101.60099999999998</c:v>
                </c:pt>
                <c:pt idx="133">
                  <c:v>101.41899999999998</c:v>
                </c:pt>
                <c:pt idx="134">
                  <c:v>101.25899999999999</c:v>
                </c:pt>
                <c:pt idx="135">
                  <c:v>101.04349999999998</c:v>
                </c:pt>
                <c:pt idx="136">
                  <c:v>100.62849999999996</c:v>
                </c:pt>
                <c:pt idx="137">
                  <c:v>100.30199999999998</c:v>
                </c:pt>
                <c:pt idx="138">
                  <c:v>99.856999999999985</c:v>
                </c:pt>
                <c:pt idx="139">
                  <c:v>99.34499999999997</c:v>
                </c:pt>
                <c:pt idx="140">
                  <c:v>98.974499999999978</c:v>
                </c:pt>
                <c:pt idx="141">
                  <c:v>98.534999999999997</c:v>
                </c:pt>
                <c:pt idx="142">
                  <c:v>97.953999999999979</c:v>
                </c:pt>
                <c:pt idx="143">
                  <c:v>97.439499999999995</c:v>
                </c:pt>
                <c:pt idx="144">
                  <c:v>96.983000000000004</c:v>
                </c:pt>
                <c:pt idx="145">
                  <c:v>96.5595</c:v>
                </c:pt>
                <c:pt idx="146">
                  <c:v>96.47</c:v>
                </c:pt>
                <c:pt idx="147">
                  <c:v>96.47</c:v>
                </c:pt>
                <c:pt idx="148">
                  <c:v>96.203000000000003</c:v>
                </c:pt>
                <c:pt idx="149">
                  <c:v>96.111000000000004</c:v>
                </c:pt>
                <c:pt idx="150">
                  <c:v>95.99</c:v>
                </c:pt>
                <c:pt idx="151">
                  <c:v>95.789000000000001</c:v>
                </c:pt>
                <c:pt idx="152">
                  <c:v>95.540499999999994</c:v>
                </c:pt>
                <c:pt idx="153">
                  <c:v>95.272500000000008</c:v>
                </c:pt>
                <c:pt idx="154">
                  <c:v>94.990000000000009</c:v>
                </c:pt>
                <c:pt idx="155">
                  <c:v>94.756</c:v>
                </c:pt>
                <c:pt idx="156">
                  <c:v>94.588000000000008</c:v>
                </c:pt>
                <c:pt idx="157">
                  <c:v>94.366000000000014</c:v>
                </c:pt>
                <c:pt idx="158">
                  <c:v>94.289500000000004</c:v>
                </c:pt>
                <c:pt idx="159">
                  <c:v>94.288500000000013</c:v>
                </c:pt>
                <c:pt idx="160">
                  <c:v>94.122</c:v>
                </c:pt>
                <c:pt idx="161">
                  <c:v>94.045000000000002</c:v>
                </c:pt>
                <c:pt idx="162">
                  <c:v>93.9375</c:v>
                </c:pt>
                <c:pt idx="163">
                  <c:v>93.745499999999993</c:v>
                </c:pt>
                <c:pt idx="164">
                  <c:v>93.636499999999998</c:v>
                </c:pt>
                <c:pt idx="165">
                  <c:v>93.524999999999991</c:v>
                </c:pt>
                <c:pt idx="166">
                  <c:v>93.480499999999978</c:v>
                </c:pt>
                <c:pt idx="167">
                  <c:v>93.313999999999993</c:v>
                </c:pt>
                <c:pt idx="168">
                  <c:v>93.226499999999987</c:v>
                </c:pt>
                <c:pt idx="169">
                  <c:v>92.988500000000002</c:v>
                </c:pt>
                <c:pt idx="170">
                  <c:v>92.813999999999993</c:v>
                </c:pt>
                <c:pt idx="171">
                  <c:v>92.635999999999996</c:v>
                </c:pt>
                <c:pt idx="172">
                  <c:v>92.520499999999998</c:v>
                </c:pt>
                <c:pt idx="173">
                  <c:v>92.328500000000005</c:v>
                </c:pt>
                <c:pt idx="174">
                  <c:v>92.107500000000002</c:v>
                </c:pt>
                <c:pt idx="175">
                  <c:v>91.751000000000005</c:v>
                </c:pt>
                <c:pt idx="176">
                  <c:v>91.435500000000005</c:v>
                </c:pt>
                <c:pt idx="177">
                  <c:v>91.078999999999994</c:v>
                </c:pt>
                <c:pt idx="178">
                  <c:v>90.419499999999999</c:v>
                </c:pt>
                <c:pt idx="179">
                  <c:v>89.794000000000011</c:v>
                </c:pt>
                <c:pt idx="180">
                  <c:v>89.256999999999991</c:v>
                </c:pt>
                <c:pt idx="181">
                  <c:v>88.775499999999994</c:v>
                </c:pt>
                <c:pt idx="182">
                  <c:v>88.340499999999992</c:v>
                </c:pt>
                <c:pt idx="183">
                  <c:v>87.925499999999985</c:v>
                </c:pt>
                <c:pt idx="184">
                  <c:v>87.271499999999989</c:v>
                </c:pt>
                <c:pt idx="185">
                  <c:v>86.732499999999987</c:v>
                </c:pt>
                <c:pt idx="186">
                  <c:v>86.018499999999989</c:v>
                </c:pt>
                <c:pt idx="187">
                  <c:v>85.35499999999999</c:v>
                </c:pt>
                <c:pt idx="188">
                  <c:v>84.864499999999992</c:v>
                </c:pt>
                <c:pt idx="189">
                  <c:v>84.44</c:v>
                </c:pt>
                <c:pt idx="190">
                  <c:v>83.941999999999993</c:v>
                </c:pt>
                <c:pt idx="191">
                  <c:v>83.480499999999992</c:v>
                </c:pt>
                <c:pt idx="192">
                  <c:v>82.902499999999989</c:v>
                </c:pt>
                <c:pt idx="193">
                  <c:v>82.315499999999986</c:v>
                </c:pt>
                <c:pt idx="194">
                  <c:v>81.886499999999984</c:v>
                </c:pt>
                <c:pt idx="195">
                  <c:v>81.49199999999999</c:v>
                </c:pt>
                <c:pt idx="196">
                  <c:v>81.134000000000015</c:v>
                </c:pt>
                <c:pt idx="197">
                  <c:v>80.719000000000023</c:v>
                </c:pt>
                <c:pt idx="198">
                  <c:v>80.525499999999994</c:v>
                </c:pt>
                <c:pt idx="199">
                  <c:v>80.292500000000018</c:v>
                </c:pt>
                <c:pt idx="200">
                  <c:v>79.882500000000007</c:v>
                </c:pt>
                <c:pt idx="201">
                  <c:v>79.537999999999997</c:v>
                </c:pt>
                <c:pt idx="202">
                  <c:v>79.182000000000016</c:v>
                </c:pt>
                <c:pt idx="203">
                  <c:v>78.747000000000014</c:v>
                </c:pt>
                <c:pt idx="204">
                  <c:v>78.44850000000001</c:v>
                </c:pt>
                <c:pt idx="205">
                  <c:v>78.089500000000015</c:v>
                </c:pt>
                <c:pt idx="206">
                  <c:v>77.852000000000018</c:v>
                </c:pt>
                <c:pt idx="207">
                  <c:v>77.576000000000008</c:v>
                </c:pt>
                <c:pt idx="208">
                  <c:v>77.210000000000008</c:v>
                </c:pt>
                <c:pt idx="209">
                  <c:v>76.782499999999999</c:v>
                </c:pt>
                <c:pt idx="210">
                  <c:v>76.026500000000013</c:v>
                </c:pt>
                <c:pt idx="211">
                  <c:v>75.448999999999998</c:v>
                </c:pt>
                <c:pt idx="212">
                  <c:v>74.86</c:v>
                </c:pt>
                <c:pt idx="213">
                  <c:v>74.367499999999978</c:v>
                </c:pt>
                <c:pt idx="214">
                  <c:v>73.768499999999989</c:v>
                </c:pt>
                <c:pt idx="215">
                  <c:v>73.169499999999999</c:v>
                </c:pt>
                <c:pt idx="216">
                  <c:v>72.390500000000003</c:v>
                </c:pt>
                <c:pt idx="217">
                  <c:v>71.706000000000003</c:v>
                </c:pt>
                <c:pt idx="218">
                  <c:v>70.863000000000014</c:v>
                </c:pt>
                <c:pt idx="219">
                  <c:v>70.005500000000012</c:v>
                </c:pt>
                <c:pt idx="220">
                  <c:v>69.18950000000001</c:v>
                </c:pt>
                <c:pt idx="221">
                  <c:v>68.191999999999993</c:v>
                </c:pt>
                <c:pt idx="222">
                  <c:v>67.208500000000001</c:v>
                </c:pt>
                <c:pt idx="223">
                  <c:v>66.302499999999995</c:v>
                </c:pt>
                <c:pt idx="224">
                  <c:v>65.284000000000006</c:v>
                </c:pt>
                <c:pt idx="225">
                  <c:v>64.348000000000013</c:v>
                </c:pt>
                <c:pt idx="226">
                  <c:v>63.284500000000016</c:v>
                </c:pt>
                <c:pt idx="227">
                  <c:v>62.336500000000001</c:v>
                </c:pt>
                <c:pt idx="228">
                  <c:v>61.419500000000006</c:v>
                </c:pt>
                <c:pt idx="229">
                  <c:v>60.463999999999999</c:v>
                </c:pt>
                <c:pt idx="230">
                  <c:v>59.839999999999996</c:v>
                </c:pt>
                <c:pt idx="231">
                  <c:v>59.097999999999999</c:v>
                </c:pt>
                <c:pt idx="232">
                  <c:v>58.421000000000006</c:v>
                </c:pt>
                <c:pt idx="233">
                  <c:v>57.728500000000011</c:v>
                </c:pt>
                <c:pt idx="234">
                  <c:v>57.027999999999999</c:v>
                </c:pt>
                <c:pt idx="235">
                  <c:v>56.236000000000004</c:v>
                </c:pt>
                <c:pt idx="236">
                  <c:v>55.478500000000011</c:v>
                </c:pt>
                <c:pt idx="237">
                  <c:v>54.726000000000013</c:v>
                </c:pt>
                <c:pt idx="238">
                  <c:v>54.116500000000009</c:v>
                </c:pt>
                <c:pt idx="239">
                  <c:v>53.533499999999989</c:v>
                </c:pt>
                <c:pt idx="240">
                  <c:v>52.946000000000005</c:v>
                </c:pt>
                <c:pt idx="241">
                  <c:v>52.444000000000003</c:v>
                </c:pt>
                <c:pt idx="242">
                  <c:v>52.069999999999993</c:v>
                </c:pt>
                <c:pt idx="243">
                  <c:v>51.566999999999993</c:v>
                </c:pt>
                <c:pt idx="244">
                  <c:v>51.282499999999992</c:v>
                </c:pt>
                <c:pt idx="245">
                  <c:v>50.776499999999999</c:v>
                </c:pt>
                <c:pt idx="246">
                  <c:v>50.406500000000001</c:v>
                </c:pt>
                <c:pt idx="247">
                  <c:v>49.863999999999997</c:v>
                </c:pt>
                <c:pt idx="248">
                  <c:v>49.341999999999999</c:v>
                </c:pt>
                <c:pt idx="249">
                  <c:v>48.852499999999999</c:v>
                </c:pt>
                <c:pt idx="250">
                  <c:v>48.471499999999999</c:v>
                </c:pt>
                <c:pt idx="251">
                  <c:v>47.968499999999999</c:v>
                </c:pt>
                <c:pt idx="252">
                  <c:v>47.501999999999995</c:v>
                </c:pt>
                <c:pt idx="253">
                  <c:v>47.219000000000001</c:v>
                </c:pt>
                <c:pt idx="254">
                  <c:v>47.045499999999997</c:v>
                </c:pt>
                <c:pt idx="255">
                  <c:v>47.194999999999993</c:v>
                </c:pt>
                <c:pt idx="256">
                  <c:v>47.218499999999999</c:v>
                </c:pt>
                <c:pt idx="257">
                  <c:v>47.308000000000007</c:v>
                </c:pt>
                <c:pt idx="258">
                  <c:v>47.451000000000008</c:v>
                </c:pt>
                <c:pt idx="259">
                  <c:v>47.683000000000007</c:v>
                </c:pt>
                <c:pt idx="260">
                  <c:v>47.882999999999996</c:v>
                </c:pt>
                <c:pt idx="261">
                  <c:v>48.027000000000001</c:v>
                </c:pt>
                <c:pt idx="262">
                  <c:v>48.160999999999994</c:v>
                </c:pt>
                <c:pt idx="263">
                  <c:v>48.475499999999997</c:v>
                </c:pt>
                <c:pt idx="264">
                  <c:v>48.728999999999999</c:v>
                </c:pt>
                <c:pt idx="265">
                  <c:v>48.995999999999995</c:v>
                </c:pt>
                <c:pt idx="266">
                  <c:v>49.159499999999994</c:v>
                </c:pt>
                <c:pt idx="267">
                  <c:v>49.360500000000002</c:v>
                </c:pt>
                <c:pt idx="268">
                  <c:v>49.575499999999991</c:v>
                </c:pt>
                <c:pt idx="269">
                  <c:v>49.759499999999989</c:v>
                </c:pt>
                <c:pt idx="270">
                  <c:v>49.98</c:v>
                </c:pt>
                <c:pt idx="271">
                  <c:v>50.158499999999997</c:v>
                </c:pt>
                <c:pt idx="272">
                  <c:v>50.444500000000005</c:v>
                </c:pt>
                <c:pt idx="273">
                  <c:v>50.534500000000008</c:v>
                </c:pt>
                <c:pt idx="274">
                  <c:v>50.593500000000006</c:v>
                </c:pt>
                <c:pt idx="275">
                  <c:v>50.517999999999994</c:v>
                </c:pt>
                <c:pt idx="276">
                  <c:v>50.633500000000005</c:v>
                </c:pt>
                <c:pt idx="277">
                  <c:v>50.59</c:v>
                </c:pt>
                <c:pt idx="278">
                  <c:v>50.5045</c:v>
                </c:pt>
                <c:pt idx="279">
                  <c:v>50.275999999999996</c:v>
                </c:pt>
                <c:pt idx="280">
                  <c:v>50.176000000000002</c:v>
                </c:pt>
                <c:pt idx="281">
                  <c:v>50.091999999999999</c:v>
                </c:pt>
                <c:pt idx="282">
                  <c:v>49.777499999999996</c:v>
                </c:pt>
                <c:pt idx="283">
                  <c:v>49.340999999999994</c:v>
                </c:pt>
                <c:pt idx="284">
                  <c:v>48.832500000000003</c:v>
                </c:pt>
                <c:pt idx="285">
                  <c:v>48.457499999999996</c:v>
                </c:pt>
                <c:pt idx="286">
                  <c:v>48.102500000000006</c:v>
                </c:pt>
                <c:pt idx="287">
                  <c:v>47.905000000000001</c:v>
                </c:pt>
                <c:pt idx="288">
                  <c:v>47.79699999999999</c:v>
                </c:pt>
                <c:pt idx="289">
                  <c:v>47.724499999999992</c:v>
                </c:pt>
                <c:pt idx="290">
                  <c:v>47.649499999999996</c:v>
                </c:pt>
                <c:pt idx="291">
                  <c:v>47.837499999999991</c:v>
                </c:pt>
                <c:pt idx="292">
                  <c:v>47.786999999999992</c:v>
                </c:pt>
                <c:pt idx="293">
                  <c:v>47.740499999999997</c:v>
                </c:pt>
                <c:pt idx="294">
                  <c:v>47.604999999999997</c:v>
                </c:pt>
                <c:pt idx="295">
                  <c:v>47.534499999999994</c:v>
                </c:pt>
                <c:pt idx="296">
                  <c:v>47.452999999999996</c:v>
                </c:pt>
                <c:pt idx="297">
                  <c:v>47.428999999999995</c:v>
                </c:pt>
                <c:pt idx="298">
                  <c:v>47.535499999999999</c:v>
                </c:pt>
                <c:pt idx="299">
                  <c:v>47.811999999999998</c:v>
                </c:pt>
                <c:pt idx="300">
                  <c:v>47.931000000000004</c:v>
                </c:pt>
                <c:pt idx="301">
                  <c:v>48.1145</c:v>
                </c:pt>
                <c:pt idx="302">
                  <c:v>48.452000000000005</c:v>
                </c:pt>
                <c:pt idx="303">
                  <c:v>48.853000000000002</c:v>
                </c:pt>
                <c:pt idx="304">
                  <c:v>49.348500000000008</c:v>
                </c:pt>
                <c:pt idx="305">
                  <c:v>49.929500000000004</c:v>
                </c:pt>
                <c:pt idx="306">
                  <c:v>50.563000000000002</c:v>
                </c:pt>
                <c:pt idx="307">
                  <c:v>51.048500000000004</c:v>
                </c:pt>
                <c:pt idx="308">
                  <c:v>51.496999999999993</c:v>
                </c:pt>
                <c:pt idx="309">
                  <c:v>51.924500000000002</c:v>
                </c:pt>
                <c:pt idx="310">
                  <c:v>52.295500000000004</c:v>
                </c:pt>
                <c:pt idx="311">
                  <c:v>52.554500000000004</c:v>
                </c:pt>
                <c:pt idx="312">
                  <c:v>52.911999999999999</c:v>
                </c:pt>
                <c:pt idx="313">
                  <c:v>53.257000000000005</c:v>
                </c:pt>
                <c:pt idx="314">
                  <c:v>53.723500000000001</c:v>
                </c:pt>
                <c:pt idx="315">
                  <c:v>54.145000000000003</c:v>
                </c:pt>
                <c:pt idx="316">
                  <c:v>54.669499999999992</c:v>
                </c:pt>
                <c:pt idx="317">
                  <c:v>55.167999999999985</c:v>
                </c:pt>
                <c:pt idx="318">
                  <c:v>55.510000000000005</c:v>
                </c:pt>
                <c:pt idx="319">
                  <c:v>55.831500000000005</c:v>
                </c:pt>
                <c:pt idx="320">
                  <c:v>56.355999999999995</c:v>
                </c:pt>
                <c:pt idx="321">
                  <c:v>56.765999999999998</c:v>
                </c:pt>
                <c:pt idx="322">
                  <c:v>57.155000000000008</c:v>
                </c:pt>
                <c:pt idx="323">
                  <c:v>57.518999999999991</c:v>
                </c:pt>
                <c:pt idx="324">
                  <c:v>57.89</c:v>
                </c:pt>
                <c:pt idx="325">
                  <c:v>58.102499999999999</c:v>
                </c:pt>
                <c:pt idx="326">
                  <c:v>58.262500000000003</c:v>
                </c:pt>
                <c:pt idx="327">
                  <c:v>58.46350000000001</c:v>
                </c:pt>
                <c:pt idx="328">
                  <c:v>58.617000000000004</c:v>
                </c:pt>
                <c:pt idx="329">
                  <c:v>58.702999999999996</c:v>
                </c:pt>
                <c:pt idx="330">
                  <c:v>58.842500000000008</c:v>
                </c:pt>
                <c:pt idx="331">
                  <c:v>59.022000000000006</c:v>
                </c:pt>
                <c:pt idx="332">
                  <c:v>59.167000000000009</c:v>
                </c:pt>
                <c:pt idx="333">
                  <c:v>59.333000000000013</c:v>
                </c:pt>
                <c:pt idx="334">
                  <c:v>59.345000000000006</c:v>
                </c:pt>
                <c:pt idx="335">
                  <c:v>59.293000000000006</c:v>
                </c:pt>
                <c:pt idx="336">
                  <c:v>59.1965</c:v>
                </c:pt>
                <c:pt idx="337">
                  <c:v>59.254000000000005</c:v>
                </c:pt>
                <c:pt idx="338">
                  <c:v>59.319999999999993</c:v>
                </c:pt>
                <c:pt idx="339">
                  <c:v>59.365999999999985</c:v>
                </c:pt>
                <c:pt idx="340">
                  <c:v>59.302999999999997</c:v>
                </c:pt>
                <c:pt idx="341">
                  <c:v>59.253499999999995</c:v>
                </c:pt>
                <c:pt idx="342">
                  <c:v>59.238499999999988</c:v>
                </c:pt>
                <c:pt idx="343">
                  <c:v>59.184499999999993</c:v>
                </c:pt>
                <c:pt idx="344">
                  <c:v>59.156000000000006</c:v>
                </c:pt>
                <c:pt idx="345">
                  <c:v>59.198999999999998</c:v>
                </c:pt>
                <c:pt idx="346">
                  <c:v>59.241499999999988</c:v>
                </c:pt>
                <c:pt idx="347">
                  <c:v>59.253</c:v>
                </c:pt>
                <c:pt idx="348">
                  <c:v>59.257499999999993</c:v>
                </c:pt>
                <c:pt idx="349">
                  <c:v>59.392999999999994</c:v>
                </c:pt>
                <c:pt idx="350">
                  <c:v>59.43950000000001</c:v>
                </c:pt>
                <c:pt idx="351">
                  <c:v>59.451000000000008</c:v>
                </c:pt>
                <c:pt idx="352">
                  <c:v>59.488</c:v>
                </c:pt>
                <c:pt idx="353">
                  <c:v>59.544499999999992</c:v>
                </c:pt>
                <c:pt idx="354">
                  <c:v>59.732499999999995</c:v>
                </c:pt>
                <c:pt idx="355">
                  <c:v>59.857500000000002</c:v>
                </c:pt>
                <c:pt idx="356">
                  <c:v>59.952500000000001</c:v>
                </c:pt>
                <c:pt idx="357">
                  <c:v>59.910499999999992</c:v>
                </c:pt>
                <c:pt idx="358">
                  <c:v>59.815499999999986</c:v>
                </c:pt>
                <c:pt idx="359">
                  <c:v>59.724499999999992</c:v>
                </c:pt>
                <c:pt idx="360">
                  <c:v>59.588000000000001</c:v>
                </c:pt>
                <c:pt idx="361">
                  <c:v>59.534500000000001</c:v>
                </c:pt>
                <c:pt idx="362">
                  <c:v>59.4255</c:v>
                </c:pt>
                <c:pt idx="363">
                  <c:v>59.14200000000001</c:v>
                </c:pt>
                <c:pt idx="364">
                  <c:v>58.750999999999991</c:v>
                </c:pt>
                <c:pt idx="365">
                  <c:v>58.263499999999986</c:v>
                </c:pt>
                <c:pt idx="366">
                  <c:v>57.864499999999985</c:v>
                </c:pt>
                <c:pt idx="367">
                  <c:v>57.503499999999995</c:v>
                </c:pt>
                <c:pt idx="368">
                  <c:v>57.136499999999998</c:v>
                </c:pt>
                <c:pt idx="369">
                  <c:v>56.788499999999999</c:v>
                </c:pt>
                <c:pt idx="370">
                  <c:v>56.363999999999997</c:v>
                </c:pt>
                <c:pt idx="371">
                  <c:v>55.888500000000008</c:v>
                </c:pt>
                <c:pt idx="372">
                  <c:v>55.451499999999996</c:v>
                </c:pt>
                <c:pt idx="373">
                  <c:v>54.956499999999991</c:v>
                </c:pt>
                <c:pt idx="374">
                  <c:v>54.433499999999995</c:v>
                </c:pt>
                <c:pt idx="375">
                  <c:v>53.896499999999989</c:v>
                </c:pt>
                <c:pt idx="376">
                  <c:v>53.322500000000005</c:v>
                </c:pt>
                <c:pt idx="377">
                  <c:v>52.750999999999998</c:v>
                </c:pt>
                <c:pt idx="378">
                  <c:v>52.192499999999995</c:v>
                </c:pt>
                <c:pt idx="379">
                  <c:v>51.616999999999997</c:v>
                </c:pt>
                <c:pt idx="380">
                  <c:v>51.208500000000001</c:v>
                </c:pt>
                <c:pt idx="381">
                  <c:v>50.788499999999999</c:v>
                </c:pt>
                <c:pt idx="382">
                  <c:v>50.297499999999999</c:v>
                </c:pt>
                <c:pt idx="383">
                  <c:v>49.935999999999993</c:v>
                </c:pt>
                <c:pt idx="384">
                  <c:v>49.606999999999999</c:v>
                </c:pt>
                <c:pt idx="385">
                  <c:v>49.283000000000001</c:v>
                </c:pt>
                <c:pt idx="386">
                  <c:v>48.879499999999993</c:v>
                </c:pt>
                <c:pt idx="387">
                  <c:v>48.435999999999993</c:v>
                </c:pt>
                <c:pt idx="388">
                  <c:v>48.073499999999989</c:v>
                </c:pt>
                <c:pt idx="389">
                  <c:v>47.576500000000003</c:v>
                </c:pt>
                <c:pt idx="390">
                  <c:v>47.167500000000004</c:v>
                </c:pt>
                <c:pt idx="391">
                  <c:v>46.735999999999997</c:v>
                </c:pt>
                <c:pt idx="392">
                  <c:v>46.314499999999995</c:v>
                </c:pt>
                <c:pt idx="393">
                  <c:v>45.905499999999996</c:v>
                </c:pt>
                <c:pt idx="394">
                  <c:v>45.505000000000003</c:v>
                </c:pt>
                <c:pt idx="395">
                  <c:v>45.079000000000001</c:v>
                </c:pt>
                <c:pt idx="396">
                  <c:v>44.723500000000008</c:v>
                </c:pt>
                <c:pt idx="397">
                  <c:v>44.347000000000001</c:v>
                </c:pt>
                <c:pt idx="398">
                  <c:v>43.899500000000003</c:v>
                </c:pt>
                <c:pt idx="399">
                  <c:v>43.458500000000001</c:v>
                </c:pt>
                <c:pt idx="400">
                  <c:v>42.945000000000007</c:v>
                </c:pt>
                <c:pt idx="401">
                  <c:v>42.64200000000001</c:v>
                </c:pt>
                <c:pt idx="402">
                  <c:v>42.551000000000002</c:v>
                </c:pt>
                <c:pt idx="403">
                  <c:v>42.748500000000007</c:v>
                </c:pt>
                <c:pt idx="404">
                  <c:v>42.730000000000004</c:v>
                </c:pt>
                <c:pt idx="405">
                  <c:v>42.788499999999999</c:v>
                </c:pt>
                <c:pt idx="406">
                  <c:v>42.891499999999994</c:v>
                </c:pt>
                <c:pt idx="407">
                  <c:v>42.998999999999995</c:v>
                </c:pt>
                <c:pt idx="408">
                  <c:v>43.052999999999997</c:v>
                </c:pt>
                <c:pt idx="409">
                  <c:v>43.193499999999993</c:v>
                </c:pt>
                <c:pt idx="410">
                  <c:v>43.23899999999999</c:v>
                </c:pt>
                <c:pt idx="411">
                  <c:v>43.417999999999992</c:v>
                </c:pt>
                <c:pt idx="412">
                  <c:v>43.532999999999994</c:v>
                </c:pt>
                <c:pt idx="413">
                  <c:v>43.64</c:v>
                </c:pt>
                <c:pt idx="414">
                  <c:v>43.74</c:v>
                </c:pt>
                <c:pt idx="415">
                  <c:v>44.058500000000002</c:v>
                </c:pt>
                <c:pt idx="416">
                  <c:v>44.355000000000004</c:v>
                </c:pt>
                <c:pt idx="417">
                  <c:v>44.567999999999998</c:v>
                </c:pt>
                <c:pt idx="418">
                  <c:v>44.990500000000004</c:v>
                </c:pt>
                <c:pt idx="419">
                  <c:v>45.341499999999996</c:v>
                </c:pt>
                <c:pt idx="420">
                  <c:v>45.642999999999994</c:v>
                </c:pt>
                <c:pt idx="421">
                  <c:v>45.766499999999994</c:v>
                </c:pt>
                <c:pt idx="422">
                  <c:v>45.779499999999999</c:v>
                </c:pt>
                <c:pt idx="423">
                  <c:v>45.53949999999999</c:v>
                </c:pt>
                <c:pt idx="424">
                  <c:v>45.532499999999985</c:v>
                </c:pt>
                <c:pt idx="425">
                  <c:v>45.470499999999994</c:v>
                </c:pt>
                <c:pt idx="426">
                  <c:v>45.370499999999993</c:v>
                </c:pt>
                <c:pt idx="427">
                  <c:v>45.346499999999992</c:v>
                </c:pt>
                <c:pt idx="428">
                  <c:v>45.359500000000004</c:v>
                </c:pt>
                <c:pt idx="429">
                  <c:v>45.489999999999995</c:v>
                </c:pt>
                <c:pt idx="430">
                  <c:v>45.67649999999999</c:v>
                </c:pt>
                <c:pt idx="431">
                  <c:v>45.856999999999999</c:v>
                </c:pt>
                <c:pt idx="432">
                  <c:v>46.102999999999994</c:v>
                </c:pt>
                <c:pt idx="433">
                  <c:v>46.254000000000005</c:v>
                </c:pt>
                <c:pt idx="434">
                  <c:v>46.36</c:v>
                </c:pt>
                <c:pt idx="435">
                  <c:v>46.335500000000003</c:v>
                </c:pt>
                <c:pt idx="436">
                  <c:v>46.308000000000007</c:v>
                </c:pt>
                <c:pt idx="437">
                  <c:v>46.4375</c:v>
                </c:pt>
                <c:pt idx="438">
                  <c:v>46.399500000000003</c:v>
                </c:pt>
                <c:pt idx="439">
                  <c:v>46.383000000000003</c:v>
                </c:pt>
                <c:pt idx="440">
                  <c:v>46.417500000000004</c:v>
                </c:pt>
                <c:pt idx="441">
                  <c:v>46.415500000000002</c:v>
                </c:pt>
                <c:pt idx="442">
                  <c:v>46.333500000000001</c:v>
                </c:pt>
                <c:pt idx="443">
                  <c:v>46.273000000000003</c:v>
                </c:pt>
                <c:pt idx="444">
                  <c:v>46.171500000000002</c:v>
                </c:pt>
                <c:pt idx="445">
                  <c:v>46.214999999999989</c:v>
                </c:pt>
                <c:pt idx="446">
                  <c:v>46.278499999999994</c:v>
                </c:pt>
                <c:pt idx="447">
                  <c:v>46.331499999999991</c:v>
                </c:pt>
                <c:pt idx="448">
                  <c:v>46.323499999999996</c:v>
                </c:pt>
                <c:pt idx="449">
                  <c:v>46.290999999999997</c:v>
                </c:pt>
                <c:pt idx="450">
                  <c:v>46.214000000000006</c:v>
                </c:pt>
                <c:pt idx="451">
                  <c:v>46.0045</c:v>
                </c:pt>
                <c:pt idx="452">
                  <c:v>45.737000000000002</c:v>
                </c:pt>
                <c:pt idx="453">
                  <c:v>45.576000000000001</c:v>
                </c:pt>
                <c:pt idx="454">
                  <c:v>45.452500000000001</c:v>
                </c:pt>
                <c:pt idx="455">
                  <c:v>45.268500000000003</c:v>
                </c:pt>
                <c:pt idx="456">
                  <c:v>45.036500000000004</c:v>
                </c:pt>
                <c:pt idx="457">
                  <c:v>44.706000000000003</c:v>
                </c:pt>
                <c:pt idx="458">
                  <c:v>44.494500000000002</c:v>
                </c:pt>
                <c:pt idx="459">
                  <c:v>44.239000000000004</c:v>
                </c:pt>
                <c:pt idx="460">
                  <c:v>44.015500000000003</c:v>
                </c:pt>
                <c:pt idx="461">
                  <c:v>43.797999999999995</c:v>
                </c:pt>
                <c:pt idx="462">
                  <c:v>43.571999999999989</c:v>
                </c:pt>
                <c:pt idx="463">
                  <c:v>43.375999999999998</c:v>
                </c:pt>
                <c:pt idx="464">
                  <c:v>43.26</c:v>
                </c:pt>
                <c:pt idx="465">
                  <c:v>43.024499999999996</c:v>
                </c:pt>
                <c:pt idx="466">
                  <c:v>42.784499999999994</c:v>
                </c:pt>
                <c:pt idx="467">
                  <c:v>42.482999999999997</c:v>
                </c:pt>
                <c:pt idx="468">
                  <c:v>42.198500000000003</c:v>
                </c:pt>
                <c:pt idx="469">
                  <c:v>41.833500000000001</c:v>
                </c:pt>
                <c:pt idx="470">
                  <c:v>41.514000000000003</c:v>
                </c:pt>
                <c:pt idx="471">
                  <c:v>41.304500000000004</c:v>
                </c:pt>
                <c:pt idx="472">
                  <c:v>41.088500000000003</c:v>
                </c:pt>
                <c:pt idx="473">
                  <c:v>40.777000000000001</c:v>
                </c:pt>
                <c:pt idx="474">
                  <c:v>40.438499999999998</c:v>
                </c:pt>
                <c:pt idx="475">
                  <c:v>40.149000000000001</c:v>
                </c:pt>
                <c:pt idx="476">
                  <c:v>39.9</c:v>
                </c:pt>
                <c:pt idx="477">
                  <c:v>39.648000000000003</c:v>
                </c:pt>
                <c:pt idx="478">
                  <c:v>39.379499999999993</c:v>
                </c:pt>
                <c:pt idx="479">
                  <c:v>39.208999999999996</c:v>
                </c:pt>
                <c:pt idx="480">
                  <c:v>38.948999999999998</c:v>
                </c:pt>
                <c:pt idx="481">
                  <c:v>38.670499999999997</c:v>
                </c:pt>
                <c:pt idx="482">
                  <c:v>38.436999999999998</c:v>
                </c:pt>
                <c:pt idx="483">
                  <c:v>38.200999999999993</c:v>
                </c:pt>
                <c:pt idx="484">
                  <c:v>37.962499999999999</c:v>
                </c:pt>
                <c:pt idx="485">
                  <c:v>37.739499999999992</c:v>
                </c:pt>
                <c:pt idx="486">
                  <c:v>37.559499999999993</c:v>
                </c:pt>
                <c:pt idx="487">
                  <c:v>37.410999999999994</c:v>
                </c:pt>
                <c:pt idx="488">
                  <c:v>37.207499999999996</c:v>
                </c:pt>
                <c:pt idx="489">
                  <c:v>37.072499999999998</c:v>
                </c:pt>
                <c:pt idx="490">
                  <c:v>36.905500000000004</c:v>
                </c:pt>
                <c:pt idx="491">
                  <c:v>36.708000000000006</c:v>
                </c:pt>
                <c:pt idx="492">
                  <c:v>36.564500000000002</c:v>
                </c:pt>
                <c:pt idx="493">
                  <c:v>36.523000000000003</c:v>
                </c:pt>
                <c:pt idx="494">
                  <c:v>36.448500000000003</c:v>
                </c:pt>
                <c:pt idx="495">
                  <c:v>36.289000000000001</c:v>
                </c:pt>
                <c:pt idx="496">
                  <c:v>36.115499999999997</c:v>
                </c:pt>
                <c:pt idx="497">
                  <c:v>35.993000000000009</c:v>
                </c:pt>
                <c:pt idx="498">
                  <c:v>35.748500000000007</c:v>
                </c:pt>
                <c:pt idx="499">
                  <c:v>35.403499999999994</c:v>
                </c:pt>
                <c:pt idx="500">
                  <c:v>35.146999999999991</c:v>
                </c:pt>
                <c:pt idx="501">
                  <c:v>34.958999999999989</c:v>
                </c:pt>
                <c:pt idx="502">
                  <c:v>34.695499999999996</c:v>
                </c:pt>
                <c:pt idx="503">
                  <c:v>34.391499999999994</c:v>
                </c:pt>
                <c:pt idx="504">
                  <c:v>33.919500000000006</c:v>
                </c:pt>
                <c:pt idx="505">
                  <c:v>33.559000000000005</c:v>
                </c:pt>
                <c:pt idx="506">
                  <c:v>33.281500000000008</c:v>
                </c:pt>
                <c:pt idx="507">
                  <c:v>32.916999999999994</c:v>
                </c:pt>
                <c:pt idx="508">
                  <c:v>32.575999999999993</c:v>
                </c:pt>
                <c:pt idx="509">
                  <c:v>32.298000000000002</c:v>
                </c:pt>
                <c:pt idx="510">
                  <c:v>32.129000000000005</c:v>
                </c:pt>
                <c:pt idx="511">
                  <c:v>31.955500000000001</c:v>
                </c:pt>
                <c:pt idx="512">
                  <c:v>31.68</c:v>
                </c:pt>
                <c:pt idx="513">
                  <c:v>31.334500000000002</c:v>
                </c:pt>
                <c:pt idx="514">
                  <c:v>31.150500000000001</c:v>
                </c:pt>
                <c:pt idx="515">
                  <c:v>31.033499999999997</c:v>
                </c:pt>
                <c:pt idx="516">
                  <c:v>30.911999999999995</c:v>
                </c:pt>
                <c:pt idx="517">
                  <c:v>30.737500000000001</c:v>
                </c:pt>
                <c:pt idx="518">
                  <c:v>30.56450000000001</c:v>
                </c:pt>
                <c:pt idx="519">
                  <c:v>30.420499999999997</c:v>
                </c:pt>
                <c:pt idx="520">
                  <c:v>30.209000000000003</c:v>
                </c:pt>
                <c:pt idx="521">
                  <c:v>30.114000000000004</c:v>
                </c:pt>
                <c:pt idx="522">
                  <c:v>30.094000000000001</c:v>
                </c:pt>
                <c:pt idx="523">
                  <c:v>30.204499999999996</c:v>
                </c:pt>
                <c:pt idx="524">
                  <c:v>30.408999999999999</c:v>
                </c:pt>
                <c:pt idx="525">
                  <c:v>30.410999999999994</c:v>
                </c:pt>
                <c:pt idx="526">
                  <c:v>30.375999999999998</c:v>
                </c:pt>
                <c:pt idx="527">
                  <c:v>30.452500000000004</c:v>
                </c:pt>
                <c:pt idx="528">
                  <c:v>30.493000000000002</c:v>
                </c:pt>
                <c:pt idx="529">
                  <c:v>30.447000000000003</c:v>
                </c:pt>
                <c:pt idx="530">
                  <c:v>30.369</c:v>
                </c:pt>
                <c:pt idx="531">
                  <c:v>30.323</c:v>
                </c:pt>
                <c:pt idx="532">
                  <c:v>30.461499999999994</c:v>
                </c:pt>
                <c:pt idx="533">
                  <c:v>30.695</c:v>
                </c:pt>
                <c:pt idx="534">
                  <c:v>30.808499999999992</c:v>
                </c:pt>
                <c:pt idx="535">
                  <c:v>31.022499999999997</c:v>
                </c:pt>
                <c:pt idx="536">
                  <c:v>31.374500000000001</c:v>
                </c:pt>
                <c:pt idx="537">
                  <c:v>31.722499999999997</c:v>
                </c:pt>
                <c:pt idx="538">
                  <c:v>32.205499999999994</c:v>
                </c:pt>
                <c:pt idx="539">
                  <c:v>32.716999999999999</c:v>
                </c:pt>
                <c:pt idx="540">
                  <c:v>33.332999999999991</c:v>
                </c:pt>
                <c:pt idx="541">
                  <c:v>33.726999999999997</c:v>
                </c:pt>
                <c:pt idx="542">
                  <c:v>34.090499999999999</c:v>
                </c:pt>
                <c:pt idx="543">
                  <c:v>34.478000000000002</c:v>
                </c:pt>
                <c:pt idx="544">
                  <c:v>34.948</c:v>
                </c:pt>
                <c:pt idx="545">
                  <c:v>35.442</c:v>
                </c:pt>
                <c:pt idx="546">
                  <c:v>35.868999999999993</c:v>
                </c:pt>
                <c:pt idx="547">
                  <c:v>36.349499999999999</c:v>
                </c:pt>
                <c:pt idx="548">
                  <c:v>36.745999999999995</c:v>
                </c:pt>
                <c:pt idx="549">
                  <c:v>37.082999999999998</c:v>
                </c:pt>
                <c:pt idx="550">
                  <c:v>37.4</c:v>
                </c:pt>
                <c:pt idx="551">
                  <c:v>37.608499999999999</c:v>
                </c:pt>
                <c:pt idx="552">
                  <c:v>37.734499999999997</c:v>
                </c:pt>
                <c:pt idx="553">
                  <c:v>37.852999999999994</c:v>
                </c:pt>
                <c:pt idx="554">
                  <c:v>37.893000000000001</c:v>
                </c:pt>
                <c:pt idx="555">
                  <c:v>37.812499999999993</c:v>
                </c:pt>
                <c:pt idx="556">
                  <c:v>37.643499999999989</c:v>
                </c:pt>
                <c:pt idx="557">
                  <c:v>37.696999999999996</c:v>
                </c:pt>
                <c:pt idx="558">
                  <c:v>37.68099999999999</c:v>
                </c:pt>
                <c:pt idx="559">
                  <c:v>37.779499999999992</c:v>
                </c:pt>
                <c:pt idx="560">
                  <c:v>37.876999999999995</c:v>
                </c:pt>
                <c:pt idx="561">
                  <c:v>38.122999999999998</c:v>
                </c:pt>
                <c:pt idx="562">
                  <c:v>38.392000000000003</c:v>
                </c:pt>
                <c:pt idx="563">
                  <c:v>38.543000000000006</c:v>
                </c:pt>
                <c:pt idx="564">
                  <c:v>38.554500000000004</c:v>
                </c:pt>
                <c:pt idx="565">
                  <c:v>38.568000000000005</c:v>
                </c:pt>
                <c:pt idx="566">
                  <c:v>38.616500000000009</c:v>
                </c:pt>
                <c:pt idx="567">
                  <c:v>38.68</c:v>
                </c:pt>
                <c:pt idx="568">
                  <c:v>38.924999999999997</c:v>
                </c:pt>
                <c:pt idx="569">
                  <c:v>39.155999999999999</c:v>
                </c:pt>
                <c:pt idx="570">
                  <c:v>39.339999999999996</c:v>
                </c:pt>
                <c:pt idx="571">
                  <c:v>39.620499999999993</c:v>
                </c:pt>
                <c:pt idx="572">
                  <c:v>40.03949999999999</c:v>
                </c:pt>
                <c:pt idx="573">
                  <c:v>40.493999999999986</c:v>
                </c:pt>
                <c:pt idx="574">
                  <c:v>41.024999999999991</c:v>
                </c:pt>
                <c:pt idx="575">
                  <c:v>41.547499999999992</c:v>
                </c:pt>
                <c:pt idx="576">
                  <c:v>42.003999999999998</c:v>
                </c:pt>
                <c:pt idx="577">
                  <c:v>42.305499999999995</c:v>
                </c:pt>
                <c:pt idx="578">
                  <c:v>42.656999999999996</c:v>
                </c:pt>
                <c:pt idx="579">
                  <c:v>42.899000000000001</c:v>
                </c:pt>
                <c:pt idx="580">
                  <c:v>43.048500000000004</c:v>
                </c:pt>
                <c:pt idx="581">
                  <c:v>43.176500000000004</c:v>
                </c:pt>
                <c:pt idx="582">
                  <c:v>43.402000000000001</c:v>
                </c:pt>
                <c:pt idx="583">
                  <c:v>43.661500000000004</c:v>
                </c:pt>
                <c:pt idx="584">
                  <c:v>43.952500000000001</c:v>
                </c:pt>
                <c:pt idx="585">
                  <c:v>44.351500000000001</c:v>
                </c:pt>
                <c:pt idx="586">
                  <c:v>44.722000000000001</c:v>
                </c:pt>
                <c:pt idx="587">
                  <c:v>44.992000000000004</c:v>
                </c:pt>
                <c:pt idx="588">
                  <c:v>45.241</c:v>
                </c:pt>
                <c:pt idx="589">
                  <c:v>45.486499999999992</c:v>
                </c:pt>
                <c:pt idx="590">
                  <c:v>45.80899999999999</c:v>
                </c:pt>
                <c:pt idx="591">
                  <c:v>46.084999999999994</c:v>
                </c:pt>
                <c:pt idx="592">
                  <c:v>46.275499999999994</c:v>
                </c:pt>
                <c:pt idx="593">
                  <c:v>46.423999999999992</c:v>
                </c:pt>
                <c:pt idx="594">
                  <c:v>46.592999999999996</c:v>
                </c:pt>
                <c:pt idx="595">
                  <c:v>46.810499999999998</c:v>
                </c:pt>
                <c:pt idx="596">
                  <c:v>47.081500000000005</c:v>
                </c:pt>
                <c:pt idx="597">
                  <c:v>47.350000000000009</c:v>
                </c:pt>
                <c:pt idx="598">
                  <c:v>47.568000000000005</c:v>
                </c:pt>
                <c:pt idx="599">
                  <c:v>47.8245</c:v>
                </c:pt>
                <c:pt idx="600">
                  <c:v>48.170500000000011</c:v>
                </c:pt>
                <c:pt idx="601">
                  <c:v>48.498000000000005</c:v>
                </c:pt>
                <c:pt idx="602">
                  <c:v>48.713500000000003</c:v>
                </c:pt>
                <c:pt idx="603">
                  <c:v>48.836000000000013</c:v>
                </c:pt>
                <c:pt idx="604">
                  <c:v>48.969500000000011</c:v>
                </c:pt>
                <c:pt idx="605">
                  <c:v>49.00800000000001</c:v>
                </c:pt>
                <c:pt idx="606">
                  <c:v>48.9895</c:v>
                </c:pt>
                <c:pt idx="607">
                  <c:v>48.890500000000003</c:v>
                </c:pt>
                <c:pt idx="608">
                  <c:v>48.8825</c:v>
                </c:pt>
                <c:pt idx="609">
                  <c:v>48.968999999999994</c:v>
                </c:pt>
                <c:pt idx="610">
                  <c:v>49.010499999999993</c:v>
                </c:pt>
                <c:pt idx="611">
                  <c:v>49.066499999999998</c:v>
                </c:pt>
                <c:pt idx="612">
                  <c:v>49.078499999999998</c:v>
                </c:pt>
                <c:pt idx="613">
                  <c:v>48.963499999999996</c:v>
                </c:pt>
                <c:pt idx="614">
                  <c:v>48.785499999999999</c:v>
                </c:pt>
                <c:pt idx="615">
                  <c:v>48.726999999999997</c:v>
                </c:pt>
                <c:pt idx="616">
                  <c:v>48.766000000000005</c:v>
                </c:pt>
                <c:pt idx="617">
                  <c:v>48.722499999999997</c:v>
                </c:pt>
                <c:pt idx="618">
                  <c:v>48.738999999999997</c:v>
                </c:pt>
                <c:pt idx="619">
                  <c:v>48.589999999999996</c:v>
                </c:pt>
                <c:pt idx="620">
                  <c:v>48.44</c:v>
                </c:pt>
                <c:pt idx="621">
                  <c:v>48.139499999999998</c:v>
                </c:pt>
                <c:pt idx="622">
                  <c:v>47.881999999999998</c:v>
                </c:pt>
                <c:pt idx="623">
                  <c:v>47.664000000000001</c:v>
                </c:pt>
                <c:pt idx="624">
                  <c:v>47.560500000000005</c:v>
                </c:pt>
                <c:pt idx="625">
                  <c:v>47.379500000000007</c:v>
                </c:pt>
                <c:pt idx="626">
                  <c:v>47.26550000000001</c:v>
                </c:pt>
                <c:pt idx="627">
                  <c:v>47.25500000000001</c:v>
                </c:pt>
                <c:pt idx="628">
                  <c:v>47.116500000000002</c:v>
                </c:pt>
                <c:pt idx="629">
                  <c:v>46.878500000000003</c:v>
                </c:pt>
                <c:pt idx="630">
                  <c:v>46.679000000000002</c:v>
                </c:pt>
                <c:pt idx="631">
                  <c:v>46.419000000000004</c:v>
                </c:pt>
                <c:pt idx="632">
                  <c:v>46.122500000000002</c:v>
                </c:pt>
                <c:pt idx="633">
                  <c:v>45.907500000000006</c:v>
                </c:pt>
                <c:pt idx="634">
                  <c:v>45.725499999999997</c:v>
                </c:pt>
                <c:pt idx="635">
                  <c:v>45.423999999999999</c:v>
                </c:pt>
                <c:pt idx="636">
                  <c:v>44.988</c:v>
                </c:pt>
                <c:pt idx="637">
                  <c:v>44.651499999999999</c:v>
                </c:pt>
                <c:pt idx="638">
                  <c:v>44.202999999999989</c:v>
                </c:pt>
                <c:pt idx="639">
                  <c:v>43.841499999999989</c:v>
                </c:pt>
                <c:pt idx="640">
                  <c:v>43.512999999999991</c:v>
                </c:pt>
                <c:pt idx="641">
                  <c:v>43.347999999999985</c:v>
                </c:pt>
                <c:pt idx="642">
                  <c:v>43.170999999999985</c:v>
                </c:pt>
                <c:pt idx="643">
                  <c:v>43.087499999999991</c:v>
                </c:pt>
                <c:pt idx="644">
                  <c:v>42.885499999999993</c:v>
                </c:pt>
                <c:pt idx="645">
                  <c:v>42.729499999999987</c:v>
                </c:pt>
                <c:pt idx="646">
                  <c:v>42.62299999999999</c:v>
                </c:pt>
                <c:pt idx="647">
                  <c:v>42.55</c:v>
                </c:pt>
                <c:pt idx="648">
                  <c:v>42.5745</c:v>
                </c:pt>
                <c:pt idx="649">
                  <c:v>42.671000000000006</c:v>
                </c:pt>
                <c:pt idx="650">
                  <c:v>42.763500000000008</c:v>
                </c:pt>
                <c:pt idx="651">
                  <c:v>42.975500000000011</c:v>
                </c:pt>
                <c:pt idx="652">
                  <c:v>43.229000000000006</c:v>
                </c:pt>
                <c:pt idx="653">
                  <c:v>43.448999999999998</c:v>
                </c:pt>
                <c:pt idx="654">
                  <c:v>43.718000000000004</c:v>
                </c:pt>
                <c:pt idx="655">
                  <c:v>43.9375</c:v>
                </c:pt>
                <c:pt idx="656">
                  <c:v>44.229500000000009</c:v>
                </c:pt>
                <c:pt idx="657">
                  <c:v>44.534499999999994</c:v>
                </c:pt>
                <c:pt idx="658">
                  <c:v>44.880499999999998</c:v>
                </c:pt>
                <c:pt idx="659">
                  <c:v>45.221500000000006</c:v>
                </c:pt>
                <c:pt idx="660">
                  <c:v>45.415499999999994</c:v>
                </c:pt>
                <c:pt idx="661">
                  <c:v>45.477999999999994</c:v>
                </c:pt>
                <c:pt idx="662">
                  <c:v>45.605999999999995</c:v>
                </c:pt>
                <c:pt idx="663">
                  <c:v>45.672499999999999</c:v>
                </c:pt>
                <c:pt idx="664">
                  <c:v>45.775999999999996</c:v>
                </c:pt>
                <c:pt idx="665">
                  <c:v>45.962000000000003</c:v>
                </c:pt>
                <c:pt idx="666">
                  <c:v>46.167999999999999</c:v>
                </c:pt>
                <c:pt idx="667">
                  <c:v>46.238500000000002</c:v>
                </c:pt>
                <c:pt idx="668">
                  <c:v>46.266499999999994</c:v>
                </c:pt>
                <c:pt idx="669">
                  <c:v>46.183499999999995</c:v>
                </c:pt>
                <c:pt idx="670">
                  <c:v>46.023999999999994</c:v>
                </c:pt>
                <c:pt idx="671">
                  <c:v>45.8065</c:v>
                </c:pt>
                <c:pt idx="672">
                  <c:v>45.534499999999994</c:v>
                </c:pt>
                <c:pt idx="673">
                  <c:v>45.361499999999999</c:v>
                </c:pt>
                <c:pt idx="674">
                  <c:v>45.177</c:v>
                </c:pt>
                <c:pt idx="675">
                  <c:v>45.129000000000005</c:v>
                </c:pt>
                <c:pt idx="676">
                  <c:v>45.085500000000003</c:v>
                </c:pt>
                <c:pt idx="677">
                  <c:v>44.921500000000002</c:v>
                </c:pt>
                <c:pt idx="678">
                  <c:v>44.853000000000002</c:v>
                </c:pt>
                <c:pt idx="679">
                  <c:v>44.769500000000008</c:v>
                </c:pt>
                <c:pt idx="680">
                  <c:v>44.889000000000003</c:v>
                </c:pt>
                <c:pt idx="681">
                  <c:v>45.116500000000009</c:v>
                </c:pt>
                <c:pt idx="682">
                  <c:v>45.283000000000008</c:v>
                </c:pt>
                <c:pt idx="683">
                  <c:v>45.50350000000001</c:v>
                </c:pt>
                <c:pt idx="684">
                  <c:v>45.694499999999998</c:v>
                </c:pt>
                <c:pt idx="685">
                  <c:v>45.908500000000004</c:v>
                </c:pt>
                <c:pt idx="686">
                  <c:v>46.048999999999999</c:v>
                </c:pt>
                <c:pt idx="687">
                  <c:v>46.243000000000009</c:v>
                </c:pt>
                <c:pt idx="688">
                  <c:v>46.416999999999994</c:v>
                </c:pt>
                <c:pt idx="689">
                  <c:v>46.707499999999996</c:v>
                </c:pt>
                <c:pt idx="690">
                  <c:v>47.033499999999997</c:v>
                </c:pt>
                <c:pt idx="691">
                  <c:v>47.364499999999992</c:v>
                </c:pt>
                <c:pt idx="692">
                  <c:v>47.730000000000004</c:v>
                </c:pt>
                <c:pt idx="693">
                  <c:v>48.061500000000002</c:v>
                </c:pt>
                <c:pt idx="694">
                  <c:v>48.384</c:v>
                </c:pt>
                <c:pt idx="695">
                  <c:v>48.69700000000001</c:v>
                </c:pt>
                <c:pt idx="696">
                  <c:v>48.907500000000006</c:v>
                </c:pt>
                <c:pt idx="697">
                  <c:v>49.220000000000013</c:v>
                </c:pt>
                <c:pt idx="698">
                  <c:v>49.448999999999998</c:v>
                </c:pt>
                <c:pt idx="699">
                  <c:v>49.689</c:v>
                </c:pt>
                <c:pt idx="700">
                  <c:v>49.773000000000003</c:v>
                </c:pt>
                <c:pt idx="701">
                  <c:v>49.872500000000002</c:v>
                </c:pt>
                <c:pt idx="702">
                  <c:v>49.922499999999999</c:v>
                </c:pt>
                <c:pt idx="703">
                  <c:v>49.824000000000005</c:v>
                </c:pt>
                <c:pt idx="704">
                  <c:v>49.723500000000001</c:v>
                </c:pt>
                <c:pt idx="705">
                  <c:v>49.502000000000002</c:v>
                </c:pt>
                <c:pt idx="706">
                  <c:v>49.213000000000001</c:v>
                </c:pt>
                <c:pt idx="707">
                  <c:v>48.928500000000007</c:v>
                </c:pt>
                <c:pt idx="708">
                  <c:v>48.684500000000007</c:v>
                </c:pt>
                <c:pt idx="709">
                  <c:v>48.396500000000017</c:v>
                </c:pt>
                <c:pt idx="710">
                  <c:v>48.14950000000001</c:v>
                </c:pt>
                <c:pt idx="711">
                  <c:v>47.857000000000006</c:v>
                </c:pt>
                <c:pt idx="712">
                  <c:v>47.509000000000007</c:v>
                </c:pt>
                <c:pt idx="713">
                  <c:v>47.175000000000004</c:v>
                </c:pt>
                <c:pt idx="714">
                  <c:v>46.953000000000003</c:v>
                </c:pt>
                <c:pt idx="715">
                  <c:v>46.651500000000013</c:v>
                </c:pt>
                <c:pt idx="716">
                  <c:v>46.404499999999999</c:v>
                </c:pt>
                <c:pt idx="717">
                  <c:v>46.158500000000004</c:v>
                </c:pt>
                <c:pt idx="718">
                  <c:v>46.023499999999999</c:v>
                </c:pt>
                <c:pt idx="719">
                  <c:v>45.954499999999989</c:v>
                </c:pt>
                <c:pt idx="720">
                  <c:v>45.853000000000002</c:v>
                </c:pt>
                <c:pt idx="721">
                  <c:v>45.703500000000005</c:v>
                </c:pt>
                <c:pt idx="722">
                  <c:v>45.603500000000004</c:v>
                </c:pt>
                <c:pt idx="723">
                  <c:v>45.545000000000002</c:v>
                </c:pt>
                <c:pt idx="724">
                  <c:v>45.476500000000001</c:v>
                </c:pt>
                <c:pt idx="725">
                  <c:v>45.680999999999997</c:v>
                </c:pt>
                <c:pt idx="726">
                  <c:v>46.002000000000002</c:v>
                </c:pt>
                <c:pt idx="727">
                  <c:v>46.383500000000012</c:v>
                </c:pt>
                <c:pt idx="728">
                  <c:v>46.725500000000004</c:v>
                </c:pt>
                <c:pt idx="729">
                  <c:v>47.025000000000006</c:v>
                </c:pt>
                <c:pt idx="730">
                  <c:v>47.257500000000007</c:v>
                </c:pt>
                <c:pt idx="731">
                  <c:v>47.568500000000014</c:v>
                </c:pt>
                <c:pt idx="732">
                  <c:v>47.974500000000006</c:v>
                </c:pt>
                <c:pt idx="733">
                  <c:v>48.447000000000017</c:v>
                </c:pt>
                <c:pt idx="734">
                  <c:v>48.803500000000014</c:v>
                </c:pt>
                <c:pt idx="735">
                  <c:v>49.076000000000008</c:v>
                </c:pt>
                <c:pt idx="736">
                  <c:v>49.352500000000006</c:v>
                </c:pt>
                <c:pt idx="737">
                  <c:v>49.664500000000004</c:v>
                </c:pt>
                <c:pt idx="738">
                  <c:v>49.897000000000006</c:v>
                </c:pt>
                <c:pt idx="739">
                  <c:v>50.104499999999994</c:v>
                </c:pt>
                <c:pt idx="740">
                  <c:v>50.340499999999999</c:v>
                </c:pt>
                <c:pt idx="741">
                  <c:v>50.603499999999997</c:v>
                </c:pt>
                <c:pt idx="742">
                  <c:v>50.867999999999995</c:v>
                </c:pt>
                <c:pt idx="743">
                  <c:v>51.225999999999999</c:v>
                </c:pt>
                <c:pt idx="744">
                  <c:v>51.662000000000013</c:v>
                </c:pt>
                <c:pt idx="745">
                  <c:v>51.881500000000003</c:v>
                </c:pt>
                <c:pt idx="746">
                  <c:v>52.015000000000008</c:v>
                </c:pt>
                <c:pt idx="747">
                  <c:v>52.048000000000002</c:v>
                </c:pt>
                <c:pt idx="748">
                  <c:v>52.125</c:v>
                </c:pt>
                <c:pt idx="749">
                  <c:v>52.265999999999998</c:v>
                </c:pt>
                <c:pt idx="750">
                  <c:v>52.472500000000004</c:v>
                </c:pt>
                <c:pt idx="751">
                  <c:v>52.527999999999999</c:v>
                </c:pt>
                <c:pt idx="752">
                  <c:v>52.493500000000004</c:v>
                </c:pt>
                <c:pt idx="753">
                  <c:v>52.466000000000008</c:v>
                </c:pt>
                <c:pt idx="754">
                  <c:v>52.467000000000006</c:v>
                </c:pt>
                <c:pt idx="755">
                  <c:v>52.534500000000001</c:v>
                </c:pt>
                <c:pt idx="756">
                  <c:v>52.612000000000002</c:v>
                </c:pt>
                <c:pt idx="757">
                  <c:v>52.5715</c:v>
                </c:pt>
                <c:pt idx="758">
                  <c:v>52.534500000000016</c:v>
                </c:pt>
                <c:pt idx="759">
                  <c:v>52.540000000000006</c:v>
                </c:pt>
                <c:pt idx="760">
                  <c:v>52.606500000000004</c:v>
                </c:pt>
                <c:pt idx="761">
                  <c:v>52.626500000000007</c:v>
                </c:pt>
                <c:pt idx="762">
                  <c:v>52.633000000000003</c:v>
                </c:pt>
                <c:pt idx="763">
                  <c:v>52.653999999999996</c:v>
                </c:pt>
                <c:pt idx="764">
                  <c:v>52.612499999999997</c:v>
                </c:pt>
                <c:pt idx="765">
                  <c:v>52.553999999999995</c:v>
                </c:pt>
                <c:pt idx="766">
                  <c:v>52.503999999999998</c:v>
                </c:pt>
                <c:pt idx="767">
                  <c:v>52.580999999999996</c:v>
                </c:pt>
                <c:pt idx="768">
                  <c:v>52.595499999999994</c:v>
                </c:pt>
                <c:pt idx="769">
                  <c:v>52.597499999999989</c:v>
                </c:pt>
                <c:pt idx="770">
                  <c:v>52.548999999999992</c:v>
                </c:pt>
                <c:pt idx="771">
                  <c:v>52.560999999999993</c:v>
                </c:pt>
                <c:pt idx="772">
                  <c:v>52.638499999999986</c:v>
                </c:pt>
                <c:pt idx="773">
                  <c:v>52.678499999999985</c:v>
                </c:pt>
                <c:pt idx="774">
                  <c:v>52.719999999999992</c:v>
                </c:pt>
                <c:pt idx="775">
                  <c:v>52.75</c:v>
                </c:pt>
                <c:pt idx="776">
                  <c:v>52.788000000000011</c:v>
                </c:pt>
                <c:pt idx="777">
                  <c:v>52.887500000000003</c:v>
                </c:pt>
                <c:pt idx="778">
                  <c:v>52.988500000000009</c:v>
                </c:pt>
                <c:pt idx="779">
                  <c:v>53.042500000000004</c:v>
                </c:pt>
                <c:pt idx="780">
                  <c:v>53.105000000000004</c:v>
                </c:pt>
                <c:pt idx="781">
                  <c:v>53.166499999999999</c:v>
                </c:pt>
                <c:pt idx="782">
                  <c:v>53.283500000000004</c:v>
                </c:pt>
                <c:pt idx="783">
                  <c:v>53.321000000000005</c:v>
                </c:pt>
                <c:pt idx="784">
                  <c:v>53.363999999999997</c:v>
                </c:pt>
                <c:pt idx="785">
                  <c:v>53.432500000000005</c:v>
                </c:pt>
                <c:pt idx="786">
                  <c:v>53.48599999999999</c:v>
                </c:pt>
                <c:pt idx="787">
                  <c:v>53.422499999999999</c:v>
                </c:pt>
                <c:pt idx="788">
                  <c:v>53.411500000000004</c:v>
                </c:pt>
                <c:pt idx="789">
                  <c:v>53.380499999999998</c:v>
                </c:pt>
                <c:pt idx="790">
                  <c:v>53.364000000000011</c:v>
                </c:pt>
                <c:pt idx="791">
                  <c:v>53.246000000000002</c:v>
                </c:pt>
                <c:pt idx="792">
                  <c:v>53.064999999999998</c:v>
                </c:pt>
                <c:pt idx="793">
                  <c:v>52.817999999999998</c:v>
                </c:pt>
                <c:pt idx="794">
                  <c:v>52.523499999999999</c:v>
                </c:pt>
                <c:pt idx="795">
                  <c:v>52.237499999999997</c:v>
                </c:pt>
                <c:pt idx="796">
                  <c:v>51.994000000000007</c:v>
                </c:pt>
                <c:pt idx="797">
                  <c:v>51.75350000000001</c:v>
                </c:pt>
                <c:pt idx="798">
                  <c:v>51.5</c:v>
                </c:pt>
                <c:pt idx="799">
                  <c:v>51.218999999999994</c:v>
                </c:pt>
                <c:pt idx="800">
                  <c:v>50.869</c:v>
                </c:pt>
                <c:pt idx="801">
                  <c:v>50.552999999999997</c:v>
                </c:pt>
                <c:pt idx="802">
                  <c:v>50.178999999999995</c:v>
                </c:pt>
                <c:pt idx="803">
                  <c:v>49.844499999999996</c:v>
                </c:pt>
                <c:pt idx="804">
                  <c:v>49.493499999999997</c:v>
                </c:pt>
                <c:pt idx="805">
                  <c:v>49.211499999999987</c:v>
                </c:pt>
                <c:pt idx="806">
                  <c:v>48.993999999999993</c:v>
                </c:pt>
                <c:pt idx="807">
                  <c:v>48.877499999999991</c:v>
                </c:pt>
                <c:pt idx="808">
                  <c:v>48.737999999999985</c:v>
                </c:pt>
                <c:pt idx="809">
                  <c:v>48.590999999999994</c:v>
                </c:pt>
                <c:pt idx="810">
                  <c:v>48.506499999999996</c:v>
                </c:pt>
                <c:pt idx="811">
                  <c:v>48.571999999999996</c:v>
                </c:pt>
                <c:pt idx="812">
                  <c:v>48.718999999999994</c:v>
                </c:pt>
                <c:pt idx="813">
                  <c:v>48.928999999999995</c:v>
                </c:pt>
                <c:pt idx="814">
                  <c:v>49.184499999999993</c:v>
                </c:pt>
                <c:pt idx="815">
                  <c:v>49.491499999999988</c:v>
                </c:pt>
                <c:pt idx="816">
                  <c:v>49.730499999999992</c:v>
                </c:pt>
                <c:pt idx="817">
                  <c:v>49.975000000000001</c:v>
                </c:pt>
                <c:pt idx="818">
                  <c:v>50.189000000000007</c:v>
                </c:pt>
                <c:pt idx="819">
                  <c:v>50.422500000000007</c:v>
                </c:pt>
                <c:pt idx="820">
                  <c:v>50.595999999999997</c:v>
                </c:pt>
                <c:pt idx="821">
                  <c:v>50.744500000000002</c:v>
                </c:pt>
                <c:pt idx="822">
                  <c:v>50.8765</c:v>
                </c:pt>
                <c:pt idx="823">
                  <c:v>50.956499999999998</c:v>
                </c:pt>
                <c:pt idx="824">
                  <c:v>51.066500000000005</c:v>
                </c:pt>
                <c:pt idx="825">
                  <c:v>51.109500000000011</c:v>
                </c:pt>
                <c:pt idx="826">
                  <c:v>51.08400000000001</c:v>
                </c:pt>
                <c:pt idx="827">
                  <c:v>51.034500000000001</c:v>
                </c:pt>
                <c:pt idx="828">
                  <c:v>50.949000000000005</c:v>
                </c:pt>
                <c:pt idx="829">
                  <c:v>50.819000000000003</c:v>
                </c:pt>
                <c:pt idx="830">
                  <c:v>50.659000000000006</c:v>
                </c:pt>
                <c:pt idx="831">
                  <c:v>50.379499999999993</c:v>
                </c:pt>
                <c:pt idx="832">
                  <c:v>50.106500000000004</c:v>
                </c:pt>
                <c:pt idx="833">
                  <c:v>49.817000000000007</c:v>
                </c:pt>
                <c:pt idx="834">
                  <c:v>49.456000000000003</c:v>
                </c:pt>
                <c:pt idx="835">
                  <c:v>49.151000000000003</c:v>
                </c:pt>
                <c:pt idx="836">
                  <c:v>48.8855</c:v>
                </c:pt>
                <c:pt idx="837">
                  <c:v>48.6175</c:v>
                </c:pt>
                <c:pt idx="838">
                  <c:v>48.429500000000004</c:v>
                </c:pt>
                <c:pt idx="839">
                  <c:v>48.238500000000002</c:v>
                </c:pt>
                <c:pt idx="840">
                  <c:v>48.166000000000004</c:v>
                </c:pt>
                <c:pt idx="841">
                  <c:v>48.121000000000002</c:v>
                </c:pt>
                <c:pt idx="842">
                  <c:v>48.155000000000001</c:v>
                </c:pt>
                <c:pt idx="843">
                  <c:v>48.250500000000009</c:v>
                </c:pt>
                <c:pt idx="844">
                  <c:v>48.345500000000008</c:v>
                </c:pt>
                <c:pt idx="845">
                  <c:v>48.434000000000012</c:v>
                </c:pt>
                <c:pt idx="846">
                  <c:v>48.414499999999997</c:v>
                </c:pt>
                <c:pt idx="847">
                  <c:v>48.428000000000004</c:v>
                </c:pt>
                <c:pt idx="848">
                  <c:v>48.468000000000004</c:v>
                </c:pt>
                <c:pt idx="849">
                  <c:v>48.5</c:v>
                </c:pt>
                <c:pt idx="850">
                  <c:v>48.526500000000006</c:v>
                </c:pt>
                <c:pt idx="851">
                  <c:v>48.633000000000003</c:v>
                </c:pt>
                <c:pt idx="852">
                  <c:v>48.691500000000005</c:v>
                </c:pt>
                <c:pt idx="853">
                  <c:v>48.774999999999999</c:v>
                </c:pt>
                <c:pt idx="854">
                  <c:v>48.773000000000003</c:v>
                </c:pt>
                <c:pt idx="855">
                  <c:v>48.692999999999998</c:v>
                </c:pt>
                <c:pt idx="856">
                  <c:v>48.593499999999992</c:v>
                </c:pt>
                <c:pt idx="857">
                  <c:v>48.506999999999991</c:v>
                </c:pt>
                <c:pt idx="858">
                  <c:v>48.384499999999996</c:v>
                </c:pt>
                <c:pt idx="859">
                  <c:v>48.191999999999993</c:v>
                </c:pt>
                <c:pt idx="860">
                  <c:v>47.963499999999996</c:v>
                </c:pt>
                <c:pt idx="861">
                  <c:v>47.731999999999999</c:v>
                </c:pt>
                <c:pt idx="862">
                  <c:v>47.427999999999997</c:v>
                </c:pt>
                <c:pt idx="863">
                  <c:v>47.054500000000004</c:v>
                </c:pt>
                <c:pt idx="864">
                  <c:v>46.622500000000002</c:v>
                </c:pt>
                <c:pt idx="865">
                  <c:v>46.1995</c:v>
                </c:pt>
                <c:pt idx="866">
                  <c:v>45.914000000000001</c:v>
                </c:pt>
                <c:pt idx="867">
                  <c:v>45.597000000000008</c:v>
                </c:pt>
                <c:pt idx="868">
                  <c:v>45.328000000000003</c:v>
                </c:pt>
                <c:pt idx="869">
                  <c:v>45.150500000000008</c:v>
                </c:pt>
                <c:pt idx="870">
                  <c:v>44.978500000000004</c:v>
                </c:pt>
                <c:pt idx="871">
                  <c:v>44.895500000000006</c:v>
                </c:pt>
                <c:pt idx="872">
                  <c:v>44.826500000000003</c:v>
                </c:pt>
                <c:pt idx="873">
                  <c:v>44.6755</c:v>
                </c:pt>
                <c:pt idx="874">
                  <c:v>44.661500000000004</c:v>
                </c:pt>
                <c:pt idx="875">
                  <c:v>44.589999999999996</c:v>
                </c:pt>
                <c:pt idx="876">
                  <c:v>44.518999999999991</c:v>
                </c:pt>
                <c:pt idx="877">
                  <c:v>44.466999999999999</c:v>
                </c:pt>
                <c:pt idx="878">
                  <c:v>44.420500000000004</c:v>
                </c:pt>
                <c:pt idx="879">
                  <c:v>44.483999999999995</c:v>
                </c:pt>
                <c:pt idx="880">
                  <c:v>44.587000000000003</c:v>
                </c:pt>
                <c:pt idx="881">
                  <c:v>44.651499999999984</c:v>
                </c:pt>
                <c:pt idx="882">
                  <c:v>44.759499999999996</c:v>
                </c:pt>
                <c:pt idx="883">
                  <c:v>44.947499999999991</c:v>
                </c:pt>
                <c:pt idx="884">
                  <c:v>45.159999999999989</c:v>
                </c:pt>
                <c:pt idx="885">
                  <c:v>45.322499999999991</c:v>
                </c:pt>
                <c:pt idx="886">
                  <c:v>45.489999999999995</c:v>
                </c:pt>
                <c:pt idx="887">
                  <c:v>45.716499999999996</c:v>
                </c:pt>
                <c:pt idx="888">
                  <c:v>45.933000000000007</c:v>
                </c:pt>
                <c:pt idx="889">
                  <c:v>46.148499999999999</c:v>
                </c:pt>
                <c:pt idx="890">
                  <c:v>46.390500000000003</c:v>
                </c:pt>
                <c:pt idx="891">
                  <c:v>46.600000000000009</c:v>
                </c:pt>
                <c:pt idx="892">
                  <c:v>46.758500000000005</c:v>
                </c:pt>
                <c:pt idx="893">
                  <c:v>46.982999999999997</c:v>
                </c:pt>
                <c:pt idx="894">
                  <c:v>47.158499999999997</c:v>
                </c:pt>
                <c:pt idx="895">
                  <c:v>47.424500000000009</c:v>
                </c:pt>
                <c:pt idx="896">
                  <c:v>47.673000000000009</c:v>
                </c:pt>
                <c:pt idx="897">
                  <c:v>47.8735</c:v>
                </c:pt>
                <c:pt idx="898">
                  <c:v>48.079000000000001</c:v>
                </c:pt>
                <c:pt idx="899">
                  <c:v>48.203000000000003</c:v>
                </c:pt>
                <c:pt idx="900">
                  <c:v>48.317000000000007</c:v>
                </c:pt>
                <c:pt idx="901">
                  <c:v>48.395500000000013</c:v>
                </c:pt>
                <c:pt idx="902">
                  <c:v>48.454000000000008</c:v>
                </c:pt>
                <c:pt idx="903">
                  <c:v>48.439000000000007</c:v>
                </c:pt>
                <c:pt idx="904">
                  <c:v>48.45600000000001</c:v>
                </c:pt>
                <c:pt idx="905">
                  <c:v>48.596500000000006</c:v>
                </c:pt>
                <c:pt idx="906">
                  <c:v>48.655500000000004</c:v>
                </c:pt>
                <c:pt idx="907">
                  <c:v>48.649500000000003</c:v>
                </c:pt>
                <c:pt idx="908">
                  <c:v>48.643000000000008</c:v>
                </c:pt>
                <c:pt idx="909">
                  <c:v>48.552500000000009</c:v>
                </c:pt>
                <c:pt idx="910">
                  <c:v>48.449000000000005</c:v>
                </c:pt>
                <c:pt idx="911">
                  <c:v>48.258500000000005</c:v>
                </c:pt>
                <c:pt idx="912">
                  <c:v>48.122000000000007</c:v>
                </c:pt>
                <c:pt idx="913">
                  <c:v>47.940000000000012</c:v>
                </c:pt>
                <c:pt idx="914">
                  <c:v>47.851500000000001</c:v>
                </c:pt>
                <c:pt idx="915">
                  <c:v>47.739000000000004</c:v>
                </c:pt>
                <c:pt idx="916">
                  <c:v>47.702000000000005</c:v>
                </c:pt>
                <c:pt idx="917">
                  <c:v>47.704999999999998</c:v>
                </c:pt>
                <c:pt idx="918">
                  <c:v>47.680500000000002</c:v>
                </c:pt>
                <c:pt idx="919">
                  <c:v>47.625500000000002</c:v>
                </c:pt>
                <c:pt idx="920">
                  <c:v>47.588000000000001</c:v>
                </c:pt>
                <c:pt idx="921">
                  <c:v>47.619000000000007</c:v>
                </c:pt>
                <c:pt idx="922">
                  <c:v>47.705499999999994</c:v>
                </c:pt>
                <c:pt idx="923">
                  <c:v>47.858499999999999</c:v>
                </c:pt>
                <c:pt idx="924">
                  <c:v>47.999999999999986</c:v>
                </c:pt>
                <c:pt idx="925">
                  <c:v>48.064499999999995</c:v>
                </c:pt>
                <c:pt idx="926">
                  <c:v>48.171999999999997</c:v>
                </c:pt>
                <c:pt idx="927">
                  <c:v>48.303999999999988</c:v>
                </c:pt>
                <c:pt idx="928">
                  <c:v>48.410499999999999</c:v>
                </c:pt>
                <c:pt idx="929">
                  <c:v>48.565000000000005</c:v>
                </c:pt>
                <c:pt idx="930">
                  <c:v>48.774999999999999</c:v>
                </c:pt>
                <c:pt idx="931">
                  <c:v>49.034500000000001</c:v>
                </c:pt>
                <c:pt idx="932">
                  <c:v>49.3185</c:v>
                </c:pt>
                <c:pt idx="933">
                  <c:v>49.601500000000001</c:v>
                </c:pt>
                <c:pt idx="934">
                  <c:v>49.822000000000003</c:v>
                </c:pt>
                <c:pt idx="935">
                  <c:v>49.985500000000002</c:v>
                </c:pt>
                <c:pt idx="936">
                  <c:v>50.076000000000008</c:v>
                </c:pt>
                <c:pt idx="937">
                  <c:v>50.119500000000002</c:v>
                </c:pt>
                <c:pt idx="938">
                  <c:v>50.203999999999994</c:v>
                </c:pt>
                <c:pt idx="939">
                  <c:v>50.299000000000007</c:v>
                </c:pt>
                <c:pt idx="940">
                  <c:v>50.375</c:v>
                </c:pt>
                <c:pt idx="941">
                  <c:v>50.510999999999996</c:v>
                </c:pt>
                <c:pt idx="942">
                  <c:v>50.610999999999997</c:v>
                </c:pt>
                <c:pt idx="943">
                  <c:v>50.648499999999999</c:v>
                </c:pt>
                <c:pt idx="944">
                  <c:v>50.724999999999994</c:v>
                </c:pt>
                <c:pt idx="945">
                  <c:v>50.823999999999998</c:v>
                </c:pt>
                <c:pt idx="946">
                  <c:v>50.940499999999993</c:v>
                </c:pt>
                <c:pt idx="947">
                  <c:v>51.028499999999994</c:v>
                </c:pt>
                <c:pt idx="948">
                  <c:v>51.064</c:v>
                </c:pt>
                <c:pt idx="949">
                  <c:v>51.128999999999998</c:v>
                </c:pt>
                <c:pt idx="950">
                  <c:v>51.131999999999991</c:v>
                </c:pt>
                <c:pt idx="951">
                  <c:v>51.168499999999995</c:v>
                </c:pt>
                <c:pt idx="952">
                  <c:v>51.16</c:v>
                </c:pt>
                <c:pt idx="953">
                  <c:v>51.199499999999993</c:v>
                </c:pt>
                <c:pt idx="954">
                  <c:v>51.311999999999998</c:v>
                </c:pt>
                <c:pt idx="955">
                  <c:v>51.487999999999985</c:v>
                </c:pt>
                <c:pt idx="956">
                  <c:v>51.68399999999999</c:v>
                </c:pt>
                <c:pt idx="957">
                  <c:v>51.9</c:v>
                </c:pt>
                <c:pt idx="958">
                  <c:v>52.088000000000008</c:v>
                </c:pt>
                <c:pt idx="959">
                  <c:v>52.402500000000011</c:v>
                </c:pt>
                <c:pt idx="960">
                  <c:v>52.790499999999994</c:v>
                </c:pt>
                <c:pt idx="961">
                  <c:v>53.103500000000011</c:v>
                </c:pt>
                <c:pt idx="962">
                  <c:v>53.379499999999993</c:v>
                </c:pt>
                <c:pt idx="963">
                  <c:v>53.706999999999994</c:v>
                </c:pt>
                <c:pt idx="964">
                  <c:v>53.972999999999999</c:v>
                </c:pt>
                <c:pt idx="965">
                  <c:v>54.218499999999992</c:v>
                </c:pt>
                <c:pt idx="966">
                  <c:v>54.408500000000004</c:v>
                </c:pt>
                <c:pt idx="967">
                  <c:v>54.570000000000007</c:v>
                </c:pt>
                <c:pt idx="968">
                  <c:v>54.76250000000001</c:v>
                </c:pt>
                <c:pt idx="969">
                  <c:v>54.991499999999995</c:v>
                </c:pt>
                <c:pt idx="970">
                  <c:v>55.206500000000005</c:v>
                </c:pt>
                <c:pt idx="971">
                  <c:v>55.43249999999999</c:v>
                </c:pt>
                <c:pt idx="972">
                  <c:v>55.727999999999994</c:v>
                </c:pt>
                <c:pt idx="973">
                  <c:v>56.054500000000004</c:v>
                </c:pt>
                <c:pt idx="974">
                  <c:v>56.263499999999986</c:v>
                </c:pt>
                <c:pt idx="975">
                  <c:v>56.455999999999996</c:v>
                </c:pt>
                <c:pt idx="976">
                  <c:v>56.600499999999997</c:v>
                </c:pt>
                <c:pt idx="977">
                  <c:v>56.754500000000007</c:v>
                </c:pt>
                <c:pt idx="978">
                  <c:v>56.944500000000005</c:v>
                </c:pt>
                <c:pt idx="979">
                  <c:v>57.036999999999999</c:v>
                </c:pt>
                <c:pt idx="980">
                  <c:v>57.052999999999997</c:v>
                </c:pt>
                <c:pt idx="981">
                  <c:v>56.983000000000004</c:v>
                </c:pt>
                <c:pt idx="982">
                  <c:v>56.966999999999999</c:v>
                </c:pt>
                <c:pt idx="983">
                  <c:v>56.966500000000011</c:v>
                </c:pt>
                <c:pt idx="984">
                  <c:v>57.020999999999994</c:v>
                </c:pt>
                <c:pt idx="985">
                  <c:v>57.038499999999985</c:v>
                </c:pt>
                <c:pt idx="986">
                  <c:v>57.084499999999991</c:v>
                </c:pt>
                <c:pt idx="987">
                  <c:v>57.17049999999999</c:v>
                </c:pt>
                <c:pt idx="988">
                  <c:v>57.277999999999999</c:v>
                </c:pt>
                <c:pt idx="989">
                  <c:v>57.326000000000001</c:v>
                </c:pt>
                <c:pt idx="990">
                  <c:v>57.39</c:v>
                </c:pt>
                <c:pt idx="991">
                  <c:v>57.452500000000001</c:v>
                </c:pt>
                <c:pt idx="992">
                  <c:v>57.47549999999999</c:v>
                </c:pt>
                <c:pt idx="993">
                  <c:v>57.440999999999995</c:v>
                </c:pt>
                <c:pt idx="994">
                  <c:v>57.513500000000001</c:v>
                </c:pt>
                <c:pt idx="995">
                  <c:v>57.599000000000004</c:v>
                </c:pt>
                <c:pt idx="996">
                  <c:v>57.728499999999997</c:v>
                </c:pt>
                <c:pt idx="997">
                  <c:v>57.881499999999996</c:v>
                </c:pt>
                <c:pt idx="998">
                  <c:v>57.982499999999995</c:v>
                </c:pt>
                <c:pt idx="999">
                  <c:v>58.188999999999986</c:v>
                </c:pt>
                <c:pt idx="1000">
                  <c:v>58.404999999999994</c:v>
                </c:pt>
                <c:pt idx="1001">
                  <c:v>58.690000000000012</c:v>
                </c:pt>
                <c:pt idx="1002">
                  <c:v>58.95150000000001</c:v>
                </c:pt>
                <c:pt idx="1003">
                  <c:v>59.240000000000009</c:v>
                </c:pt>
                <c:pt idx="1004">
                  <c:v>59.527999999999999</c:v>
                </c:pt>
                <c:pt idx="1005">
                  <c:v>59.862499999999997</c:v>
                </c:pt>
                <c:pt idx="1006">
                  <c:v>60.244000000000007</c:v>
                </c:pt>
                <c:pt idx="1007">
                  <c:v>60.585000000000001</c:v>
                </c:pt>
                <c:pt idx="1008">
                  <c:v>60.916500000000006</c:v>
                </c:pt>
                <c:pt idx="1009">
                  <c:v>61.256000000000007</c:v>
                </c:pt>
                <c:pt idx="1010">
                  <c:v>61.550500000000014</c:v>
                </c:pt>
                <c:pt idx="1011">
                  <c:v>61.829000000000008</c:v>
                </c:pt>
                <c:pt idx="1012">
                  <c:v>62.134500000000017</c:v>
                </c:pt>
                <c:pt idx="1013">
                  <c:v>62.506500000000017</c:v>
                </c:pt>
                <c:pt idx="1014">
                  <c:v>62.810000000000016</c:v>
                </c:pt>
                <c:pt idx="1015">
                  <c:v>63.140000000000008</c:v>
                </c:pt>
                <c:pt idx="1016">
                  <c:v>63.433500000000002</c:v>
                </c:pt>
                <c:pt idx="1017">
                  <c:v>63.642500000000005</c:v>
                </c:pt>
                <c:pt idx="1018">
                  <c:v>63.865000000000009</c:v>
                </c:pt>
                <c:pt idx="1019">
                  <c:v>64.080500000000001</c:v>
                </c:pt>
                <c:pt idx="1020">
                  <c:v>64.256500000000003</c:v>
                </c:pt>
                <c:pt idx="1021">
                  <c:v>64.391000000000005</c:v>
                </c:pt>
                <c:pt idx="1022">
                  <c:v>64.478500000000011</c:v>
                </c:pt>
                <c:pt idx="1023">
                  <c:v>64.428000000000011</c:v>
                </c:pt>
                <c:pt idx="1024">
                  <c:v>64.313000000000002</c:v>
                </c:pt>
                <c:pt idx="1025">
                  <c:v>64.08250000000001</c:v>
                </c:pt>
                <c:pt idx="1026">
                  <c:v>63.842000000000006</c:v>
                </c:pt>
                <c:pt idx="1027">
                  <c:v>63.617500000000007</c:v>
                </c:pt>
                <c:pt idx="1028">
                  <c:v>63.456500000000005</c:v>
                </c:pt>
                <c:pt idx="1029">
                  <c:v>63.332499999999996</c:v>
                </c:pt>
                <c:pt idx="1030">
                  <c:v>63.257999999999996</c:v>
                </c:pt>
                <c:pt idx="1031">
                  <c:v>63.170500000000004</c:v>
                </c:pt>
                <c:pt idx="1032">
                  <c:v>63.034500000000001</c:v>
                </c:pt>
                <c:pt idx="1033">
                  <c:v>62.88600000000001</c:v>
                </c:pt>
                <c:pt idx="1034">
                  <c:v>62.781000000000006</c:v>
                </c:pt>
                <c:pt idx="1035">
                  <c:v>62.657999999999994</c:v>
                </c:pt>
                <c:pt idx="1036">
                  <c:v>62.519500000000008</c:v>
                </c:pt>
                <c:pt idx="1037">
                  <c:v>62.359000000000016</c:v>
                </c:pt>
                <c:pt idx="1038">
                  <c:v>62.167000000000009</c:v>
                </c:pt>
                <c:pt idx="1039">
                  <c:v>61.930500000000009</c:v>
                </c:pt>
                <c:pt idx="1040">
                  <c:v>61.780000000000008</c:v>
                </c:pt>
                <c:pt idx="1041">
                  <c:v>61.697999999999993</c:v>
                </c:pt>
                <c:pt idx="1042">
                  <c:v>61.578499999999998</c:v>
                </c:pt>
                <c:pt idx="1043">
                  <c:v>61.4895</c:v>
                </c:pt>
                <c:pt idx="1044">
                  <c:v>61.525500000000001</c:v>
                </c:pt>
                <c:pt idx="1045">
                  <c:v>61.632999999999996</c:v>
                </c:pt>
                <c:pt idx="1046">
                  <c:v>61.696999999999989</c:v>
                </c:pt>
                <c:pt idx="1047">
                  <c:v>61.774999999999999</c:v>
                </c:pt>
                <c:pt idx="1048">
                  <c:v>61.798000000000002</c:v>
                </c:pt>
                <c:pt idx="1049">
                  <c:v>61.838499999999996</c:v>
                </c:pt>
                <c:pt idx="1050">
                  <c:v>61.844500000000004</c:v>
                </c:pt>
                <c:pt idx="1051">
                  <c:v>61.917499999999997</c:v>
                </c:pt>
                <c:pt idx="1052">
                  <c:v>62.085999999999991</c:v>
                </c:pt>
                <c:pt idx="1053">
                  <c:v>62.162499999999987</c:v>
                </c:pt>
                <c:pt idx="1054">
                  <c:v>62.276499999999984</c:v>
                </c:pt>
                <c:pt idx="1055">
                  <c:v>62.360499999999988</c:v>
                </c:pt>
                <c:pt idx="1056">
                  <c:v>62.474000000000004</c:v>
                </c:pt>
                <c:pt idx="1057">
                  <c:v>62.617499999999993</c:v>
                </c:pt>
                <c:pt idx="1058">
                  <c:v>62.811999999999991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D0-4E2D-A1C4-758124502B89}"/>
            </c:ext>
          </c:extLst>
        </c:ser>
        <c:ser>
          <c:idx val="2"/>
          <c:order val="2"/>
          <c:tx>
            <c:v>50-days MA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'20 &amp;50 -days MA'!$B$54:$B$1082</c:f>
              <c:numCache>
                <c:formatCode>m/d/yyyy</c:formatCode>
                <c:ptCount val="1029"/>
                <c:pt idx="0">
                  <c:v>41715</c:v>
                </c:pt>
                <c:pt idx="1">
                  <c:v>41716</c:v>
                </c:pt>
                <c:pt idx="2">
                  <c:v>41717</c:v>
                </c:pt>
                <c:pt idx="3">
                  <c:v>41718</c:v>
                </c:pt>
                <c:pt idx="4">
                  <c:v>41719</c:v>
                </c:pt>
                <c:pt idx="5">
                  <c:v>41722</c:v>
                </c:pt>
                <c:pt idx="6">
                  <c:v>41723</c:v>
                </c:pt>
                <c:pt idx="7">
                  <c:v>41724</c:v>
                </c:pt>
                <c:pt idx="8">
                  <c:v>41725</c:v>
                </c:pt>
                <c:pt idx="9">
                  <c:v>41726</c:v>
                </c:pt>
                <c:pt idx="10">
                  <c:v>41729</c:v>
                </c:pt>
                <c:pt idx="11">
                  <c:v>41730</c:v>
                </c:pt>
                <c:pt idx="12">
                  <c:v>41731</c:v>
                </c:pt>
                <c:pt idx="13">
                  <c:v>41732</c:v>
                </c:pt>
                <c:pt idx="14">
                  <c:v>41733</c:v>
                </c:pt>
                <c:pt idx="15">
                  <c:v>41736</c:v>
                </c:pt>
                <c:pt idx="16">
                  <c:v>41737</c:v>
                </c:pt>
                <c:pt idx="17">
                  <c:v>41738</c:v>
                </c:pt>
                <c:pt idx="18">
                  <c:v>41739</c:v>
                </c:pt>
                <c:pt idx="19">
                  <c:v>41740</c:v>
                </c:pt>
                <c:pt idx="20">
                  <c:v>41743</c:v>
                </c:pt>
                <c:pt idx="21">
                  <c:v>41744</c:v>
                </c:pt>
                <c:pt idx="22">
                  <c:v>41745</c:v>
                </c:pt>
                <c:pt idx="23">
                  <c:v>41746</c:v>
                </c:pt>
                <c:pt idx="24">
                  <c:v>41750</c:v>
                </c:pt>
                <c:pt idx="25">
                  <c:v>41751</c:v>
                </c:pt>
                <c:pt idx="26">
                  <c:v>41752</c:v>
                </c:pt>
                <c:pt idx="27">
                  <c:v>41753</c:v>
                </c:pt>
                <c:pt idx="28">
                  <c:v>41754</c:v>
                </c:pt>
                <c:pt idx="29">
                  <c:v>41757</c:v>
                </c:pt>
                <c:pt idx="30">
                  <c:v>41758</c:v>
                </c:pt>
                <c:pt idx="31">
                  <c:v>41759</c:v>
                </c:pt>
                <c:pt idx="32">
                  <c:v>41760</c:v>
                </c:pt>
                <c:pt idx="33">
                  <c:v>41761</c:v>
                </c:pt>
                <c:pt idx="34">
                  <c:v>41764</c:v>
                </c:pt>
                <c:pt idx="35">
                  <c:v>41765</c:v>
                </c:pt>
                <c:pt idx="36">
                  <c:v>41766</c:v>
                </c:pt>
                <c:pt idx="37">
                  <c:v>41767</c:v>
                </c:pt>
                <c:pt idx="38">
                  <c:v>41768</c:v>
                </c:pt>
                <c:pt idx="39">
                  <c:v>41771</c:v>
                </c:pt>
                <c:pt idx="40">
                  <c:v>41772</c:v>
                </c:pt>
                <c:pt idx="41">
                  <c:v>41773</c:v>
                </c:pt>
                <c:pt idx="42">
                  <c:v>41774</c:v>
                </c:pt>
                <c:pt idx="43">
                  <c:v>41775</c:v>
                </c:pt>
                <c:pt idx="44">
                  <c:v>41778</c:v>
                </c:pt>
                <c:pt idx="45">
                  <c:v>41779</c:v>
                </c:pt>
                <c:pt idx="46">
                  <c:v>41780</c:v>
                </c:pt>
                <c:pt idx="47">
                  <c:v>41781</c:v>
                </c:pt>
                <c:pt idx="48">
                  <c:v>41782</c:v>
                </c:pt>
                <c:pt idx="49">
                  <c:v>41786</c:v>
                </c:pt>
                <c:pt idx="50">
                  <c:v>41787</c:v>
                </c:pt>
                <c:pt idx="51">
                  <c:v>41788</c:v>
                </c:pt>
                <c:pt idx="52">
                  <c:v>41789</c:v>
                </c:pt>
                <c:pt idx="53">
                  <c:v>41792</c:v>
                </c:pt>
                <c:pt idx="54">
                  <c:v>41793</c:v>
                </c:pt>
                <c:pt idx="55">
                  <c:v>41794</c:v>
                </c:pt>
                <c:pt idx="56">
                  <c:v>41795</c:v>
                </c:pt>
                <c:pt idx="57">
                  <c:v>41796</c:v>
                </c:pt>
                <c:pt idx="58">
                  <c:v>41799</c:v>
                </c:pt>
                <c:pt idx="59">
                  <c:v>41800</c:v>
                </c:pt>
                <c:pt idx="60">
                  <c:v>41801</c:v>
                </c:pt>
                <c:pt idx="61">
                  <c:v>41802</c:v>
                </c:pt>
                <c:pt idx="62">
                  <c:v>41803</c:v>
                </c:pt>
                <c:pt idx="63">
                  <c:v>41806</c:v>
                </c:pt>
                <c:pt idx="64">
                  <c:v>41807</c:v>
                </c:pt>
                <c:pt idx="65">
                  <c:v>41808</c:v>
                </c:pt>
                <c:pt idx="66">
                  <c:v>41809</c:v>
                </c:pt>
                <c:pt idx="67">
                  <c:v>41810</c:v>
                </c:pt>
                <c:pt idx="68">
                  <c:v>41813</c:v>
                </c:pt>
                <c:pt idx="69">
                  <c:v>41814</c:v>
                </c:pt>
                <c:pt idx="70">
                  <c:v>41815</c:v>
                </c:pt>
                <c:pt idx="71">
                  <c:v>41816</c:v>
                </c:pt>
                <c:pt idx="72">
                  <c:v>41817</c:v>
                </c:pt>
                <c:pt idx="73">
                  <c:v>41820</c:v>
                </c:pt>
                <c:pt idx="74">
                  <c:v>41821</c:v>
                </c:pt>
                <c:pt idx="75">
                  <c:v>41822</c:v>
                </c:pt>
                <c:pt idx="76">
                  <c:v>41823</c:v>
                </c:pt>
                <c:pt idx="77">
                  <c:v>41827</c:v>
                </c:pt>
                <c:pt idx="78">
                  <c:v>41828</c:v>
                </c:pt>
                <c:pt idx="79">
                  <c:v>41829</c:v>
                </c:pt>
                <c:pt idx="80">
                  <c:v>41830</c:v>
                </c:pt>
                <c:pt idx="81">
                  <c:v>41831</c:v>
                </c:pt>
                <c:pt idx="82">
                  <c:v>41834</c:v>
                </c:pt>
                <c:pt idx="83">
                  <c:v>41835</c:v>
                </c:pt>
                <c:pt idx="84">
                  <c:v>41836</c:v>
                </c:pt>
                <c:pt idx="85">
                  <c:v>41837</c:v>
                </c:pt>
                <c:pt idx="86">
                  <c:v>41838</c:v>
                </c:pt>
                <c:pt idx="87">
                  <c:v>41841</c:v>
                </c:pt>
                <c:pt idx="88">
                  <c:v>41842</c:v>
                </c:pt>
                <c:pt idx="89">
                  <c:v>41843</c:v>
                </c:pt>
                <c:pt idx="90">
                  <c:v>41844</c:v>
                </c:pt>
                <c:pt idx="91">
                  <c:v>41845</c:v>
                </c:pt>
                <c:pt idx="92">
                  <c:v>41848</c:v>
                </c:pt>
                <c:pt idx="93">
                  <c:v>41849</c:v>
                </c:pt>
                <c:pt idx="94">
                  <c:v>41850</c:v>
                </c:pt>
                <c:pt idx="95">
                  <c:v>41851</c:v>
                </c:pt>
                <c:pt idx="96">
                  <c:v>41852</c:v>
                </c:pt>
                <c:pt idx="97">
                  <c:v>41855</c:v>
                </c:pt>
                <c:pt idx="98">
                  <c:v>41856</c:v>
                </c:pt>
                <c:pt idx="99">
                  <c:v>41857</c:v>
                </c:pt>
                <c:pt idx="100">
                  <c:v>41858</c:v>
                </c:pt>
                <c:pt idx="101">
                  <c:v>41859</c:v>
                </c:pt>
                <c:pt idx="102">
                  <c:v>41862</c:v>
                </c:pt>
                <c:pt idx="103">
                  <c:v>41863</c:v>
                </c:pt>
                <c:pt idx="104">
                  <c:v>41864</c:v>
                </c:pt>
                <c:pt idx="105">
                  <c:v>41865</c:v>
                </c:pt>
                <c:pt idx="106">
                  <c:v>41866</c:v>
                </c:pt>
                <c:pt idx="107">
                  <c:v>41869</c:v>
                </c:pt>
                <c:pt idx="108">
                  <c:v>41870</c:v>
                </c:pt>
                <c:pt idx="109">
                  <c:v>41871</c:v>
                </c:pt>
                <c:pt idx="110">
                  <c:v>41872</c:v>
                </c:pt>
                <c:pt idx="111">
                  <c:v>41873</c:v>
                </c:pt>
                <c:pt idx="112">
                  <c:v>41876</c:v>
                </c:pt>
                <c:pt idx="113">
                  <c:v>41877</c:v>
                </c:pt>
                <c:pt idx="114">
                  <c:v>41878</c:v>
                </c:pt>
                <c:pt idx="115">
                  <c:v>41879</c:v>
                </c:pt>
                <c:pt idx="116">
                  <c:v>41880</c:v>
                </c:pt>
                <c:pt idx="117">
                  <c:v>41884</c:v>
                </c:pt>
                <c:pt idx="118">
                  <c:v>41885</c:v>
                </c:pt>
                <c:pt idx="119">
                  <c:v>41886</c:v>
                </c:pt>
                <c:pt idx="120">
                  <c:v>41887</c:v>
                </c:pt>
                <c:pt idx="121">
                  <c:v>41890</c:v>
                </c:pt>
                <c:pt idx="122">
                  <c:v>41891</c:v>
                </c:pt>
                <c:pt idx="123">
                  <c:v>41892</c:v>
                </c:pt>
                <c:pt idx="124">
                  <c:v>41893</c:v>
                </c:pt>
                <c:pt idx="125">
                  <c:v>41894</c:v>
                </c:pt>
                <c:pt idx="126">
                  <c:v>41897</c:v>
                </c:pt>
                <c:pt idx="127">
                  <c:v>41898</c:v>
                </c:pt>
                <c:pt idx="128">
                  <c:v>41899</c:v>
                </c:pt>
                <c:pt idx="129">
                  <c:v>41900</c:v>
                </c:pt>
                <c:pt idx="130">
                  <c:v>41901</c:v>
                </c:pt>
                <c:pt idx="131">
                  <c:v>41904</c:v>
                </c:pt>
                <c:pt idx="132">
                  <c:v>41905</c:v>
                </c:pt>
                <c:pt idx="133">
                  <c:v>41906</c:v>
                </c:pt>
                <c:pt idx="134">
                  <c:v>41907</c:v>
                </c:pt>
                <c:pt idx="135">
                  <c:v>41908</c:v>
                </c:pt>
                <c:pt idx="136">
                  <c:v>41911</c:v>
                </c:pt>
                <c:pt idx="137">
                  <c:v>41912</c:v>
                </c:pt>
                <c:pt idx="138">
                  <c:v>41913</c:v>
                </c:pt>
                <c:pt idx="139">
                  <c:v>41914</c:v>
                </c:pt>
                <c:pt idx="140">
                  <c:v>41915</c:v>
                </c:pt>
                <c:pt idx="141">
                  <c:v>41918</c:v>
                </c:pt>
                <c:pt idx="142">
                  <c:v>41919</c:v>
                </c:pt>
                <c:pt idx="143">
                  <c:v>41920</c:v>
                </c:pt>
                <c:pt idx="144">
                  <c:v>41921</c:v>
                </c:pt>
                <c:pt idx="145">
                  <c:v>41922</c:v>
                </c:pt>
                <c:pt idx="146">
                  <c:v>41925</c:v>
                </c:pt>
                <c:pt idx="147">
                  <c:v>41926</c:v>
                </c:pt>
                <c:pt idx="148">
                  <c:v>41927</c:v>
                </c:pt>
                <c:pt idx="149">
                  <c:v>41928</c:v>
                </c:pt>
                <c:pt idx="150">
                  <c:v>41929</c:v>
                </c:pt>
                <c:pt idx="151">
                  <c:v>41932</c:v>
                </c:pt>
                <c:pt idx="152">
                  <c:v>41933</c:v>
                </c:pt>
                <c:pt idx="153">
                  <c:v>41934</c:v>
                </c:pt>
                <c:pt idx="154">
                  <c:v>41935</c:v>
                </c:pt>
                <c:pt idx="155">
                  <c:v>41936</c:v>
                </c:pt>
                <c:pt idx="156">
                  <c:v>41939</c:v>
                </c:pt>
                <c:pt idx="157">
                  <c:v>41940</c:v>
                </c:pt>
                <c:pt idx="158">
                  <c:v>41941</c:v>
                </c:pt>
                <c:pt idx="159">
                  <c:v>41942</c:v>
                </c:pt>
                <c:pt idx="160">
                  <c:v>41943</c:v>
                </c:pt>
                <c:pt idx="161">
                  <c:v>41946</c:v>
                </c:pt>
                <c:pt idx="162">
                  <c:v>41947</c:v>
                </c:pt>
                <c:pt idx="163">
                  <c:v>41948</c:v>
                </c:pt>
                <c:pt idx="164">
                  <c:v>41949</c:v>
                </c:pt>
                <c:pt idx="165">
                  <c:v>41950</c:v>
                </c:pt>
                <c:pt idx="166">
                  <c:v>41953</c:v>
                </c:pt>
                <c:pt idx="167">
                  <c:v>41954</c:v>
                </c:pt>
                <c:pt idx="168">
                  <c:v>41955</c:v>
                </c:pt>
                <c:pt idx="169">
                  <c:v>41956</c:v>
                </c:pt>
                <c:pt idx="170">
                  <c:v>41957</c:v>
                </c:pt>
                <c:pt idx="171">
                  <c:v>41960</c:v>
                </c:pt>
                <c:pt idx="172">
                  <c:v>41961</c:v>
                </c:pt>
                <c:pt idx="173">
                  <c:v>41962</c:v>
                </c:pt>
                <c:pt idx="174">
                  <c:v>41963</c:v>
                </c:pt>
                <c:pt idx="175">
                  <c:v>41964</c:v>
                </c:pt>
                <c:pt idx="176">
                  <c:v>41967</c:v>
                </c:pt>
                <c:pt idx="177">
                  <c:v>41968</c:v>
                </c:pt>
                <c:pt idx="178">
                  <c:v>41969</c:v>
                </c:pt>
                <c:pt idx="179">
                  <c:v>41971</c:v>
                </c:pt>
                <c:pt idx="180">
                  <c:v>41974</c:v>
                </c:pt>
                <c:pt idx="181">
                  <c:v>41975</c:v>
                </c:pt>
                <c:pt idx="182">
                  <c:v>41976</c:v>
                </c:pt>
                <c:pt idx="183">
                  <c:v>41977</c:v>
                </c:pt>
                <c:pt idx="184">
                  <c:v>41978</c:v>
                </c:pt>
                <c:pt idx="185">
                  <c:v>41981</c:v>
                </c:pt>
                <c:pt idx="186">
                  <c:v>41982</c:v>
                </c:pt>
                <c:pt idx="187">
                  <c:v>41983</c:v>
                </c:pt>
                <c:pt idx="188">
                  <c:v>41984</c:v>
                </c:pt>
                <c:pt idx="189">
                  <c:v>41985</c:v>
                </c:pt>
                <c:pt idx="190">
                  <c:v>41988</c:v>
                </c:pt>
                <c:pt idx="191">
                  <c:v>41989</c:v>
                </c:pt>
                <c:pt idx="192">
                  <c:v>41990</c:v>
                </c:pt>
                <c:pt idx="193">
                  <c:v>41991</c:v>
                </c:pt>
                <c:pt idx="194">
                  <c:v>41992</c:v>
                </c:pt>
                <c:pt idx="195">
                  <c:v>41995</c:v>
                </c:pt>
                <c:pt idx="196">
                  <c:v>41996</c:v>
                </c:pt>
                <c:pt idx="197">
                  <c:v>41997</c:v>
                </c:pt>
                <c:pt idx="198">
                  <c:v>41999</c:v>
                </c:pt>
                <c:pt idx="199">
                  <c:v>42002</c:v>
                </c:pt>
                <c:pt idx="200">
                  <c:v>42003</c:v>
                </c:pt>
                <c:pt idx="201">
                  <c:v>42004</c:v>
                </c:pt>
                <c:pt idx="202">
                  <c:v>42005</c:v>
                </c:pt>
                <c:pt idx="203">
                  <c:v>42006</c:v>
                </c:pt>
                <c:pt idx="204">
                  <c:v>42009</c:v>
                </c:pt>
                <c:pt idx="205">
                  <c:v>42010</c:v>
                </c:pt>
                <c:pt idx="206">
                  <c:v>42011</c:v>
                </c:pt>
                <c:pt idx="207">
                  <c:v>42012</c:v>
                </c:pt>
                <c:pt idx="208">
                  <c:v>42013</c:v>
                </c:pt>
                <c:pt idx="209">
                  <c:v>42016</c:v>
                </c:pt>
                <c:pt idx="210">
                  <c:v>42017</c:v>
                </c:pt>
                <c:pt idx="211">
                  <c:v>42018</c:v>
                </c:pt>
                <c:pt idx="212">
                  <c:v>42019</c:v>
                </c:pt>
                <c:pt idx="213">
                  <c:v>42020</c:v>
                </c:pt>
                <c:pt idx="214">
                  <c:v>42024</c:v>
                </c:pt>
                <c:pt idx="215">
                  <c:v>42025</c:v>
                </c:pt>
                <c:pt idx="216">
                  <c:v>42026</c:v>
                </c:pt>
                <c:pt idx="217">
                  <c:v>42027</c:v>
                </c:pt>
                <c:pt idx="218">
                  <c:v>42030</c:v>
                </c:pt>
                <c:pt idx="219">
                  <c:v>42031</c:v>
                </c:pt>
                <c:pt idx="220">
                  <c:v>42032</c:v>
                </c:pt>
                <c:pt idx="221">
                  <c:v>42033</c:v>
                </c:pt>
                <c:pt idx="222">
                  <c:v>42034</c:v>
                </c:pt>
                <c:pt idx="223">
                  <c:v>42037</c:v>
                </c:pt>
                <c:pt idx="224">
                  <c:v>42038</c:v>
                </c:pt>
                <c:pt idx="225">
                  <c:v>42039</c:v>
                </c:pt>
                <c:pt idx="226">
                  <c:v>42040</c:v>
                </c:pt>
                <c:pt idx="227">
                  <c:v>42041</c:v>
                </c:pt>
                <c:pt idx="228">
                  <c:v>42044</c:v>
                </c:pt>
                <c:pt idx="229">
                  <c:v>42045</c:v>
                </c:pt>
                <c:pt idx="230">
                  <c:v>42046</c:v>
                </c:pt>
                <c:pt idx="231">
                  <c:v>42047</c:v>
                </c:pt>
                <c:pt idx="232">
                  <c:v>42048</c:v>
                </c:pt>
                <c:pt idx="233">
                  <c:v>42052</c:v>
                </c:pt>
                <c:pt idx="234">
                  <c:v>42053</c:v>
                </c:pt>
                <c:pt idx="235">
                  <c:v>42054</c:v>
                </c:pt>
                <c:pt idx="236">
                  <c:v>42055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42065</c:v>
                </c:pt>
                <c:pt idx="243">
                  <c:v>42066</c:v>
                </c:pt>
                <c:pt idx="244">
                  <c:v>42067</c:v>
                </c:pt>
                <c:pt idx="245">
                  <c:v>42068</c:v>
                </c:pt>
                <c:pt idx="246">
                  <c:v>42069</c:v>
                </c:pt>
                <c:pt idx="247">
                  <c:v>42072</c:v>
                </c:pt>
                <c:pt idx="248">
                  <c:v>42073</c:v>
                </c:pt>
                <c:pt idx="249">
                  <c:v>42074</c:v>
                </c:pt>
                <c:pt idx="250">
                  <c:v>42075</c:v>
                </c:pt>
                <c:pt idx="251">
                  <c:v>42076</c:v>
                </c:pt>
                <c:pt idx="252">
                  <c:v>42079</c:v>
                </c:pt>
                <c:pt idx="253">
                  <c:v>42080</c:v>
                </c:pt>
                <c:pt idx="254">
                  <c:v>42081</c:v>
                </c:pt>
                <c:pt idx="255">
                  <c:v>42082</c:v>
                </c:pt>
                <c:pt idx="256">
                  <c:v>42083</c:v>
                </c:pt>
                <c:pt idx="257">
                  <c:v>42086</c:v>
                </c:pt>
                <c:pt idx="258">
                  <c:v>42087</c:v>
                </c:pt>
                <c:pt idx="259">
                  <c:v>42088</c:v>
                </c:pt>
                <c:pt idx="260">
                  <c:v>42089</c:v>
                </c:pt>
                <c:pt idx="261">
                  <c:v>42090</c:v>
                </c:pt>
                <c:pt idx="262">
                  <c:v>42093</c:v>
                </c:pt>
                <c:pt idx="263">
                  <c:v>42094</c:v>
                </c:pt>
                <c:pt idx="264">
                  <c:v>42095</c:v>
                </c:pt>
                <c:pt idx="265">
                  <c:v>42096</c:v>
                </c:pt>
                <c:pt idx="266">
                  <c:v>42097</c:v>
                </c:pt>
                <c:pt idx="267">
                  <c:v>42100</c:v>
                </c:pt>
                <c:pt idx="268">
                  <c:v>42101</c:v>
                </c:pt>
                <c:pt idx="269">
                  <c:v>42102</c:v>
                </c:pt>
                <c:pt idx="270">
                  <c:v>42103</c:v>
                </c:pt>
                <c:pt idx="271">
                  <c:v>42104</c:v>
                </c:pt>
                <c:pt idx="272">
                  <c:v>42107</c:v>
                </c:pt>
                <c:pt idx="273">
                  <c:v>42108</c:v>
                </c:pt>
                <c:pt idx="274">
                  <c:v>42109</c:v>
                </c:pt>
                <c:pt idx="275">
                  <c:v>42110</c:v>
                </c:pt>
                <c:pt idx="276">
                  <c:v>42111</c:v>
                </c:pt>
                <c:pt idx="277">
                  <c:v>42114</c:v>
                </c:pt>
                <c:pt idx="278">
                  <c:v>42115</c:v>
                </c:pt>
                <c:pt idx="279">
                  <c:v>42116</c:v>
                </c:pt>
                <c:pt idx="280">
                  <c:v>42117</c:v>
                </c:pt>
                <c:pt idx="281">
                  <c:v>42118</c:v>
                </c:pt>
                <c:pt idx="282">
                  <c:v>42121</c:v>
                </c:pt>
                <c:pt idx="283">
                  <c:v>42122</c:v>
                </c:pt>
                <c:pt idx="284">
                  <c:v>42123</c:v>
                </c:pt>
                <c:pt idx="285">
                  <c:v>42124</c:v>
                </c:pt>
                <c:pt idx="286">
                  <c:v>42125</c:v>
                </c:pt>
                <c:pt idx="287">
                  <c:v>42128</c:v>
                </c:pt>
                <c:pt idx="288">
                  <c:v>42129</c:v>
                </c:pt>
                <c:pt idx="289">
                  <c:v>42130</c:v>
                </c:pt>
                <c:pt idx="290">
                  <c:v>42131</c:v>
                </c:pt>
                <c:pt idx="291">
                  <c:v>42132</c:v>
                </c:pt>
                <c:pt idx="292">
                  <c:v>42135</c:v>
                </c:pt>
                <c:pt idx="293">
                  <c:v>42136</c:v>
                </c:pt>
                <c:pt idx="294">
                  <c:v>42137</c:v>
                </c:pt>
                <c:pt idx="295">
                  <c:v>42138</c:v>
                </c:pt>
                <c:pt idx="296">
                  <c:v>42139</c:v>
                </c:pt>
                <c:pt idx="297">
                  <c:v>42142</c:v>
                </c:pt>
                <c:pt idx="298">
                  <c:v>42143</c:v>
                </c:pt>
                <c:pt idx="299">
                  <c:v>42144</c:v>
                </c:pt>
                <c:pt idx="300">
                  <c:v>42145</c:v>
                </c:pt>
                <c:pt idx="301">
                  <c:v>42146</c:v>
                </c:pt>
                <c:pt idx="302">
                  <c:v>42149</c:v>
                </c:pt>
                <c:pt idx="303">
                  <c:v>42150</c:v>
                </c:pt>
                <c:pt idx="304">
                  <c:v>42151</c:v>
                </c:pt>
                <c:pt idx="305">
                  <c:v>42152</c:v>
                </c:pt>
                <c:pt idx="306">
                  <c:v>42153</c:v>
                </c:pt>
                <c:pt idx="307">
                  <c:v>42156</c:v>
                </c:pt>
                <c:pt idx="308">
                  <c:v>42157</c:v>
                </c:pt>
                <c:pt idx="309">
                  <c:v>42158</c:v>
                </c:pt>
                <c:pt idx="310">
                  <c:v>42159</c:v>
                </c:pt>
                <c:pt idx="311">
                  <c:v>42160</c:v>
                </c:pt>
                <c:pt idx="312">
                  <c:v>42163</c:v>
                </c:pt>
                <c:pt idx="313">
                  <c:v>42164</c:v>
                </c:pt>
                <c:pt idx="314">
                  <c:v>42165</c:v>
                </c:pt>
                <c:pt idx="315">
                  <c:v>42166</c:v>
                </c:pt>
                <c:pt idx="316">
                  <c:v>42167</c:v>
                </c:pt>
                <c:pt idx="317">
                  <c:v>42170</c:v>
                </c:pt>
                <c:pt idx="318">
                  <c:v>42171</c:v>
                </c:pt>
                <c:pt idx="319">
                  <c:v>42172</c:v>
                </c:pt>
                <c:pt idx="320">
                  <c:v>42173</c:v>
                </c:pt>
                <c:pt idx="321">
                  <c:v>42174</c:v>
                </c:pt>
                <c:pt idx="322">
                  <c:v>42177</c:v>
                </c:pt>
                <c:pt idx="323">
                  <c:v>42178</c:v>
                </c:pt>
                <c:pt idx="324">
                  <c:v>42179</c:v>
                </c:pt>
                <c:pt idx="325">
                  <c:v>42180</c:v>
                </c:pt>
                <c:pt idx="326">
                  <c:v>42181</c:v>
                </c:pt>
                <c:pt idx="327">
                  <c:v>42184</c:v>
                </c:pt>
                <c:pt idx="328">
                  <c:v>42185</c:v>
                </c:pt>
                <c:pt idx="329">
                  <c:v>42186</c:v>
                </c:pt>
                <c:pt idx="330">
                  <c:v>42187</c:v>
                </c:pt>
                <c:pt idx="331">
                  <c:v>42188</c:v>
                </c:pt>
                <c:pt idx="332">
                  <c:v>42191</c:v>
                </c:pt>
                <c:pt idx="333">
                  <c:v>42192</c:v>
                </c:pt>
                <c:pt idx="334">
                  <c:v>42193</c:v>
                </c:pt>
                <c:pt idx="335">
                  <c:v>42194</c:v>
                </c:pt>
                <c:pt idx="336">
                  <c:v>42195</c:v>
                </c:pt>
                <c:pt idx="337">
                  <c:v>42198</c:v>
                </c:pt>
                <c:pt idx="338">
                  <c:v>42199</c:v>
                </c:pt>
                <c:pt idx="339">
                  <c:v>42200</c:v>
                </c:pt>
                <c:pt idx="340">
                  <c:v>42201</c:v>
                </c:pt>
                <c:pt idx="341">
                  <c:v>42202</c:v>
                </c:pt>
                <c:pt idx="342">
                  <c:v>42205</c:v>
                </c:pt>
                <c:pt idx="343">
                  <c:v>42206</c:v>
                </c:pt>
                <c:pt idx="344">
                  <c:v>42207</c:v>
                </c:pt>
                <c:pt idx="345">
                  <c:v>42208</c:v>
                </c:pt>
                <c:pt idx="346">
                  <c:v>42209</c:v>
                </c:pt>
                <c:pt idx="347">
                  <c:v>42212</c:v>
                </c:pt>
                <c:pt idx="348">
                  <c:v>42213</c:v>
                </c:pt>
                <c:pt idx="349">
                  <c:v>42214</c:v>
                </c:pt>
                <c:pt idx="350">
                  <c:v>42215</c:v>
                </c:pt>
                <c:pt idx="351">
                  <c:v>42216</c:v>
                </c:pt>
                <c:pt idx="352">
                  <c:v>42219</c:v>
                </c:pt>
                <c:pt idx="353">
                  <c:v>42220</c:v>
                </c:pt>
                <c:pt idx="354">
                  <c:v>42221</c:v>
                </c:pt>
                <c:pt idx="355">
                  <c:v>42222</c:v>
                </c:pt>
                <c:pt idx="356">
                  <c:v>42223</c:v>
                </c:pt>
                <c:pt idx="357">
                  <c:v>42226</c:v>
                </c:pt>
                <c:pt idx="358">
                  <c:v>42227</c:v>
                </c:pt>
                <c:pt idx="359">
                  <c:v>42228</c:v>
                </c:pt>
                <c:pt idx="360">
                  <c:v>42229</c:v>
                </c:pt>
                <c:pt idx="361">
                  <c:v>42230</c:v>
                </c:pt>
                <c:pt idx="362">
                  <c:v>42233</c:v>
                </c:pt>
                <c:pt idx="363">
                  <c:v>42234</c:v>
                </c:pt>
                <c:pt idx="364">
                  <c:v>42235</c:v>
                </c:pt>
                <c:pt idx="365">
                  <c:v>42236</c:v>
                </c:pt>
                <c:pt idx="366">
                  <c:v>42237</c:v>
                </c:pt>
                <c:pt idx="367">
                  <c:v>42240</c:v>
                </c:pt>
                <c:pt idx="368">
                  <c:v>42241</c:v>
                </c:pt>
                <c:pt idx="369">
                  <c:v>42242</c:v>
                </c:pt>
                <c:pt idx="370">
                  <c:v>42243</c:v>
                </c:pt>
                <c:pt idx="371">
                  <c:v>42244</c:v>
                </c:pt>
                <c:pt idx="372">
                  <c:v>42247</c:v>
                </c:pt>
                <c:pt idx="373">
                  <c:v>42248</c:v>
                </c:pt>
                <c:pt idx="374">
                  <c:v>42249</c:v>
                </c:pt>
                <c:pt idx="375">
                  <c:v>42250</c:v>
                </c:pt>
                <c:pt idx="376">
                  <c:v>42251</c:v>
                </c:pt>
                <c:pt idx="377">
                  <c:v>42254</c:v>
                </c:pt>
                <c:pt idx="378">
                  <c:v>42255</c:v>
                </c:pt>
                <c:pt idx="379">
                  <c:v>42256</c:v>
                </c:pt>
                <c:pt idx="380">
                  <c:v>42257</c:v>
                </c:pt>
                <c:pt idx="381">
                  <c:v>42258</c:v>
                </c:pt>
                <c:pt idx="382">
                  <c:v>42261</c:v>
                </c:pt>
                <c:pt idx="383">
                  <c:v>42262</c:v>
                </c:pt>
                <c:pt idx="384">
                  <c:v>42263</c:v>
                </c:pt>
                <c:pt idx="385">
                  <c:v>42264</c:v>
                </c:pt>
                <c:pt idx="386">
                  <c:v>42265</c:v>
                </c:pt>
                <c:pt idx="387">
                  <c:v>42268</c:v>
                </c:pt>
                <c:pt idx="388">
                  <c:v>42269</c:v>
                </c:pt>
                <c:pt idx="389">
                  <c:v>42270</c:v>
                </c:pt>
                <c:pt idx="390">
                  <c:v>42271</c:v>
                </c:pt>
                <c:pt idx="391">
                  <c:v>42272</c:v>
                </c:pt>
                <c:pt idx="392">
                  <c:v>42275</c:v>
                </c:pt>
                <c:pt idx="393">
                  <c:v>42276</c:v>
                </c:pt>
                <c:pt idx="394">
                  <c:v>42277</c:v>
                </c:pt>
                <c:pt idx="395">
                  <c:v>42278</c:v>
                </c:pt>
                <c:pt idx="396">
                  <c:v>42279</c:v>
                </c:pt>
                <c:pt idx="397">
                  <c:v>42282</c:v>
                </c:pt>
                <c:pt idx="398">
                  <c:v>42283</c:v>
                </c:pt>
                <c:pt idx="399">
                  <c:v>42284</c:v>
                </c:pt>
                <c:pt idx="400">
                  <c:v>42285</c:v>
                </c:pt>
                <c:pt idx="401">
                  <c:v>42286</c:v>
                </c:pt>
                <c:pt idx="402">
                  <c:v>42289</c:v>
                </c:pt>
                <c:pt idx="403">
                  <c:v>42290</c:v>
                </c:pt>
                <c:pt idx="404">
                  <c:v>42291</c:v>
                </c:pt>
                <c:pt idx="405">
                  <c:v>42292</c:v>
                </c:pt>
                <c:pt idx="406">
                  <c:v>42293</c:v>
                </c:pt>
                <c:pt idx="407">
                  <c:v>42296</c:v>
                </c:pt>
                <c:pt idx="408">
                  <c:v>42297</c:v>
                </c:pt>
                <c:pt idx="409">
                  <c:v>42298</c:v>
                </c:pt>
                <c:pt idx="410">
                  <c:v>42299</c:v>
                </c:pt>
                <c:pt idx="411">
                  <c:v>42300</c:v>
                </c:pt>
                <c:pt idx="412">
                  <c:v>42303</c:v>
                </c:pt>
                <c:pt idx="413">
                  <c:v>42304</c:v>
                </c:pt>
                <c:pt idx="414">
                  <c:v>42305</c:v>
                </c:pt>
                <c:pt idx="415">
                  <c:v>42306</c:v>
                </c:pt>
                <c:pt idx="416">
                  <c:v>42307</c:v>
                </c:pt>
                <c:pt idx="417">
                  <c:v>42310</c:v>
                </c:pt>
                <c:pt idx="418">
                  <c:v>42311</c:v>
                </c:pt>
                <c:pt idx="419">
                  <c:v>42312</c:v>
                </c:pt>
                <c:pt idx="420">
                  <c:v>42313</c:v>
                </c:pt>
                <c:pt idx="421">
                  <c:v>42314</c:v>
                </c:pt>
                <c:pt idx="422">
                  <c:v>42317</c:v>
                </c:pt>
                <c:pt idx="423">
                  <c:v>42318</c:v>
                </c:pt>
                <c:pt idx="424">
                  <c:v>42319</c:v>
                </c:pt>
                <c:pt idx="425">
                  <c:v>42320</c:v>
                </c:pt>
                <c:pt idx="426">
                  <c:v>42321</c:v>
                </c:pt>
                <c:pt idx="427">
                  <c:v>42324</c:v>
                </c:pt>
                <c:pt idx="428">
                  <c:v>42325</c:v>
                </c:pt>
                <c:pt idx="429">
                  <c:v>42326</c:v>
                </c:pt>
                <c:pt idx="430">
                  <c:v>42327</c:v>
                </c:pt>
                <c:pt idx="431">
                  <c:v>42328</c:v>
                </c:pt>
                <c:pt idx="432">
                  <c:v>42331</c:v>
                </c:pt>
                <c:pt idx="433">
                  <c:v>42332</c:v>
                </c:pt>
                <c:pt idx="434">
                  <c:v>42333</c:v>
                </c:pt>
                <c:pt idx="435">
                  <c:v>42334</c:v>
                </c:pt>
                <c:pt idx="436">
                  <c:v>42335</c:v>
                </c:pt>
                <c:pt idx="437">
                  <c:v>42338</c:v>
                </c:pt>
                <c:pt idx="438">
                  <c:v>42339</c:v>
                </c:pt>
                <c:pt idx="439">
                  <c:v>42340</c:v>
                </c:pt>
                <c:pt idx="440">
                  <c:v>42341</c:v>
                </c:pt>
                <c:pt idx="441">
                  <c:v>42342</c:v>
                </c:pt>
                <c:pt idx="442">
                  <c:v>42345</c:v>
                </c:pt>
                <c:pt idx="443">
                  <c:v>42346</c:v>
                </c:pt>
                <c:pt idx="444">
                  <c:v>42347</c:v>
                </c:pt>
                <c:pt idx="445">
                  <c:v>42348</c:v>
                </c:pt>
                <c:pt idx="446">
                  <c:v>42349</c:v>
                </c:pt>
                <c:pt idx="447">
                  <c:v>42352</c:v>
                </c:pt>
                <c:pt idx="448">
                  <c:v>42353</c:v>
                </c:pt>
                <c:pt idx="449">
                  <c:v>42354</c:v>
                </c:pt>
                <c:pt idx="450">
                  <c:v>42355</c:v>
                </c:pt>
                <c:pt idx="451">
                  <c:v>42356</c:v>
                </c:pt>
                <c:pt idx="452">
                  <c:v>42359</c:v>
                </c:pt>
                <c:pt idx="453">
                  <c:v>42360</c:v>
                </c:pt>
                <c:pt idx="454">
                  <c:v>42361</c:v>
                </c:pt>
                <c:pt idx="455">
                  <c:v>42362</c:v>
                </c:pt>
                <c:pt idx="456">
                  <c:v>42363</c:v>
                </c:pt>
                <c:pt idx="457">
                  <c:v>42366</c:v>
                </c:pt>
                <c:pt idx="458">
                  <c:v>42367</c:v>
                </c:pt>
                <c:pt idx="459">
                  <c:v>42368</c:v>
                </c:pt>
                <c:pt idx="460">
                  <c:v>42369</c:v>
                </c:pt>
                <c:pt idx="461">
                  <c:v>42370</c:v>
                </c:pt>
                <c:pt idx="462">
                  <c:v>42373</c:v>
                </c:pt>
                <c:pt idx="463">
                  <c:v>42374</c:v>
                </c:pt>
                <c:pt idx="464">
                  <c:v>42375</c:v>
                </c:pt>
                <c:pt idx="465">
                  <c:v>42376</c:v>
                </c:pt>
                <c:pt idx="466">
                  <c:v>42377</c:v>
                </c:pt>
                <c:pt idx="467">
                  <c:v>42380</c:v>
                </c:pt>
                <c:pt idx="468">
                  <c:v>42381</c:v>
                </c:pt>
                <c:pt idx="469">
                  <c:v>42382</c:v>
                </c:pt>
                <c:pt idx="470">
                  <c:v>42383</c:v>
                </c:pt>
                <c:pt idx="471">
                  <c:v>42384</c:v>
                </c:pt>
                <c:pt idx="472">
                  <c:v>42388</c:v>
                </c:pt>
                <c:pt idx="473">
                  <c:v>42389</c:v>
                </c:pt>
                <c:pt idx="474">
                  <c:v>42390</c:v>
                </c:pt>
                <c:pt idx="475">
                  <c:v>42391</c:v>
                </c:pt>
                <c:pt idx="476">
                  <c:v>42394</c:v>
                </c:pt>
                <c:pt idx="477">
                  <c:v>42395</c:v>
                </c:pt>
                <c:pt idx="478">
                  <c:v>42396</c:v>
                </c:pt>
                <c:pt idx="479">
                  <c:v>42397</c:v>
                </c:pt>
                <c:pt idx="480">
                  <c:v>42398</c:v>
                </c:pt>
                <c:pt idx="481">
                  <c:v>42401</c:v>
                </c:pt>
                <c:pt idx="482">
                  <c:v>42402</c:v>
                </c:pt>
                <c:pt idx="483">
                  <c:v>42403</c:v>
                </c:pt>
                <c:pt idx="484">
                  <c:v>42404</c:v>
                </c:pt>
                <c:pt idx="485">
                  <c:v>42405</c:v>
                </c:pt>
                <c:pt idx="486">
                  <c:v>42408</c:v>
                </c:pt>
                <c:pt idx="487">
                  <c:v>42409</c:v>
                </c:pt>
                <c:pt idx="488">
                  <c:v>42410</c:v>
                </c:pt>
                <c:pt idx="489">
                  <c:v>42411</c:v>
                </c:pt>
                <c:pt idx="490">
                  <c:v>42412</c:v>
                </c:pt>
                <c:pt idx="491">
                  <c:v>42416</c:v>
                </c:pt>
                <c:pt idx="492">
                  <c:v>42417</c:v>
                </c:pt>
                <c:pt idx="493">
                  <c:v>42418</c:v>
                </c:pt>
                <c:pt idx="494">
                  <c:v>42419</c:v>
                </c:pt>
                <c:pt idx="495">
                  <c:v>42422</c:v>
                </c:pt>
                <c:pt idx="496">
                  <c:v>42423</c:v>
                </c:pt>
                <c:pt idx="497">
                  <c:v>42424</c:v>
                </c:pt>
                <c:pt idx="498">
                  <c:v>42425</c:v>
                </c:pt>
                <c:pt idx="499">
                  <c:v>42426</c:v>
                </c:pt>
                <c:pt idx="500">
                  <c:v>42429</c:v>
                </c:pt>
                <c:pt idx="501">
                  <c:v>42430</c:v>
                </c:pt>
                <c:pt idx="502">
                  <c:v>42431</c:v>
                </c:pt>
                <c:pt idx="503">
                  <c:v>42432</c:v>
                </c:pt>
                <c:pt idx="504">
                  <c:v>42433</c:v>
                </c:pt>
                <c:pt idx="505">
                  <c:v>42436</c:v>
                </c:pt>
                <c:pt idx="506">
                  <c:v>42437</c:v>
                </c:pt>
                <c:pt idx="507">
                  <c:v>42438</c:v>
                </c:pt>
                <c:pt idx="508">
                  <c:v>42439</c:v>
                </c:pt>
                <c:pt idx="509">
                  <c:v>42440</c:v>
                </c:pt>
                <c:pt idx="510">
                  <c:v>42443</c:v>
                </c:pt>
                <c:pt idx="511">
                  <c:v>42444</c:v>
                </c:pt>
                <c:pt idx="512">
                  <c:v>42445</c:v>
                </c:pt>
                <c:pt idx="513">
                  <c:v>42446</c:v>
                </c:pt>
                <c:pt idx="514">
                  <c:v>42447</c:v>
                </c:pt>
                <c:pt idx="515">
                  <c:v>42450</c:v>
                </c:pt>
                <c:pt idx="516">
                  <c:v>42451</c:v>
                </c:pt>
                <c:pt idx="517">
                  <c:v>42452</c:v>
                </c:pt>
                <c:pt idx="518">
                  <c:v>42453</c:v>
                </c:pt>
                <c:pt idx="519">
                  <c:v>42457</c:v>
                </c:pt>
                <c:pt idx="520">
                  <c:v>42458</c:v>
                </c:pt>
                <c:pt idx="521">
                  <c:v>42459</c:v>
                </c:pt>
                <c:pt idx="522">
                  <c:v>42460</c:v>
                </c:pt>
                <c:pt idx="523">
                  <c:v>42461</c:v>
                </c:pt>
                <c:pt idx="524">
                  <c:v>42464</c:v>
                </c:pt>
                <c:pt idx="525">
                  <c:v>42465</c:v>
                </c:pt>
                <c:pt idx="526">
                  <c:v>42466</c:v>
                </c:pt>
                <c:pt idx="527">
                  <c:v>42467</c:v>
                </c:pt>
                <c:pt idx="528">
                  <c:v>42468</c:v>
                </c:pt>
                <c:pt idx="529">
                  <c:v>42471</c:v>
                </c:pt>
                <c:pt idx="530">
                  <c:v>42472</c:v>
                </c:pt>
                <c:pt idx="531">
                  <c:v>42473</c:v>
                </c:pt>
                <c:pt idx="532">
                  <c:v>42474</c:v>
                </c:pt>
                <c:pt idx="533">
                  <c:v>42475</c:v>
                </c:pt>
                <c:pt idx="534">
                  <c:v>42478</c:v>
                </c:pt>
                <c:pt idx="535">
                  <c:v>42479</c:v>
                </c:pt>
                <c:pt idx="536">
                  <c:v>42480</c:v>
                </c:pt>
                <c:pt idx="537">
                  <c:v>42481</c:v>
                </c:pt>
                <c:pt idx="538">
                  <c:v>42482</c:v>
                </c:pt>
                <c:pt idx="539">
                  <c:v>42485</c:v>
                </c:pt>
                <c:pt idx="540">
                  <c:v>42486</c:v>
                </c:pt>
                <c:pt idx="541">
                  <c:v>42487</c:v>
                </c:pt>
                <c:pt idx="542">
                  <c:v>42488</c:v>
                </c:pt>
                <c:pt idx="543">
                  <c:v>42489</c:v>
                </c:pt>
                <c:pt idx="544">
                  <c:v>42492</c:v>
                </c:pt>
                <c:pt idx="545">
                  <c:v>42493</c:v>
                </c:pt>
                <c:pt idx="546">
                  <c:v>42494</c:v>
                </c:pt>
                <c:pt idx="547">
                  <c:v>42495</c:v>
                </c:pt>
                <c:pt idx="548">
                  <c:v>42496</c:v>
                </c:pt>
                <c:pt idx="549">
                  <c:v>42499</c:v>
                </c:pt>
                <c:pt idx="550">
                  <c:v>42500</c:v>
                </c:pt>
                <c:pt idx="551">
                  <c:v>42501</c:v>
                </c:pt>
                <c:pt idx="552">
                  <c:v>42502</c:v>
                </c:pt>
                <c:pt idx="553">
                  <c:v>42503</c:v>
                </c:pt>
                <c:pt idx="554">
                  <c:v>42506</c:v>
                </c:pt>
                <c:pt idx="555">
                  <c:v>42507</c:v>
                </c:pt>
                <c:pt idx="556">
                  <c:v>42508</c:v>
                </c:pt>
                <c:pt idx="557">
                  <c:v>42509</c:v>
                </c:pt>
                <c:pt idx="558">
                  <c:v>42510</c:v>
                </c:pt>
                <c:pt idx="559">
                  <c:v>42513</c:v>
                </c:pt>
                <c:pt idx="560">
                  <c:v>42514</c:v>
                </c:pt>
                <c:pt idx="561">
                  <c:v>42515</c:v>
                </c:pt>
                <c:pt idx="562">
                  <c:v>42516</c:v>
                </c:pt>
                <c:pt idx="563">
                  <c:v>42517</c:v>
                </c:pt>
                <c:pt idx="564">
                  <c:v>42521</c:v>
                </c:pt>
                <c:pt idx="565">
                  <c:v>42522</c:v>
                </c:pt>
                <c:pt idx="566">
                  <c:v>42523</c:v>
                </c:pt>
                <c:pt idx="567">
                  <c:v>42524</c:v>
                </c:pt>
                <c:pt idx="568">
                  <c:v>42527</c:v>
                </c:pt>
                <c:pt idx="569">
                  <c:v>42528</c:v>
                </c:pt>
                <c:pt idx="570">
                  <c:v>42529</c:v>
                </c:pt>
                <c:pt idx="571">
                  <c:v>42530</c:v>
                </c:pt>
                <c:pt idx="572">
                  <c:v>42531</c:v>
                </c:pt>
                <c:pt idx="573">
                  <c:v>42534</c:v>
                </c:pt>
                <c:pt idx="574">
                  <c:v>42535</c:v>
                </c:pt>
                <c:pt idx="575">
                  <c:v>42536</c:v>
                </c:pt>
                <c:pt idx="576">
                  <c:v>42537</c:v>
                </c:pt>
                <c:pt idx="577">
                  <c:v>42538</c:v>
                </c:pt>
                <c:pt idx="578">
                  <c:v>42541</c:v>
                </c:pt>
                <c:pt idx="579">
                  <c:v>42542</c:v>
                </c:pt>
                <c:pt idx="580">
                  <c:v>42543</c:v>
                </c:pt>
                <c:pt idx="581">
                  <c:v>42544</c:v>
                </c:pt>
                <c:pt idx="582">
                  <c:v>42545</c:v>
                </c:pt>
                <c:pt idx="583">
                  <c:v>42548</c:v>
                </c:pt>
                <c:pt idx="584">
                  <c:v>42549</c:v>
                </c:pt>
                <c:pt idx="585">
                  <c:v>42550</c:v>
                </c:pt>
                <c:pt idx="586">
                  <c:v>42551</c:v>
                </c:pt>
                <c:pt idx="587">
                  <c:v>42552</c:v>
                </c:pt>
                <c:pt idx="588">
                  <c:v>42556</c:v>
                </c:pt>
                <c:pt idx="589">
                  <c:v>42557</c:v>
                </c:pt>
                <c:pt idx="590">
                  <c:v>42558</c:v>
                </c:pt>
                <c:pt idx="591">
                  <c:v>42559</c:v>
                </c:pt>
                <c:pt idx="592">
                  <c:v>42562</c:v>
                </c:pt>
                <c:pt idx="593">
                  <c:v>42563</c:v>
                </c:pt>
                <c:pt idx="594">
                  <c:v>42564</c:v>
                </c:pt>
                <c:pt idx="595">
                  <c:v>42565</c:v>
                </c:pt>
                <c:pt idx="596">
                  <c:v>42566</c:v>
                </c:pt>
                <c:pt idx="597">
                  <c:v>42569</c:v>
                </c:pt>
                <c:pt idx="598">
                  <c:v>42570</c:v>
                </c:pt>
                <c:pt idx="599">
                  <c:v>42571</c:v>
                </c:pt>
                <c:pt idx="600">
                  <c:v>42572</c:v>
                </c:pt>
                <c:pt idx="601">
                  <c:v>42573</c:v>
                </c:pt>
                <c:pt idx="602">
                  <c:v>42576</c:v>
                </c:pt>
                <c:pt idx="603">
                  <c:v>42577</c:v>
                </c:pt>
                <c:pt idx="604">
                  <c:v>42578</c:v>
                </c:pt>
                <c:pt idx="605">
                  <c:v>42579</c:v>
                </c:pt>
                <c:pt idx="606">
                  <c:v>42580</c:v>
                </c:pt>
                <c:pt idx="607">
                  <c:v>42583</c:v>
                </c:pt>
                <c:pt idx="608">
                  <c:v>42584</c:v>
                </c:pt>
                <c:pt idx="609">
                  <c:v>42585</c:v>
                </c:pt>
                <c:pt idx="610">
                  <c:v>42586</c:v>
                </c:pt>
                <c:pt idx="611">
                  <c:v>42587</c:v>
                </c:pt>
                <c:pt idx="612">
                  <c:v>42590</c:v>
                </c:pt>
                <c:pt idx="613">
                  <c:v>42591</c:v>
                </c:pt>
                <c:pt idx="614">
                  <c:v>42592</c:v>
                </c:pt>
                <c:pt idx="615">
                  <c:v>42593</c:v>
                </c:pt>
                <c:pt idx="616">
                  <c:v>42594</c:v>
                </c:pt>
                <c:pt idx="617">
                  <c:v>42597</c:v>
                </c:pt>
                <c:pt idx="618">
                  <c:v>42598</c:v>
                </c:pt>
                <c:pt idx="619">
                  <c:v>42599</c:v>
                </c:pt>
                <c:pt idx="620">
                  <c:v>42600</c:v>
                </c:pt>
                <c:pt idx="621">
                  <c:v>42601</c:v>
                </c:pt>
                <c:pt idx="622">
                  <c:v>42604</c:v>
                </c:pt>
                <c:pt idx="623">
                  <c:v>42605</c:v>
                </c:pt>
                <c:pt idx="624">
                  <c:v>42606</c:v>
                </c:pt>
                <c:pt idx="625">
                  <c:v>42607</c:v>
                </c:pt>
                <c:pt idx="626">
                  <c:v>42608</c:v>
                </c:pt>
                <c:pt idx="627">
                  <c:v>42611</c:v>
                </c:pt>
                <c:pt idx="628">
                  <c:v>42612</c:v>
                </c:pt>
                <c:pt idx="629">
                  <c:v>42613</c:v>
                </c:pt>
                <c:pt idx="630">
                  <c:v>42614</c:v>
                </c:pt>
                <c:pt idx="631">
                  <c:v>42615</c:v>
                </c:pt>
                <c:pt idx="632">
                  <c:v>42618</c:v>
                </c:pt>
                <c:pt idx="633">
                  <c:v>42619</c:v>
                </c:pt>
                <c:pt idx="634">
                  <c:v>42620</c:v>
                </c:pt>
                <c:pt idx="635">
                  <c:v>42621</c:v>
                </c:pt>
                <c:pt idx="636">
                  <c:v>42622</c:v>
                </c:pt>
                <c:pt idx="637">
                  <c:v>42625</c:v>
                </c:pt>
                <c:pt idx="638">
                  <c:v>42626</c:v>
                </c:pt>
                <c:pt idx="639">
                  <c:v>42627</c:v>
                </c:pt>
                <c:pt idx="640">
                  <c:v>42628</c:v>
                </c:pt>
                <c:pt idx="641">
                  <c:v>42629</c:v>
                </c:pt>
                <c:pt idx="642">
                  <c:v>42632</c:v>
                </c:pt>
                <c:pt idx="643">
                  <c:v>42633</c:v>
                </c:pt>
                <c:pt idx="644">
                  <c:v>42634</c:v>
                </c:pt>
                <c:pt idx="645">
                  <c:v>42635</c:v>
                </c:pt>
                <c:pt idx="646">
                  <c:v>42636</c:v>
                </c:pt>
                <c:pt idx="647">
                  <c:v>42639</c:v>
                </c:pt>
                <c:pt idx="648">
                  <c:v>42640</c:v>
                </c:pt>
                <c:pt idx="649">
                  <c:v>42641</c:v>
                </c:pt>
                <c:pt idx="650">
                  <c:v>42642</c:v>
                </c:pt>
                <c:pt idx="651">
                  <c:v>42643</c:v>
                </c:pt>
                <c:pt idx="652">
                  <c:v>42646</c:v>
                </c:pt>
                <c:pt idx="653">
                  <c:v>42647</c:v>
                </c:pt>
                <c:pt idx="654">
                  <c:v>42648</c:v>
                </c:pt>
                <c:pt idx="655">
                  <c:v>42649</c:v>
                </c:pt>
                <c:pt idx="656">
                  <c:v>42650</c:v>
                </c:pt>
                <c:pt idx="657">
                  <c:v>42653</c:v>
                </c:pt>
                <c:pt idx="658">
                  <c:v>42654</c:v>
                </c:pt>
                <c:pt idx="659">
                  <c:v>42655</c:v>
                </c:pt>
                <c:pt idx="660">
                  <c:v>42656</c:v>
                </c:pt>
                <c:pt idx="661">
                  <c:v>42657</c:v>
                </c:pt>
                <c:pt idx="662">
                  <c:v>42660</c:v>
                </c:pt>
                <c:pt idx="663">
                  <c:v>42661</c:v>
                </c:pt>
                <c:pt idx="664">
                  <c:v>42662</c:v>
                </c:pt>
                <c:pt idx="665">
                  <c:v>42663</c:v>
                </c:pt>
                <c:pt idx="666">
                  <c:v>42664</c:v>
                </c:pt>
                <c:pt idx="667">
                  <c:v>42667</c:v>
                </c:pt>
                <c:pt idx="668">
                  <c:v>42668</c:v>
                </c:pt>
                <c:pt idx="669">
                  <c:v>42669</c:v>
                </c:pt>
                <c:pt idx="670">
                  <c:v>42670</c:v>
                </c:pt>
                <c:pt idx="671">
                  <c:v>42671</c:v>
                </c:pt>
                <c:pt idx="672">
                  <c:v>42674</c:v>
                </c:pt>
                <c:pt idx="673">
                  <c:v>42675</c:v>
                </c:pt>
                <c:pt idx="674">
                  <c:v>42676</c:v>
                </c:pt>
                <c:pt idx="675">
                  <c:v>42677</c:v>
                </c:pt>
                <c:pt idx="676">
                  <c:v>42678</c:v>
                </c:pt>
                <c:pt idx="677">
                  <c:v>42681</c:v>
                </c:pt>
                <c:pt idx="678">
                  <c:v>42682</c:v>
                </c:pt>
                <c:pt idx="679">
                  <c:v>42683</c:v>
                </c:pt>
                <c:pt idx="680">
                  <c:v>42684</c:v>
                </c:pt>
                <c:pt idx="681">
                  <c:v>42685</c:v>
                </c:pt>
                <c:pt idx="682">
                  <c:v>42688</c:v>
                </c:pt>
                <c:pt idx="683">
                  <c:v>42689</c:v>
                </c:pt>
                <c:pt idx="684">
                  <c:v>42690</c:v>
                </c:pt>
                <c:pt idx="685">
                  <c:v>42691</c:v>
                </c:pt>
                <c:pt idx="686">
                  <c:v>42692</c:v>
                </c:pt>
                <c:pt idx="687">
                  <c:v>42695</c:v>
                </c:pt>
                <c:pt idx="688">
                  <c:v>42696</c:v>
                </c:pt>
                <c:pt idx="689">
                  <c:v>42697</c:v>
                </c:pt>
                <c:pt idx="690">
                  <c:v>42698</c:v>
                </c:pt>
                <c:pt idx="691">
                  <c:v>42699</c:v>
                </c:pt>
                <c:pt idx="692">
                  <c:v>42702</c:v>
                </c:pt>
                <c:pt idx="693">
                  <c:v>42703</c:v>
                </c:pt>
                <c:pt idx="694">
                  <c:v>42704</c:v>
                </c:pt>
                <c:pt idx="695">
                  <c:v>42705</c:v>
                </c:pt>
                <c:pt idx="696">
                  <c:v>42706</c:v>
                </c:pt>
                <c:pt idx="697">
                  <c:v>42709</c:v>
                </c:pt>
                <c:pt idx="698">
                  <c:v>42710</c:v>
                </c:pt>
                <c:pt idx="699">
                  <c:v>42711</c:v>
                </c:pt>
                <c:pt idx="700">
                  <c:v>42712</c:v>
                </c:pt>
                <c:pt idx="701">
                  <c:v>42713</c:v>
                </c:pt>
                <c:pt idx="702">
                  <c:v>42716</c:v>
                </c:pt>
                <c:pt idx="703">
                  <c:v>42717</c:v>
                </c:pt>
                <c:pt idx="704">
                  <c:v>42718</c:v>
                </c:pt>
                <c:pt idx="705">
                  <c:v>42719</c:v>
                </c:pt>
                <c:pt idx="706">
                  <c:v>42720</c:v>
                </c:pt>
                <c:pt idx="707">
                  <c:v>42723</c:v>
                </c:pt>
                <c:pt idx="708">
                  <c:v>42724</c:v>
                </c:pt>
                <c:pt idx="709">
                  <c:v>42725</c:v>
                </c:pt>
                <c:pt idx="710">
                  <c:v>42726</c:v>
                </c:pt>
                <c:pt idx="711">
                  <c:v>42727</c:v>
                </c:pt>
                <c:pt idx="712">
                  <c:v>42731</c:v>
                </c:pt>
                <c:pt idx="713">
                  <c:v>42732</c:v>
                </c:pt>
                <c:pt idx="714">
                  <c:v>42733</c:v>
                </c:pt>
                <c:pt idx="715">
                  <c:v>42734</c:v>
                </c:pt>
                <c:pt idx="716">
                  <c:v>42738</c:v>
                </c:pt>
                <c:pt idx="717">
                  <c:v>42739</c:v>
                </c:pt>
                <c:pt idx="718">
                  <c:v>42740</c:v>
                </c:pt>
                <c:pt idx="719">
                  <c:v>42741</c:v>
                </c:pt>
                <c:pt idx="720">
                  <c:v>42744</c:v>
                </c:pt>
                <c:pt idx="721">
                  <c:v>42745</c:v>
                </c:pt>
                <c:pt idx="722">
                  <c:v>42746</c:v>
                </c:pt>
                <c:pt idx="723">
                  <c:v>42747</c:v>
                </c:pt>
                <c:pt idx="724">
                  <c:v>42748</c:v>
                </c:pt>
                <c:pt idx="725">
                  <c:v>42752</c:v>
                </c:pt>
                <c:pt idx="726">
                  <c:v>42753</c:v>
                </c:pt>
                <c:pt idx="727">
                  <c:v>42754</c:v>
                </c:pt>
                <c:pt idx="728">
                  <c:v>42755</c:v>
                </c:pt>
                <c:pt idx="729">
                  <c:v>42758</c:v>
                </c:pt>
                <c:pt idx="730">
                  <c:v>42759</c:v>
                </c:pt>
                <c:pt idx="731">
                  <c:v>42760</c:v>
                </c:pt>
                <c:pt idx="732">
                  <c:v>42761</c:v>
                </c:pt>
                <c:pt idx="733">
                  <c:v>42762</c:v>
                </c:pt>
                <c:pt idx="734">
                  <c:v>42765</c:v>
                </c:pt>
                <c:pt idx="735">
                  <c:v>42766</c:v>
                </c:pt>
                <c:pt idx="736">
                  <c:v>42767</c:v>
                </c:pt>
                <c:pt idx="737">
                  <c:v>42768</c:v>
                </c:pt>
                <c:pt idx="738">
                  <c:v>42769</c:v>
                </c:pt>
                <c:pt idx="739">
                  <c:v>42772</c:v>
                </c:pt>
                <c:pt idx="740">
                  <c:v>42773</c:v>
                </c:pt>
                <c:pt idx="741">
                  <c:v>42774</c:v>
                </c:pt>
                <c:pt idx="742">
                  <c:v>42775</c:v>
                </c:pt>
                <c:pt idx="743">
                  <c:v>42776</c:v>
                </c:pt>
                <c:pt idx="744">
                  <c:v>42779</c:v>
                </c:pt>
                <c:pt idx="745">
                  <c:v>42780</c:v>
                </c:pt>
                <c:pt idx="746">
                  <c:v>42781</c:v>
                </c:pt>
                <c:pt idx="747">
                  <c:v>42782</c:v>
                </c:pt>
                <c:pt idx="748">
                  <c:v>42783</c:v>
                </c:pt>
                <c:pt idx="749">
                  <c:v>42787</c:v>
                </c:pt>
                <c:pt idx="750">
                  <c:v>42788</c:v>
                </c:pt>
                <c:pt idx="751">
                  <c:v>42789</c:v>
                </c:pt>
                <c:pt idx="752">
                  <c:v>42790</c:v>
                </c:pt>
                <c:pt idx="753">
                  <c:v>42793</c:v>
                </c:pt>
                <c:pt idx="754">
                  <c:v>42794</c:v>
                </c:pt>
                <c:pt idx="755">
                  <c:v>42795</c:v>
                </c:pt>
                <c:pt idx="756">
                  <c:v>42796</c:v>
                </c:pt>
                <c:pt idx="757">
                  <c:v>42797</c:v>
                </c:pt>
                <c:pt idx="758">
                  <c:v>42800</c:v>
                </c:pt>
                <c:pt idx="759">
                  <c:v>42801</c:v>
                </c:pt>
                <c:pt idx="760">
                  <c:v>42802</c:v>
                </c:pt>
                <c:pt idx="761">
                  <c:v>42803</c:v>
                </c:pt>
                <c:pt idx="762">
                  <c:v>42804</c:v>
                </c:pt>
                <c:pt idx="763">
                  <c:v>42807</c:v>
                </c:pt>
                <c:pt idx="764">
                  <c:v>42808</c:v>
                </c:pt>
                <c:pt idx="765">
                  <c:v>42809</c:v>
                </c:pt>
                <c:pt idx="766">
                  <c:v>42810</c:v>
                </c:pt>
                <c:pt idx="767">
                  <c:v>42811</c:v>
                </c:pt>
                <c:pt idx="768">
                  <c:v>42814</c:v>
                </c:pt>
                <c:pt idx="769">
                  <c:v>42815</c:v>
                </c:pt>
                <c:pt idx="770">
                  <c:v>42816</c:v>
                </c:pt>
                <c:pt idx="771">
                  <c:v>42817</c:v>
                </c:pt>
                <c:pt idx="772">
                  <c:v>42818</c:v>
                </c:pt>
                <c:pt idx="773">
                  <c:v>42821</c:v>
                </c:pt>
                <c:pt idx="774">
                  <c:v>42822</c:v>
                </c:pt>
                <c:pt idx="775">
                  <c:v>42823</c:v>
                </c:pt>
                <c:pt idx="776">
                  <c:v>42824</c:v>
                </c:pt>
                <c:pt idx="777">
                  <c:v>42825</c:v>
                </c:pt>
                <c:pt idx="778">
                  <c:v>42828</c:v>
                </c:pt>
                <c:pt idx="779">
                  <c:v>42829</c:v>
                </c:pt>
                <c:pt idx="780">
                  <c:v>42830</c:v>
                </c:pt>
                <c:pt idx="781">
                  <c:v>42831</c:v>
                </c:pt>
                <c:pt idx="782">
                  <c:v>42832</c:v>
                </c:pt>
                <c:pt idx="783">
                  <c:v>42835</c:v>
                </c:pt>
                <c:pt idx="784">
                  <c:v>42836</c:v>
                </c:pt>
                <c:pt idx="785">
                  <c:v>42837</c:v>
                </c:pt>
                <c:pt idx="786">
                  <c:v>42838</c:v>
                </c:pt>
                <c:pt idx="787">
                  <c:v>42842</c:v>
                </c:pt>
                <c:pt idx="788">
                  <c:v>42843</c:v>
                </c:pt>
                <c:pt idx="789">
                  <c:v>42844</c:v>
                </c:pt>
                <c:pt idx="790">
                  <c:v>42845</c:v>
                </c:pt>
                <c:pt idx="791">
                  <c:v>42846</c:v>
                </c:pt>
                <c:pt idx="792">
                  <c:v>42849</c:v>
                </c:pt>
                <c:pt idx="793">
                  <c:v>42850</c:v>
                </c:pt>
                <c:pt idx="794">
                  <c:v>42851</c:v>
                </c:pt>
                <c:pt idx="795">
                  <c:v>42852</c:v>
                </c:pt>
                <c:pt idx="796">
                  <c:v>42853</c:v>
                </c:pt>
                <c:pt idx="797">
                  <c:v>42856</c:v>
                </c:pt>
                <c:pt idx="798">
                  <c:v>42857</c:v>
                </c:pt>
                <c:pt idx="799">
                  <c:v>42858</c:v>
                </c:pt>
                <c:pt idx="800">
                  <c:v>42859</c:v>
                </c:pt>
                <c:pt idx="801">
                  <c:v>42860</c:v>
                </c:pt>
                <c:pt idx="802">
                  <c:v>42863</c:v>
                </c:pt>
                <c:pt idx="803">
                  <c:v>42864</c:v>
                </c:pt>
                <c:pt idx="804">
                  <c:v>42865</c:v>
                </c:pt>
                <c:pt idx="805">
                  <c:v>42866</c:v>
                </c:pt>
                <c:pt idx="806">
                  <c:v>42867</c:v>
                </c:pt>
                <c:pt idx="807">
                  <c:v>42870</c:v>
                </c:pt>
                <c:pt idx="808">
                  <c:v>42871</c:v>
                </c:pt>
                <c:pt idx="809">
                  <c:v>42872</c:v>
                </c:pt>
                <c:pt idx="810">
                  <c:v>42873</c:v>
                </c:pt>
                <c:pt idx="811">
                  <c:v>42874</c:v>
                </c:pt>
                <c:pt idx="812">
                  <c:v>42877</c:v>
                </c:pt>
                <c:pt idx="813">
                  <c:v>42878</c:v>
                </c:pt>
                <c:pt idx="814">
                  <c:v>42879</c:v>
                </c:pt>
                <c:pt idx="815">
                  <c:v>42880</c:v>
                </c:pt>
                <c:pt idx="816">
                  <c:v>42881</c:v>
                </c:pt>
                <c:pt idx="817">
                  <c:v>42885</c:v>
                </c:pt>
                <c:pt idx="818">
                  <c:v>42886</c:v>
                </c:pt>
                <c:pt idx="819">
                  <c:v>42887</c:v>
                </c:pt>
                <c:pt idx="820">
                  <c:v>42888</c:v>
                </c:pt>
                <c:pt idx="821">
                  <c:v>42891</c:v>
                </c:pt>
                <c:pt idx="822">
                  <c:v>42892</c:v>
                </c:pt>
                <c:pt idx="823">
                  <c:v>42893</c:v>
                </c:pt>
                <c:pt idx="824">
                  <c:v>42894</c:v>
                </c:pt>
                <c:pt idx="825">
                  <c:v>42895</c:v>
                </c:pt>
                <c:pt idx="826">
                  <c:v>42898</c:v>
                </c:pt>
                <c:pt idx="827">
                  <c:v>42899</c:v>
                </c:pt>
                <c:pt idx="828">
                  <c:v>42900</c:v>
                </c:pt>
                <c:pt idx="829">
                  <c:v>42901</c:v>
                </c:pt>
                <c:pt idx="830">
                  <c:v>42902</c:v>
                </c:pt>
                <c:pt idx="831">
                  <c:v>42905</c:v>
                </c:pt>
                <c:pt idx="832">
                  <c:v>42906</c:v>
                </c:pt>
                <c:pt idx="833">
                  <c:v>42907</c:v>
                </c:pt>
                <c:pt idx="834">
                  <c:v>42908</c:v>
                </c:pt>
                <c:pt idx="835">
                  <c:v>42909</c:v>
                </c:pt>
                <c:pt idx="836">
                  <c:v>42912</c:v>
                </c:pt>
                <c:pt idx="837">
                  <c:v>42913</c:v>
                </c:pt>
                <c:pt idx="838">
                  <c:v>42914</c:v>
                </c:pt>
                <c:pt idx="839">
                  <c:v>42915</c:v>
                </c:pt>
                <c:pt idx="840">
                  <c:v>42916</c:v>
                </c:pt>
                <c:pt idx="841">
                  <c:v>42919</c:v>
                </c:pt>
                <c:pt idx="842">
                  <c:v>42921</c:v>
                </c:pt>
                <c:pt idx="843">
                  <c:v>42922</c:v>
                </c:pt>
                <c:pt idx="844">
                  <c:v>42923</c:v>
                </c:pt>
                <c:pt idx="845">
                  <c:v>42926</c:v>
                </c:pt>
                <c:pt idx="846">
                  <c:v>42927</c:v>
                </c:pt>
                <c:pt idx="847">
                  <c:v>42928</c:v>
                </c:pt>
                <c:pt idx="848">
                  <c:v>42929</c:v>
                </c:pt>
                <c:pt idx="849">
                  <c:v>42930</c:v>
                </c:pt>
                <c:pt idx="850">
                  <c:v>42933</c:v>
                </c:pt>
                <c:pt idx="851">
                  <c:v>42934</c:v>
                </c:pt>
                <c:pt idx="852">
                  <c:v>42935</c:v>
                </c:pt>
                <c:pt idx="853">
                  <c:v>42936</c:v>
                </c:pt>
                <c:pt idx="854">
                  <c:v>42937</c:v>
                </c:pt>
                <c:pt idx="855">
                  <c:v>42940</c:v>
                </c:pt>
                <c:pt idx="856">
                  <c:v>42941</c:v>
                </c:pt>
                <c:pt idx="857">
                  <c:v>42942</c:v>
                </c:pt>
                <c:pt idx="858">
                  <c:v>42943</c:v>
                </c:pt>
                <c:pt idx="859">
                  <c:v>42944</c:v>
                </c:pt>
                <c:pt idx="860">
                  <c:v>42947</c:v>
                </c:pt>
                <c:pt idx="861">
                  <c:v>42948</c:v>
                </c:pt>
                <c:pt idx="862">
                  <c:v>42949</c:v>
                </c:pt>
                <c:pt idx="863">
                  <c:v>42950</c:v>
                </c:pt>
                <c:pt idx="864">
                  <c:v>42951</c:v>
                </c:pt>
                <c:pt idx="865">
                  <c:v>42954</c:v>
                </c:pt>
                <c:pt idx="866">
                  <c:v>42955</c:v>
                </c:pt>
                <c:pt idx="867">
                  <c:v>42956</c:v>
                </c:pt>
                <c:pt idx="868">
                  <c:v>42957</c:v>
                </c:pt>
                <c:pt idx="869">
                  <c:v>42958</c:v>
                </c:pt>
                <c:pt idx="870">
                  <c:v>42961</c:v>
                </c:pt>
                <c:pt idx="871">
                  <c:v>42962</c:v>
                </c:pt>
                <c:pt idx="872">
                  <c:v>42963</c:v>
                </c:pt>
                <c:pt idx="873">
                  <c:v>42964</c:v>
                </c:pt>
                <c:pt idx="874">
                  <c:v>42965</c:v>
                </c:pt>
                <c:pt idx="875">
                  <c:v>42968</c:v>
                </c:pt>
                <c:pt idx="876">
                  <c:v>42969</c:v>
                </c:pt>
                <c:pt idx="877">
                  <c:v>42970</c:v>
                </c:pt>
                <c:pt idx="878">
                  <c:v>42971</c:v>
                </c:pt>
                <c:pt idx="879">
                  <c:v>42972</c:v>
                </c:pt>
                <c:pt idx="880">
                  <c:v>42975</c:v>
                </c:pt>
                <c:pt idx="881">
                  <c:v>42976</c:v>
                </c:pt>
                <c:pt idx="882">
                  <c:v>42977</c:v>
                </c:pt>
                <c:pt idx="883">
                  <c:v>42978</c:v>
                </c:pt>
                <c:pt idx="884">
                  <c:v>42979</c:v>
                </c:pt>
                <c:pt idx="885">
                  <c:v>42983</c:v>
                </c:pt>
                <c:pt idx="886">
                  <c:v>42984</c:v>
                </c:pt>
                <c:pt idx="887">
                  <c:v>42985</c:v>
                </c:pt>
                <c:pt idx="888">
                  <c:v>42986</c:v>
                </c:pt>
                <c:pt idx="889">
                  <c:v>42989</c:v>
                </c:pt>
                <c:pt idx="890">
                  <c:v>42990</c:v>
                </c:pt>
                <c:pt idx="891">
                  <c:v>42991</c:v>
                </c:pt>
                <c:pt idx="892">
                  <c:v>42992</c:v>
                </c:pt>
                <c:pt idx="893">
                  <c:v>42993</c:v>
                </c:pt>
                <c:pt idx="894">
                  <c:v>42996</c:v>
                </c:pt>
                <c:pt idx="895">
                  <c:v>42997</c:v>
                </c:pt>
                <c:pt idx="896">
                  <c:v>42998</c:v>
                </c:pt>
                <c:pt idx="897">
                  <c:v>42999</c:v>
                </c:pt>
                <c:pt idx="898">
                  <c:v>43000</c:v>
                </c:pt>
                <c:pt idx="899">
                  <c:v>43003</c:v>
                </c:pt>
                <c:pt idx="900">
                  <c:v>43004</c:v>
                </c:pt>
                <c:pt idx="901">
                  <c:v>43005</c:v>
                </c:pt>
                <c:pt idx="902">
                  <c:v>43006</c:v>
                </c:pt>
                <c:pt idx="903">
                  <c:v>43007</c:v>
                </c:pt>
                <c:pt idx="904">
                  <c:v>43010</c:v>
                </c:pt>
                <c:pt idx="905">
                  <c:v>43011</c:v>
                </c:pt>
                <c:pt idx="906">
                  <c:v>43012</c:v>
                </c:pt>
                <c:pt idx="907">
                  <c:v>43013</c:v>
                </c:pt>
                <c:pt idx="908">
                  <c:v>43014</c:v>
                </c:pt>
                <c:pt idx="909">
                  <c:v>43017</c:v>
                </c:pt>
                <c:pt idx="910">
                  <c:v>43018</c:v>
                </c:pt>
                <c:pt idx="911">
                  <c:v>43019</c:v>
                </c:pt>
                <c:pt idx="912">
                  <c:v>43020</c:v>
                </c:pt>
                <c:pt idx="913">
                  <c:v>43021</c:v>
                </c:pt>
                <c:pt idx="914">
                  <c:v>43024</c:v>
                </c:pt>
                <c:pt idx="915">
                  <c:v>43025</c:v>
                </c:pt>
                <c:pt idx="916">
                  <c:v>43026</c:v>
                </c:pt>
                <c:pt idx="917">
                  <c:v>43027</c:v>
                </c:pt>
                <c:pt idx="918">
                  <c:v>43028</c:v>
                </c:pt>
                <c:pt idx="919">
                  <c:v>43031</c:v>
                </c:pt>
                <c:pt idx="920">
                  <c:v>43032</c:v>
                </c:pt>
                <c:pt idx="921">
                  <c:v>43033</c:v>
                </c:pt>
                <c:pt idx="922">
                  <c:v>43034</c:v>
                </c:pt>
                <c:pt idx="923">
                  <c:v>43035</c:v>
                </c:pt>
                <c:pt idx="924">
                  <c:v>43038</c:v>
                </c:pt>
                <c:pt idx="925">
                  <c:v>43039</c:v>
                </c:pt>
                <c:pt idx="926">
                  <c:v>43040</c:v>
                </c:pt>
                <c:pt idx="927">
                  <c:v>43041</c:v>
                </c:pt>
                <c:pt idx="928">
                  <c:v>43042</c:v>
                </c:pt>
                <c:pt idx="929">
                  <c:v>43045</c:v>
                </c:pt>
                <c:pt idx="930">
                  <c:v>43046</c:v>
                </c:pt>
                <c:pt idx="931">
                  <c:v>43047</c:v>
                </c:pt>
                <c:pt idx="932">
                  <c:v>43048</c:v>
                </c:pt>
                <c:pt idx="933">
                  <c:v>43049</c:v>
                </c:pt>
                <c:pt idx="934">
                  <c:v>43052</c:v>
                </c:pt>
                <c:pt idx="935">
                  <c:v>43053</c:v>
                </c:pt>
                <c:pt idx="936">
                  <c:v>43054</c:v>
                </c:pt>
                <c:pt idx="937">
                  <c:v>43055</c:v>
                </c:pt>
                <c:pt idx="938">
                  <c:v>43056</c:v>
                </c:pt>
                <c:pt idx="939">
                  <c:v>43059</c:v>
                </c:pt>
                <c:pt idx="940">
                  <c:v>43060</c:v>
                </c:pt>
                <c:pt idx="941">
                  <c:v>43061</c:v>
                </c:pt>
                <c:pt idx="942">
                  <c:v>43063</c:v>
                </c:pt>
                <c:pt idx="943">
                  <c:v>43066</c:v>
                </c:pt>
                <c:pt idx="944">
                  <c:v>43067</c:v>
                </c:pt>
                <c:pt idx="945">
                  <c:v>43068</c:v>
                </c:pt>
                <c:pt idx="946">
                  <c:v>43069</c:v>
                </c:pt>
                <c:pt idx="947">
                  <c:v>43070</c:v>
                </c:pt>
                <c:pt idx="948">
                  <c:v>43073</c:v>
                </c:pt>
                <c:pt idx="949">
                  <c:v>43074</c:v>
                </c:pt>
                <c:pt idx="950">
                  <c:v>43075</c:v>
                </c:pt>
                <c:pt idx="951">
                  <c:v>43076</c:v>
                </c:pt>
                <c:pt idx="952">
                  <c:v>43077</c:v>
                </c:pt>
                <c:pt idx="953">
                  <c:v>43080</c:v>
                </c:pt>
                <c:pt idx="954">
                  <c:v>43081</c:v>
                </c:pt>
                <c:pt idx="955">
                  <c:v>43082</c:v>
                </c:pt>
                <c:pt idx="956">
                  <c:v>43083</c:v>
                </c:pt>
                <c:pt idx="957">
                  <c:v>43084</c:v>
                </c:pt>
                <c:pt idx="958">
                  <c:v>43087</c:v>
                </c:pt>
                <c:pt idx="959">
                  <c:v>43088</c:v>
                </c:pt>
                <c:pt idx="960">
                  <c:v>43089</c:v>
                </c:pt>
                <c:pt idx="961">
                  <c:v>43090</c:v>
                </c:pt>
                <c:pt idx="962">
                  <c:v>43091</c:v>
                </c:pt>
                <c:pt idx="963">
                  <c:v>43095</c:v>
                </c:pt>
                <c:pt idx="964">
                  <c:v>43096</c:v>
                </c:pt>
                <c:pt idx="965">
                  <c:v>43097</c:v>
                </c:pt>
                <c:pt idx="966">
                  <c:v>43098</c:v>
                </c:pt>
                <c:pt idx="967">
                  <c:v>43102</c:v>
                </c:pt>
                <c:pt idx="968">
                  <c:v>43103</c:v>
                </c:pt>
                <c:pt idx="969">
                  <c:v>43104</c:v>
                </c:pt>
                <c:pt idx="970">
                  <c:v>43105</c:v>
                </c:pt>
                <c:pt idx="971">
                  <c:v>43108</c:v>
                </c:pt>
                <c:pt idx="972">
                  <c:v>43109</c:v>
                </c:pt>
                <c:pt idx="973">
                  <c:v>43110</c:v>
                </c:pt>
                <c:pt idx="974">
                  <c:v>43111</c:v>
                </c:pt>
                <c:pt idx="975">
                  <c:v>43112</c:v>
                </c:pt>
                <c:pt idx="976">
                  <c:v>43116</c:v>
                </c:pt>
                <c:pt idx="977">
                  <c:v>43117</c:v>
                </c:pt>
                <c:pt idx="978">
                  <c:v>43118</c:v>
                </c:pt>
                <c:pt idx="979">
                  <c:v>43119</c:v>
                </c:pt>
                <c:pt idx="980">
                  <c:v>43122</c:v>
                </c:pt>
                <c:pt idx="981">
                  <c:v>43123</c:v>
                </c:pt>
                <c:pt idx="982">
                  <c:v>43124</c:v>
                </c:pt>
                <c:pt idx="983">
                  <c:v>43125</c:v>
                </c:pt>
                <c:pt idx="984">
                  <c:v>43126</c:v>
                </c:pt>
                <c:pt idx="985">
                  <c:v>43129</c:v>
                </c:pt>
                <c:pt idx="986">
                  <c:v>43130</c:v>
                </c:pt>
                <c:pt idx="987">
                  <c:v>43131</c:v>
                </c:pt>
                <c:pt idx="988">
                  <c:v>43132</c:v>
                </c:pt>
                <c:pt idx="989">
                  <c:v>43133</c:v>
                </c:pt>
                <c:pt idx="990">
                  <c:v>43136</c:v>
                </c:pt>
                <c:pt idx="991">
                  <c:v>43137</c:v>
                </c:pt>
                <c:pt idx="992">
                  <c:v>43138</c:v>
                </c:pt>
                <c:pt idx="993">
                  <c:v>43139</c:v>
                </c:pt>
                <c:pt idx="994">
                  <c:v>43140</c:v>
                </c:pt>
                <c:pt idx="995">
                  <c:v>43143</c:v>
                </c:pt>
                <c:pt idx="996">
                  <c:v>43144</c:v>
                </c:pt>
                <c:pt idx="997">
                  <c:v>43145</c:v>
                </c:pt>
                <c:pt idx="998">
                  <c:v>43146</c:v>
                </c:pt>
                <c:pt idx="999">
                  <c:v>43147</c:v>
                </c:pt>
                <c:pt idx="1000">
                  <c:v>43151</c:v>
                </c:pt>
                <c:pt idx="1001">
                  <c:v>43152</c:v>
                </c:pt>
                <c:pt idx="1002">
                  <c:v>43153</c:v>
                </c:pt>
                <c:pt idx="1003">
                  <c:v>43154</c:v>
                </c:pt>
                <c:pt idx="1004">
                  <c:v>43157</c:v>
                </c:pt>
                <c:pt idx="1005">
                  <c:v>43158</c:v>
                </c:pt>
                <c:pt idx="1006">
                  <c:v>43159</c:v>
                </c:pt>
                <c:pt idx="1007">
                  <c:v>43160</c:v>
                </c:pt>
                <c:pt idx="1008">
                  <c:v>43161</c:v>
                </c:pt>
                <c:pt idx="1009">
                  <c:v>43164</c:v>
                </c:pt>
                <c:pt idx="1010">
                  <c:v>43165</c:v>
                </c:pt>
                <c:pt idx="1011">
                  <c:v>43166</c:v>
                </c:pt>
                <c:pt idx="1012">
                  <c:v>43167</c:v>
                </c:pt>
                <c:pt idx="1013">
                  <c:v>43168</c:v>
                </c:pt>
                <c:pt idx="1014">
                  <c:v>43171</c:v>
                </c:pt>
                <c:pt idx="1015">
                  <c:v>43172</c:v>
                </c:pt>
                <c:pt idx="1016">
                  <c:v>43173</c:v>
                </c:pt>
                <c:pt idx="1017">
                  <c:v>43174</c:v>
                </c:pt>
                <c:pt idx="1018">
                  <c:v>43175</c:v>
                </c:pt>
                <c:pt idx="1019">
                  <c:v>43178</c:v>
                </c:pt>
                <c:pt idx="1020">
                  <c:v>43179</c:v>
                </c:pt>
                <c:pt idx="1021">
                  <c:v>43180</c:v>
                </c:pt>
                <c:pt idx="1022">
                  <c:v>43181</c:v>
                </c:pt>
                <c:pt idx="1023">
                  <c:v>43182</c:v>
                </c:pt>
                <c:pt idx="1024">
                  <c:v>43185</c:v>
                </c:pt>
                <c:pt idx="1025">
                  <c:v>43186</c:v>
                </c:pt>
                <c:pt idx="1026">
                  <c:v>43187</c:v>
                </c:pt>
                <c:pt idx="1027">
                  <c:v>43188</c:v>
                </c:pt>
                <c:pt idx="1028">
                  <c:v>43192</c:v>
                </c:pt>
              </c:numCache>
            </c:numRef>
          </c:cat>
          <c:val>
            <c:numRef>
              <c:f>'20 &amp;50 -days MA'!$I$54:$I$1082</c:f>
              <c:numCache>
                <c:formatCode>0.00</c:formatCode>
                <c:ptCount val="1029"/>
                <c:pt idx="0">
                  <c:v>98.312599999999961</c:v>
                </c:pt>
                <c:pt idx="1">
                  <c:v>98.378399999999985</c:v>
                </c:pt>
                <c:pt idx="2">
                  <c:v>98.506799999999984</c:v>
                </c:pt>
                <c:pt idx="3">
                  <c:v>98.658599999999993</c:v>
                </c:pt>
                <c:pt idx="4">
                  <c:v>98.785999999999987</c:v>
                </c:pt>
                <c:pt idx="5">
                  <c:v>98.947400000000002</c:v>
                </c:pt>
                <c:pt idx="6">
                  <c:v>99.121200000000002</c:v>
                </c:pt>
                <c:pt idx="7">
                  <c:v>99.266599999999997</c:v>
                </c:pt>
                <c:pt idx="8">
                  <c:v>99.44980000000001</c:v>
                </c:pt>
                <c:pt idx="9">
                  <c:v>99.631799999999998</c:v>
                </c:pt>
                <c:pt idx="10">
                  <c:v>99.790800000000004</c:v>
                </c:pt>
                <c:pt idx="11">
                  <c:v>99.951399999999978</c:v>
                </c:pt>
                <c:pt idx="12">
                  <c:v>100.06599999999997</c:v>
                </c:pt>
                <c:pt idx="13">
                  <c:v>100.16779999999999</c:v>
                </c:pt>
                <c:pt idx="14">
                  <c:v>100.24659999999999</c:v>
                </c:pt>
                <c:pt idx="15">
                  <c:v>100.32519999999997</c:v>
                </c:pt>
                <c:pt idx="16">
                  <c:v>100.40059999999998</c:v>
                </c:pt>
                <c:pt idx="17">
                  <c:v>100.53559999999997</c:v>
                </c:pt>
                <c:pt idx="18">
                  <c:v>100.65679999999999</c:v>
                </c:pt>
                <c:pt idx="19">
                  <c:v>100.7774</c:v>
                </c:pt>
                <c:pt idx="20">
                  <c:v>100.88600000000001</c:v>
                </c:pt>
                <c:pt idx="21">
                  <c:v>101.01600000000002</c:v>
                </c:pt>
                <c:pt idx="22">
                  <c:v>101.16120000000001</c:v>
                </c:pt>
                <c:pt idx="23">
                  <c:v>101.29060000000001</c:v>
                </c:pt>
                <c:pt idx="24">
                  <c:v>101.42919999999999</c:v>
                </c:pt>
                <c:pt idx="25">
                  <c:v>101.55940000000001</c:v>
                </c:pt>
                <c:pt idx="26">
                  <c:v>101.59360000000001</c:v>
                </c:pt>
                <c:pt idx="27">
                  <c:v>101.62060000000001</c:v>
                </c:pt>
                <c:pt idx="28">
                  <c:v>101.66540000000001</c:v>
                </c:pt>
                <c:pt idx="29">
                  <c:v>101.67479999999999</c:v>
                </c:pt>
                <c:pt idx="30">
                  <c:v>101.69199999999999</c:v>
                </c:pt>
                <c:pt idx="31">
                  <c:v>101.71700000000003</c:v>
                </c:pt>
                <c:pt idx="32">
                  <c:v>101.66760000000001</c:v>
                </c:pt>
                <c:pt idx="33">
                  <c:v>101.59220000000001</c:v>
                </c:pt>
                <c:pt idx="34">
                  <c:v>101.53</c:v>
                </c:pt>
                <c:pt idx="35">
                  <c:v>101.4742</c:v>
                </c:pt>
                <c:pt idx="36">
                  <c:v>101.40700000000001</c:v>
                </c:pt>
                <c:pt idx="37">
                  <c:v>101.38420000000002</c:v>
                </c:pt>
                <c:pt idx="38">
                  <c:v>101.336</c:v>
                </c:pt>
                <c:pt idx="39">
                  <c:v>101.28879999999999</c:v>
                </c:pt>
                <c:pt idx="40">
                  <c:v>101.249</c:v>
                </c:pt>
                <c:pt idx="41">
                  <c:v>101.1824</c:v>
                </c:pt>
                <c:pt idx="42">
                  <c:v>101.16220000000001</c:v>
                </c:pt>
                <c:pt idx="43">
                  <c:v>101.16200000000001</c:v>
                </c:pt>
                <c:pt idx="44">
                  <c:v>101.17180000000002</c:v>
                </c:pt>
                <c:pt idx="45">
                  <c:v>101.17440000000002</c:v>
                </c:pt>
                <c:pt idx="46">
                  <c:v>101.20260000000002</c:v>
                </c:pt>
                <c:pt idx="47">
                  <c:v>101.28300000000002</c:v>
                </c:pt>
                <c:pt idx="48">
                  <c:v>101.3978</c:v>
                </c:pt>
                <c:pt idx="49">
                  <c:v>101.5266</c:v>
                </c:pt>
                <c:pt idx="50">
                  <c:v>101.63760000000001</c:v>
                </c:pt>
                <c:pt idx="51">
                  <c:v>101.73639999999999</c:v>
                </c:pt>
                <c:pt idx="52">
                  <c:v>101.82</c:v>
                </c:pt>
                <c:pt idx="53">
                  <c:v>101.87380000000002</c:v>
                </c:pt>
                <c:pt idx="54">
                  <c:v>101.94159999999999</c:v>
                </c:pt>
                <c:pt idx="55">
                  <c:v>102.00899999999997</c:v>
                </c:pt>
                <c:pt idx="56">
                  <c:v>102.07340000000001</c:v>
                </c:pt>
                <c:pt idx="57">
                  <c:v>102.14359999999999</c:v>
                </c:pt>
                <c:pt idx="58">
                  <c:v>102.1978</c:v>
                </c:pt>
                <c:pt idx="59">
                  <c:v>102.27460000000001</c:v>
                </c:pt>
                <c:pt idx="60">
                  <c:v>102.34040000000003</c:v>
                </c:pt>
                <c:pt idx="61">
                  <c:v>102.40980000000002</c:v>
                </c:pt>
                <c:pt idx="62">
                  <c:v>102.56</c:v>
                </c:pt>
                <c:pt idx="63">
                  <c:v>102.71780000000001</c:v>
                </c:pt>
                <c:pt idx="64">
                  <c:v>102.86240000000002</c:v>
                </c:pt>
                <c:pt idx="65">
                  <c:v>102.97820000000003</c:v>
                </c:pt>
                <c:pt idx="66">
                  <c:v>103.10240000000003</c:v>
                </c:pt>
                <c:pt idx="67">
                  <c:v>103.19260000000003</c:v>
                </c:pt>
                <c:pt idx="68">
                  <c:v>103.28060000000004</c:v>
                </c:pt>
                <c:pt idx="69">
                  <c:v>103.34980000000002</c:v>
                </c:pt>
                <c:pt idx="70">
                  <c:v>103.40900000000003</c:v>
                </c:pt>
                <c:pt idx="71">
                  <c:v>103.46880000000003</c:v>
                </c:pt>
                <c:pt idx="72">
                  <c:v>103.52460000000002</c:v>
                </c:pt>
                <c:pt idx="73">
                  <c:v>103.57960000000003</c:v>
                </c:pt>
                <c:pt idx="74">
                  <c:v>103.61440000000002</c:v>
                </c:pt>
                <c:pt idx="75">
                  <c:v>103.64860000000003</c:v>
                </c:pt>
                <c:pt idx="76">
                  <c:v>103.71840000000002</c:v>
                </c:pt>
                <c:pt idx="77">
                  <c:v>103.78420000000001</c:v>
                </c:pt>
                <c:pt idx="78">
                  <c:v>103.82400000000001</c:v>
                </c:pt>
                <c:pt idx="79">
                  <c:v>103.88820000000001</c:v>
                </c:pt>
                <c:pt idx="80">
                  <c:v>103.9242</c:v>
                </c:pt>
                <c:pt idx="81">
                  <c:v>103.96520000000001</c:v>
                </c:pt>
                <c:pt idx="82">
                  <c:v>103.99339999999998</c:v>
                </c:pt>
                <c:pt idx="83">
                  <c:v>104.03419999999997</c:v>
                </c:pt>
                <c:pt idx="84">
                  <c:v>104.04359999999998</c:v>
                </c:pt>
                <c:pt idx="85">
                  <c:v>104.0864</c:v>
                </c:pt>
                <c:pt idx="86">
                  <c:v>104.16699999999999</c:v>
                </c:pt>
                <c:pt idx="87">
                  <c:v>104.22239999999996</c:v>
                </c:pt>
                <c:pt idx="88">
                  <c:v>104.31879999999997</c:v>
                </c:pt>
                <c:pt idx="89">
                  <c:v>104.40419999999999</c:v>
                </c:pt>
                <c:pt idx="90">
                  <c:v>104.46259999999998</c:v>
                </c:pt>
                <c:pt idx="91">
                  <c:v>104.47759999999998</c:v>
                </c:pt>
                <c:pt idx="92">
                  <c:v>104.52959999999997</c:v>
                </c:pt>
                <c:pt idx="93">
                  <c:v>104.6084</c:v>
                </c:pt>
                <c:pt idx="94">
                  <c:v>104.66040000000001</c:v>
                </c:pt>
                <c:pt idx="95">
                  <c:v>104.68719999999999</c:v>
                </c:pt>
                <c:pt idx="96">
                  <c:v>104.5958</c:v>
                </c:pt>
                <c:pt idx="97">
                  <c:v>104.46680000000001</c:v>
                </c:pt>
                <c:pt idx="98">
                  <c:v>104.3514</c:v>
                </c:pt>
                <c:pt idx="99">
                  <c:v>104.19799999999999</c:v>
                </c:pt>
                <c:pt idx="100">
                  <c:v>104.041</c:v>
                </c:pt>
                <c:pt idx="101">
                  <c:v>103.92040000000001</c:v>
                </c:pt>
                <c:pt idx="102">
                  <c:v>103.78739999999999</c:v>
                </c:pt>
                <c:pt idx="103">
                  <c:v>103.6812</c:v>
                </c:pt>
                <c:pt idx="104">
                  <c:v>103.56700000000001</c:v>
                </c:pt>
                <c:pt idx="105">
                  <c:v>103.4516</c:v>
                </c:pt>
                <c:pt idx="106">
                  <c:v>103.29699999999998</c:v>
                </c:pt>
                <c:pt idx="107">
                  <c:v>103.17960000000001</c:v>
                </c:pt>
                <c:pt idx="108">
                  <c:v>103.04199999999999</c:v>
                </c:pt>
                <c:pt idx="109">
                  <c:v>102.8272</c:v>
                </c:pt>
                <c:pt idx="110">
                  <c:v>102.65479999999999</c:v>
                </c:pt>
                <c:pt idx="111">
                  <c:v>102.43340000000001</c:v>
                </c:pt>
                <c:pt idx="112">
                  <c:v>102.16159999999999</c:v>
                </c:pt>
                <c:pt idx="113">
                  <c:v>101.91959999999999</c:v>
                </c:pt>
                <c:pt idx="114">
                  <c:v>101.68480000000001</c:v>
                </c:pt>
                <c:pt idx="115">
                  <c:v>101.46220000000001</c:v>
                </c:pt>
                <c:pt idx="116">
                  <c:v>101.25820000000002</c:v>
                </c:pt>
                <c:pt idx="117">
                  <c:v>101.07379999999999</c:v>
                </c:pt>
                <c:pt idx="118">
                  <c:v>100.7732</c:v>
                </c:pt>
                <c:pt idx="119">
                  <c:v>100.5466</c:v>
                </c:pt>
                <c:pt idx="120">
                  <c:v>100.304</c:v>
                </c:pt>
                <c:pt idx="121">
                  <c:v>100.02959999999999</c:v>
                </c:pt>
                <c:pt idx="122">
                  <c:v>99.752599999999987</c:v>
                </c:pt>
                <c:pt idx="123">
                  <c:v>99.47799999999998</c:v>
                </c:pt>
                <c:pt idx="124">
                  <c:v>99.190799999999996</c:v>
                </c:pt>
                <c:pt idx="125">
                  <c:v>98.92740000000002</c:v>
                </c:pt>
                <c:pt idx="126">
                  <c:v>98.667400000000029</c:v>
                </c:pt>
                <c:pt idx="127">
                  <c:v>98.42940000000003</c:v>
                </c:pt>
                <c:pt idx="128">
                  <c:v>98.243800000000022</c:v>
                </c:pt>
                <c:pt idx="129">
                  <c:v>98.049200000000042</c:v>
                </c:pt>
                <c:pt idx="130">
                  <c:v>97.852000000000032</c:v>
                </c:pt>
                <c:pt idx="131">
                  <c:v>97.628400000000013</c:v>
                </c:pt>
                <c:pt idx="132">
                  <c:v>97.428000000000011</c:v>
                </c:pt>
                <c:pt idx="133">
                  <c:v>97.224400000000017</c:v>
                </c:pt>
                <c:pt idx="134">
                  <c:v>97.0852</c:v>
                </c:pt>
                <c:pt idx="135">
                  <c:v>96.919400000000024</c:v>
                </c:pt>
                <c:pt idx="136">
                  <c:v>96.75360000000002</c:v>
                </c:pt>
                <c:pt idx="137">
                  <c:v>96.567600000000027</c:v>
                </c:pt>
                <c:pt idx="138">
                  <c:v>96.284200000000013</c:v>
                </c:pt>
                <c:pt idx="139">
                  <c:v>96.007199999999997</c:v>
                </c:pt>
                <c:pt idx="140">
                  <c:v>95.751400000000018</c:v>
                </c:pt>
                <c:pt idx="141">
                  <c:v>95.491400000000027</c:v>
                </c:pt>
                <c:pt idx="142">
                  <c:v>95.193400000000025</c:v>
                </c:pt>
                <c:pt idx="143">
                  <c:v>94.857600000000019</c:v>
                </c:pt>
                <c:pt idx="144">
                  <c:v>94.505200000000016</c:v>
                </c:pt>
                <c:pt idx="145">
                  <c:v>94.134600000000049</c:v>
                </c:pt>
                <c:pt idx="146">
                  <c:v>93.887400000000014</c:v>
                </c:pt>
                <c:pt idx="147">
                  <c:v>93.644799999999989</c:v>
                </c:pt>
                <c:pt idx="148">
                  <c:v>93.314000000000021</c:v>
                </c:pt>
                <c:pt idx="149">
                  <c:v>93.003600000000006</c:v>
                </c:pt>
                <c:pt idx="150">
                  <c:v>92.711600000000004</c:v>
                </c:pt>
                <c:pt idx="151">
                  <c:v>92.4208</c:v>
                </c:pt>
                <c:pt idx="152">
                  <c:v>92.123800000000017</c:v>
                </c:pt>
                <c:pt idx="153">
                  <c:v>91.827000000000012</c:v>
                </c:pt>
                <c:pt idx="154">
                  <c:v>91.490200000000016</c:v>
                </c:pt>
                <c:pt idx="155">
                  <c:v>91.195000000000036</c:v>
                </c:pt>
                <c:pt idx="156">
                  <c:v>90.90960000000004</c:v>
                </c:pt>
                <c:pt idx="157">
                  <c:v>90.588800000000049</c:v>
                </c:pt>
                <c:pt idx="158">
                  <c:v>90.287200000000041</c:v>
                </c:pt>
                <c:pt idx="159">
                  <c:v>90.045200000000023</c:v>
                </c:pt>
                <c:pt idx="160">
                  <c:v>89.738400000000013</c:v>
                </c:pt>
                <c:pt idx="161">
                  <c:v>89.469600000000014</c:v>
                </c:pt>
                <c:pt idx="162">
                  <c:v>89.172800000000024</c:v>
                </c:pt>
                <c:pt idx="163">
                  <c:v>88.808000000000035</c:v>
                </c:pt>
                <c:pt idx="164">
                  <c:v>88.466600000000014</c:v>
                </c:pt>
                <c:pt idx="165">
                  <c:v>88.107600000000005</c:v>
                </c:pt>
                <c:pt idx="166">
                  <c:v>87.752999999999986</c:v>
                </c:pt>
                <c:pt idx="167">
                  <c:v>87.344400000000007</c:v>
                </c:pt>
                <c:pt idx="168">
                  <c:v>87.043000000000035</c:v>
                </c:pt>
                <c:pt idx="169">
                  <c:v>86.676200000000023</c:v>
                </c:pt>
                <c:pt idx="170">
                  <c:v>86.268600000000006</c:v>
                </c:pt>
                <c:pt idx="171">
                  <c:v>85.920400000000015</c:v>
                </c:pt>
                <c:pt idx="172">
                  <c:v>85.580400000000012</c:v>
                </c:pt>
                <c:pt idx="173">
                  <c:v>85.216800000000021</c:v>
                </c:pt>
                <c:pt idx="174">
                  <c:v>84.87360000000001</c:v>
                </c:pt>
                <c:pt idx="175">
                  <c:v>84.528400000000005</c:v>
                </c:pt>
                <c:pt idx="176">
                  <c:v>84.215200000000024</c:v>
                </c:pt>
                <c:pt idx="177">
                  <c:v>83.872800000000012</c:v>
                </c:pt>
                <c:pt idx="178">
                  <c:v>83.455400000000012</c:v>
                </c:pt>
                <c:pt idx="179">
                  <c:v>83.0428</c:v>
                </c:pt>
                <c:pt idx="180">
                  <c:v>82.500199999999992</c:v>
                </c:pt>
                <c:pt idx="181">
                  <c:v>82.031199999999984</c:v>
                </c:pt>
                <c:pt idx="182">
                  <c:v>81.541799999999995</c:v>
                </c:pt>
                <c:pt idx="183">
                  <c:v>81.056799999999996</c:v>
                </c:pt>
                <c:pt idx="184">
                  <c:v>80.51939999999999</c:v>
                </c:pt>
                <c:pt idx="185">
                  <c:v>79.965399999999988</c:v>
                </c:pt>
                <c:pt idx="186">
                  <c:v>79.316999999999979</c:v>
                </c:pt>
                <c:pt idx="187">
                  <c:v>78.701199999999986</c:v>
                </c:pt>
                <c:pt idx="188">
                  <c:v>78.097599999999971</c:v>
                </c:pt>
                <c:pt idx="189">
                  <c:v>77.48299999999999</c:v>
                </c:pt>
                <c:pt idx="190">
                  <c:v>76.818799999999982</c:v>
                </c:pt>
                <c:pt idx="191">
                  <c:v>76.142799999999994</c:v>
                </c:pt>
                <c:pt idx="192">
                  <c:v>75.45559999999999</c:v>
                </c:pt>
                <c:pt idx="193">
                  <c:v>74.806399999999982</c:v>
                </c:pt>
                <c:pt idx="194">
                  <c:v>74.144199999999984</c:v>
                </c:pt>
                <c:pt idx="195">
                  <c:v>73.567199999999971</c:v>
                </c:pt>
                <c:pt idx="196">
                  <c:v>72.954799999999992</c:v>
                </c:pt>
                <c:pt idx="197">
                  <c:v>72.375799999999998</c:v>
                </c:pt>
                <c:pt idx="198">
                  <c:v>71.855399999999975</c:v>
                </c:pt>
                <c:pt idx="199">
                  <c:v>71.310799999999986</c:v>
                </c:pt>
                <c:pt idx="200">
                  <c:v>70.733399999999989</c:v>
                </c:pt>
                <c:pt idx="201">
                  <c:v>70.160199999999989</c:v>
                </c:pt>
                <c:pt idx="202">
                  <c:v>69.573999999999984</c:v>
                </c:pt>
                <c:pt idx="203">
                  <c:v>68.97799999999998</c:v>
                </c:pt>
                <c:pt idx="204">
                  <c:v>68.421999999999983</c:v>
                </c:pt>
                <c:pt idx="205">
                  <c:v>67.766799999999989</c:v>
                </c:pt>
                <c:pt idx="206">
                  <c:v>67.100999999999985</c:v>
                </c:pt>
                <c:pt idx="207">
                  <c:v>66.449599999999975</c:v>
                </c:pt>
                <c:pt idx="208">
                  <c:v>65.798399999999987</c:v>
                </c:pt>
                <c:pt idx="209">
                  <c:v>65.120399999999989</c:v>
                </c:pt>
                <c:pt idx="210">
                  <c:v>64.420399999999987</c:v>
                </c:pt>
                <c:pt idx="211">
                  <c:v>63.728199999999987</c:v>
                </c:pt>
                <c:pt idx="212">
                  <c:v>63.122599999999984</c:v>
                </c:pt>
                <c:pt idx="213">
                  <c:v>62.506999999999977</c:v>
                </c:pt>
                <c:pt idx="214">
                  <c:v>61.902599999999985</c:v>
                </c:pt>
                <c:pt idx="215">
                  <c:v>61.280999999999985</c:v>
                </c:pt>
                <c:pt idx="216">
                  <c:v>60.663799999999995</c:v>
                </c:pt>
                <c:pt idx="217">
                  <c:v>60.033799999999985</c:v>
                </c:pt>
                <c:pt idx="218">
                  <c:v>59.381999999999991</c:v>
                </c:pt>
                <c:pt idx="219">
                  <c:v>58.734799999999993</c:v>
                </c:pt>
                <c:pt idx="220">
                  <c:v>58.169000000000004</c:v>
                </c:pt>
                <c:pt idx="221">
                  <c:v>57.53240000000001</c:v>
                </c:pt>
                <c:pt idx="222">
                  <c:v>56.902000000000008</c:v>
                </c:pt>
                <c:pt idx="223">
                  <c:v>56.366799999999991</c:v>
                </c:pt>
                <c:pt idx="224">
                  <c:v>55.860799999999998</c:v>
                </c:pt>
                <c:pt idx="225">
                  <c:v>55.408999999999999</c:v>
                </c:pt>
                <c:pt idx="226">
                  <c:v>54.847599999999993</c:v>
                </c:pt>
                <c:pt idx="227">
                  <c:v>54.342399999999998</c:v>
                </c:pt>
                <c:pt idx="228">
                  <c:v>53.894799999999996</c:v>
                </c:pt>
                <c:pt idx="229">
                  <c:v>53.480599999999995</c:v>
                </c:pt>
                <c:pt idx="230">
                  <c:v>53.16299999999999</c:v>
                </c:pt>
                <c:pt idx="231">
                  <c:v>52.759399999999985</c:v>
                </c:pt>
                <c:pt idx="232">
                  <c:v>52.442999999999984</c:v>
                </c:pt>
                <c:pt idx="233">
                  <c:v>52.150199999999984</c:v>
                </c:pt>
                <c:pt idx="234">
                  <c:v>51.886799999999972</c:v>
                </c:pt>
                <c:pt idx="235">
                  <c:v>51.611599999999981</c:v>
                </c:pt>
                <c:pt idx="236">
                  <c:v>51.371399999999987</c:v>
                </c:pt>
                <c:pt idx="237">
                  <c:v>51.095599999999983</c:v>
                </c:pt>
                <c:pt idx="238">
                  <c:v>50.86699999999999</c:v>
                </c:pt>
                <c:pt idx="239">
                  <c:v>50.636399999999988</c:v>
                </c:pt>
                <c:pt idx="240">
                  <c:v>50.485199999999985</c:v>
                </c:pt>
                <c:pt idx="241">
                  <c:v>50.318999999999988</c:v>
                </c:pt>
                <c:pt idx="242">
                  <c:v>50.196399999999983</c:v>
                </c:pt>
                <c:pt idx="243">
                  <c:v>50.059600000000003</c:v>
                </c:pt>
                <c:pt idx="244">
                  <c:v>49.984599999999993</c:v>
                </c:pt>
                <c:pt idx="245">
                  <c:v>49.876999999999995</c:v>
                </c:pt>
                <c:pt idx="246">
                  <c:v>49.787200000000013</c:v>
                </c:pt>
                <c:pt idx="247">
                  <c:v>49.643800000000013</c:v>
                </c:pt>
                <c:pt idx="248">
                  <c:v>49.528800000000011</c:v>
                </c:pt>
                <c:pt idx="249">
                  <c:v>49.405400000000007</c:v>
                </c:pt>
                <c:pt idx="250">
                  <c:v>49.29740000000001</c:v>
                </c:pt>
                <c:pt idx="251">
                  <c:v>49.157000000000011</c:v>
                </c:pt>
                <c:pt idx="252">
                  <c:v>48.985600000000005</c:v>
                </c:pt>
                <c:pt idx="253">
                  <c:v>48.795200000000001</c:v>
                </c:pt>
                <c:pt idx="254">
                  <c:v>48.608599999999996</c:v>
                </c:pt>
                <c:pt idx="255">
                  <c:v>48.500199999999992</c:v>
                </c:pt>
                <c:pt idx="256">
                  <c:v>48.420999999999992</c:v>
                </c:pt>
                <c:pt idx="257">
                  <c:v>48.367199999999997</c:v>
                </c:pt>
                <c:pt idx="258">
                  <c:v>48.339199999999998</c:v>
                </c:pt>
                <c:pt idx="259">
                  <c:v>48.31280000000001</c:v>
                </c:pt>
                <c:pt idx="260">
                  <c:v>48.366599999999998</c:v>
                </c:pt>
                <c:pt idx="261">
                  <c:v>48.476399999999991</c:v>
                </c:pt>
                <c:pt idx="262">
                  <c:v>48.483199999999997</c:v>
                </c:pt>
                <c:pt idx="263">
                  <c:v>48.529000000000003</c:v>
                </c:pt>
                <c:pt idx="264">
                  <c:v>48.513599999999997</c:v>
                </c:pt>
                <c:pt idx="265">
                  <c:v>48.580199999999998</c:v>
                </c:pt>
                <c:pt idx="266">
                  <c:v>48.605799999999988</c:v>
                </c:pt>
                <c:pt idx="267">
                  <c:v>48.669799999999995</c:v>
                </c:pt>
                <c:pt idx="268">
                  <c:v>48.80619999999999</c:v>
                </c:pt>
                <c:pt idx="269">
                  <c:v>48.98919999999999</c:v>
                </c:pt>
                <c:pt idx="270">
                  <c:v>49.081199999999995</c:v>
                </c:pt>
                <c:pt idx="271">
                  <c:v>49.215400000000002</c:v>
                </c:pt>
                <c:pt idx="272">
                  <c:v>49.365600000000001</c:v>
                </c:pt>
                <c:pt idx="273">
                  <c:v>49.448800000000013</c:v>
                </c:pt>
                <c:pt idx="274">
                  <c:v>49.529800000000002</c:v>
                </c:pt>
                <c:pt idx="275">
                  <c:v>49.594000000000008</c:v>
                </c:pt>
                <c:pt idx="276">
                  <c:v>49.758800000000008</c:v>
                </c:pt>
                <c:pt idx="277">
                  <c:v>49.863400000000013</c:v>
                </c:pt>
                <c:pt idx="278">
                  <c:v>49.957600000000014</c:v>
                </c:pt>
                <c:pt idx="279">
                  <c:v>50.009400000000014</c:v>
                </c:pt>
                <c:pt idx="280">
                  <c:v>50.131600000000006</c:v>
                </c:pt>
                <c:pt idx="281">
                  <c:v>50.287400000000019</c:v>
                </c:pt>
                <c:pt idx="282">
                  <c:v>50.383600000000015</c:v>
                </c:pt>
                <c:pt idx="283">
                  <c:v>50.441600000000008</c:v>
                </c:pt>
                <c:pt idx="284">
                  <c:v>50.511400000000009</c:v>
                </c:pt>
                <c:pt idx="285">
                  <c:v>50.639800000000015</c:v>
                </c:pt>
                <c:pt idx="286">
                  <c:v>50.809800000000017</c:v>
                </c:pt>
                <c:pt idx="287">
                  <c:v>50.992800000000017</c:v>
                </c:pt>
                <c:pt idx="288">
                  <c:v>51.180000000000007</c:v>
                </c:pt>
                <c:pt idx="289">
                  <c:v>51.418000000000013</c:v>
                </c:pt>
                <c:pt idx="290">
                  <c:v>51.631600000000006</c:v>
                </c:pt>
                <c:pt idx="291">
                  <c:v>51.858400000000003</c:v>
                </c:pt>
                <c:pt idx="292">
                  <c:v>52.049799999999998</c:v>
                </c:pt>
                <c:pt idx="293">
                  <c:v>52.242599999999996</c:v>
                </c:pt>
                <c:pt idx="294">
                  <c:v>52.448399999999985</c:v>
                </c:pt>
                <c:pt idx="295">
                  <c:v>52.627799999999986</c:v>
                </c:pt>
                <c:pt idx="296">
                  <c:v>52.81039999999998</c:v>
                </c:pt>
                <c:pt idx="297">
                  <c:v>53.012799999999977</c:v>
                </c:pt>
                <c:pt idx="298">
                  <c:v>53.202599999999983</c:v>
                </c:pt>
                <c:pt idx="299">
                  <c:v>53.380199999999988</c:v>
                </c:pt>
                <c:pt idx="300">
                  <c:v>53.598199999999991</c:v>
                </c:pt>
                <c:pt idx="301">
                  <c:v>53.859399999999987</c:v>
                </c:pt>
                <c:pt idx="302">
                  <c:v>54.139399999999995</c:v>
                </c:pt>
                <c:pt idx="303">
                  <c:v>54.438400000000001</c:v>
                </c:pt>
                <c:pt idx="304">
                  <c:v>54.7164</c:v>
                </c:pt>
                <c:pt idx="305">
                  <c:v>54.974000000000004</c:v>
                </c:pt>
                <c:pt idx="306">
                  <c:v>55.247400000000006</c:v>
                </c:pt>
                <c:pt idx="307">
                  <c:v>55.53240000000001</c:v>
                </c:pt>
                <c:pt idx="308">
                  <c:v>55.789200000000001</c:v>
                </c:pt>
                <c:pt idx="309">
                  <c:v>56.074600000000011</c:v>
                </c:pt>
                <c:pt idx="310">
                  <c:v>56.293000000000013</c:v>
                </c:pt>
                <c:pt idx="311">
                  <c:v>56.424800000000012</c:v>
                </c:pt>
                <c:pt idx="312">
                  <c:v>56.630400000000016</c:v>
                </c:pt>
                <c:pt idx="313">
                  <c:v>56.820200000000014</c:v>
                </c:pt>
                <c:pt idx="314">
                  <c:v>57.068800000000017</c:v>
                </c:pt>
                <c:pt idx="315">
                  <c:v>57.293600000000026</c:v>
                </c:pt>
                <c:pt idx="316">
                  <c:v>57.525800000000018</c:v>
                </c:pt>
                <c:pt idx="317">
                  <c:v>57.742400000000018</c:v>
                </c:pt>
                <c:pt idx="318">
                  <c:v>57.891400000000033</c:v>
                </c:pt>
                <c:pt idx="319">
                  <c:v>58.012600000000027</c:v>
                </c:pt>
                <c:pt idx="320">
                  <c:v>58.201600000000013</c:v>
                </c:pt>
                <c:pt idx="321">
                  <c:v>58.394000000000013</c:v>
                </c:pt>
                <c:pt idx="322">
                  <c:v>58.553800000000017</c:v>
                </c:pt>
                <c:pt idx="323">
                  <c:v>58.715000000000018</c:v>
                </c:pt>
                <c:pt idx="324">
                  <c:v>58.870000000000019</c:v>
                </c:pt>
                <c:pt idx="325">
                  <c:v>58.945200000000021</c:v>
                </c:pt>
                <c:pt idx="326">
                  <c:v>59.003200000000035</c:v>
                </c:pt>
                <c:pt idx="327">
                  <c:v>59.077200000000033</c:v>
                </c:pt>
                <c:pt idx="328">
                  <c:v>59.116600000000027</c:v>
                </c:pt>
                <c:pt idx="329">
                  <c:v>59.194600000000015</c:v>
                </c:pt>
                <c:pt idx="330">
                  <c:v>59.210000000000029</c:v>
                </c:pt>
                <c:pt idx="331">
                  <c:v>59.216800000000021</c:v>
                </c:pt>
                <c:pt idx="332">
                  <c:v>59.235800000000019</c:v>
                </c:pt>
                <c:pt idx="333">
                  <c:v>59.17420000000002</c:v>
                </c:pt>
                <c:pt idx="334">
                  <c:v>59.079800000000006</c:v>
                </c:pt>
                <c:pt idx="335">
                  <c:v>58.94100000000001</c:v>
                </c:pt>
                <c:pt idx="336">
                  <c:v>58.803800000000017</c:v>
                </c:pt>
                <c:pt idx="337">
                  <c:v>58.676600000000015</c:v>
                </c:pt>
                <c:pt idx="338">
                  <c:v>58.542000000000009</c:v>
                </c:pt>
                <c:pt idx="339">
                  <c:v>58.395400000000009</c:v>
                </c:pt>
                <c:pt idx="340">
                  <c:v>58.204800000000006</c:v>
                </c:pt>
                <c:pt idx="341">
                  <c:v>58.042999999999999</c:v>
                </c:pt>
                <c:pt idx="342">
                  <c:v>57.872400000000006</c:v>
                </c:pt>
                <c:pt idx="343">
                  <c:v>57.690000000000012</c:v>
                </c:pt>
                <c:pt idx="344">
                  <c:v>57.487400000000008</c:v>
                </c:pt>
                <c:pt idx="345">
                  <c:v>57.262800000000006</c:v>
                </c:pt>
                <c:pt idx="346">
                  <c:v>57.027200000000015</c:v>
                </c:pt>
                <c:pt idx="347">
                  <c:v>56.792200000000022</c:v>
                </c:pt>
                <c:pt idx="348">
                  <c:v>56.546800000000019</c:v>
                </c:pt>
                <c:pt idx="349">
                  <c:v>56.36020000000002</c:v>
                </c:pt>
                <c:pt idx="350">
                  <c:v>56.156400000000019</c:v>
                </c:pt>
                <c:pt idx="351">
                  <c:v>55.923400000000022</c:v>
                </c:pt>
                <c:pt idx="352">
                  <c:v>55.688000000000017</c:v>
                </c:pt>
                <c:pt idx="353">
                  <c:v>55.41540000000002</c:v>
                </c:pt>
                <c:pt idx="354">
                  <c:v>55.18460000000001</c:v>
                </c:pt>
                <c:pt idx="355">
                  <c:v>54.937000000000019</c:v>
                </c:pt>
                <c:pt idx="356">
                  <c:v>54.677000000000014</c:v>
                </c:pt>
                <c:pt idx="357">
                  <c:v>54.349400000000017</c:v>
                </c:pt>
                <c:pt idx="358">
                  <c:v>54.043400000000013</c:v>
                </c:pt>
                <c:pt idx="359">
                  <c:v>53.679600000000008</c:v>
                </c:pt>
                <c:pt idx="360">
                  <c:v>53.350600000000007</c:v>
                </c:pt>
                <c:pt idx="361">
                  <c:v>53.036000000000001</c:v>
                </c:pt>
                <c:pt idx="362">
                  <c:v>52.702799999999996</c:v>
                </c:pt>
                <c:pt idx="363">
                  <c:v>52.378399999999999</c:v>
                </c:pt>
                <c:pt idx="364">
                  <c:v>52.026999999999987</c:v>
                </c:pt>
                <c:pt idx="365">
                  <c:v>51.614799999999988</c:v>
                </c:pt>
                <c:pt idx="366">
                  <c:v>51.219999999999985</c:v>
                </c:pt>
                <c:pt idx="367">
                  <c:v>50.829799999999985</c:v>
                </c:pt>
                <c:pt idx="368">
                  <c:v>50.40359999999999</c:v>
                </c:pt>
                <c:pt idx="369">
                  <c:v>49.986399999999982</c:v>
                </c:pt>
                <c:pt idx="370">
                  <c:v>49.558599999999977</c:v>
                </c:pt>
                <c:pt idx="371">
                  <c:v>49.199799999999989</c:v>
                </c:pt>
                <c:pt idx="372">
                  <c:v>48.913199999999982</c:v>
                </c:pt>
                <c:pt idx="373">
                  <c:v>48.696999999999981</c:v>
                </c:pt>
                <c:pt idx="374">
                  <c:v>48.38359999999998</c:v>
                </c:pt>
                <c:pt idx="375">
                  <c:v>48.109399999999987</c:v>
                </c:pt>
                <c:pt idx="376">
                  <c:v>47.852600000000002</c:v>
                </c:pt>
                <c:pt idx="377">
                  <c:v>47.584799999999994</c:v>
                </c:pt>
                <c:pt idx="378">
                  <c:v>47.3384</c:v>
                </c:pt>
                <c:pt idx="379">
                  <c:v>47.0672</c:v>
                </c:pt>
                <c:pt idx="380">
                  <c:v>46.811000000000014</c:v>
                </c:pt>
                <c:pt idx="381">
                  <c:v>46.589400000000005</c:v>
                </c:pt>
                <c:pt idx="382">
                  <c:v>46.345800000000011</c:v>
                </c:pt>
                <c:pt idx="383">
                  <c:v>46.177600000000012</c:v>
                </c:pt>
                <c:pt idx="384">
                  <c:v>46.022600000000004</c:v>
                </c:pt>
                <c:pt idx="385">
                  <c:v>45.9328</c:v>
                </c:pt>
                <c:pt idx="386">
                  <c:v>45.816200000000002</c:v>
                </c:pt>
                <c:pt idx="387">
                  <c:v>45.655599999999993</c:v>
                </c:pt>
                <c:pt idx="388">
                  <c:v>45.545199999999994</c:v>
                </c:pt>
                <c:pt idx="389">
                  <c:v>45.407600000000009</c:v>
                </c:pt>
                <c:pt idx="390">
                  <c:v>45.270200000000003</c:v>
                </c:pt>
                <c:pt idx="391">
                  <c:v>45.151000000000003</c:v>
                </c:pt>
                <c:pt idx="392">
                  <c:v>45.044400000000003</c:v>
                </c:pt>
                <c:pt idx="393">
                  <c:v>44.930200000000013</c:v>
                </c:pt>
                <c:pt idx="394">
                  <c:v>44.823200000000007</c:v>
                </c:pt>
                <c:pt idx="395">
                  <c:v>44.739000000000004</c:v>
                </c:pt>
                <c:pt idx="396">
                  <c:v>44.671800000000005</c:v>
                </c:pt>
                <c:pt idx="397">
                  <c:v>44.62299999999999</c:v>
                </c:pt>
                <c:pt idx="398">
                  <c:v>44.605200000000004</c:v>
                </c:pt>
                <c:pt idx="399">
                  <c:v>44.616400000000013</c:v>
                </c:pt>
                <c:pt idx="400">
                  <c:v>44.598200000000013</c:v>
                </c:pt>
                <c:pt idx="401">
                  <c:v>44.616800000000012</c:v>
                </c:pt>
                <c:pt idx="402">
                  <c:v>44.668000000000013</c:v>
                </c:pt>
                <c:pt idx="403">
                  <c:v>44.704800000000006</c:v>
                </c:pt>
                <c:pt idx="404">
                  <c:v>44.723800000000004</c:v>
                </c:pt>
                <c:pt idx="405">
                  <c:v>44.753799999999998</c:v>
                </c:pt>
                <c:pt idx="406">
                  <c:v>44.787599999999991</c:v>
                </c:pt>
                <c:pt idx="407">
                  <c:v>44.856200000000001</c:v>
                </c:pt>
                <c:pt idx="408">
                  <c:v>44.875600000000006</c:v>
                </c:pt>
                <c:pt idx="409">
                  <c:v>44.930200000000006</c:v>
                </c:pt>
                <c:pt idx="410">
                  <c:v>44.970200000000006</c:v>
                </c:pt>
                <c:pt idx="411">
                  <c:v>45.022800000000004</c:v>
                </c:pt>
                <c:pt idx="412">
                  <c:v>45.052</c:v>
                </c:pt>
                <c:pt idx="413">
                  <c:v>45.077200000000005</c:v>
                </c:pt>
                <c:pt idx="414">
                  <c:v>45.089800000000004</c:v>
                </c:pt>
                <c:pt idx="415">
                  <c:v>45.193400000000004</c:v>
                </c:pt>
                <c:pt idx="416">
                  <c:v>45.293800000000005</c:v>
                </c:pt>
                <c:pt idx="417">
                  <c:v>45.416800000000002</c:v>
                </c:pt>
                <c:pt idx="418">
                  <c:v>45.574799999999996</c:v>
                </c:pt>
                <c:pt idx="419">
                  <c:v>45.749399999999994</c:v>
                </c:pt>
                <c:pt idx="420">
                  <c:v>45.905800000000006</c:v>
                </c:pt>
                <c:pt idx="421">
                  <c:v>45.961800000000004</c:v>
                </c:pt>
                <c:pt idx="422">
                  <c:v>45.942400000000013</c:v>
                </c:pt>
                <c:pt idx="423">
                  <c:v>45.835800000000006</c:v>
                </c:pt>
                <c:pt idx="424">
                  <c:v>45.81280000000001</c:v>
                </c:pt>
                <c:pt idx="425">
                  <c:v>45.745800000000003</c:v>
                </c:pt>
                <c:pt idx="426">
                  <c:v>45.645599999999995</c:v>
                </c:pt>
                <c:pt idx="427">
                  <c:v>45.538999999999994</c:v>
                </c:pt>
                <c:pt idx="428">
                  <c:v>45.452199999999991</c:v>
                </c:pt>
                <c:pt idx="429">
                  <c:v>45.348399999999991</c:v>
                </c:pt>
                <c:pt idx="430">
                  <c:v>45.280799999999992</c:v>
                </c:pt>
                <c:pt idx="431">
                  <c:v>45.174800000000005</c:v>
                </c:pt>
                <c:pt idx="432">
                  <c:v>45.067599999999999</c:v>
                </c:pt>
                <c:pt idx="433">
                  <c:v>44.971600000000009</c:v>
                </c:pt>
                <c:pt idx="434">
                  <c:v>44.897799999999997</c:v>
                </c:pt>
                <c:pt idx="435">
                  <c:v>44.779799999999994</c:v>
                </c:pt>
                <c:pt idx="436">
                  <c:v>44.665599999999998</c:v>
                </c:pt>
                <c:pt idx="437">
                  <c:v>44.582799999999999</c:v>
                </c:pt>
                <c:pt idx="438">
                  <c:v>44.457999999999991</c:v>
                </c:pt>
                <c:pt idx="439">
                  <c:v>44.346199999999996</c:v>
                </c:pt>
                <c:pt idx="440">
                  <c:v>44.25419999999999</c:v>
                </c:pt>
                <c:pt idx="441">
                  <c:v>44.177</c:v>
                </c:pt>
                <c:pt idx="442">
                  <c:v>44.065999999999995</c:v>
                </c:pt>
                <c:pt idx="443">
                  <c:v>43.930799999999998</c:v>
                </c:pt>
                <c:pt idx="444">
                  <c:v>43.775200000000005</c:v>
                </c:pt>
                <c:pt idx="445">
                  <c:v>43.617199999999997</c:v>
                </c:pt>
                <c:pt idx="446">
                  <c:v>43.4574</c:v>
                </c:pt>
                <c:pt idx="447">
                  <c:v>43.259599999999999</c:v>
                </c:pt>
                <c:pt idx="448">
                  <c:v>43.060200000000016</c:v>
                </c:pt>
                <c:pt idx="449">
                  <c:v>42.836000000000013</c:v>
                </c:pt>
                <c:pt idx="450">
                  <c:v>42.589800000000025</c:v>
                </c:pt>
                <c:pt idx="451">
                  <c:v>42.300200000000011</c:v>
                </c:pt>
                <c:pt idx="452">
                  <c:v>42.001199999999997</c:v>
                </c:pt>
                <c:pt idx="453">
                  <c:v>41.750400000000006</c:v>
                </c:pt>
                <c:pt idx="454">
                  <c:v>41.538800000000009</c:v>
                </c:pt>
                <c:pt idx="455">
                  <c:v>41.341400000000014</c:v>
                </c:pt>
                <c:pt idx="456">
                  <c:v>41.166199999999996</c:v>
                </c:pt>
                <c:pt idx="457">
                  <c:v>40.972200000000001</c:v>
                </c:pt>
                <c:pt idx="458">
                  <c:v>40.781199999999991</c:v>
                </c:pt>
                <c:pt idx="459">
                  <c:v>40.622</c:v>
                </c:pt>
                <c:pt idx="460">
                  <c:v>40.449399999999997</c:v>
                </c:pt>
                <c:pt idx="461">
                  <c:v>40.29399999999999</c:v>
                </c:pt>
                <c:pt idx="462">
                  <c:v>40.158399999999993</c:v>
                </c:pt>
                <c:pt idx="463">
                  <c:v>40.030799999999999</c:v>
                </c:pt>
                <c:pt idx="464">
                  <c:v>39.885999999999996</c:v>
                </c:pt>
                <c:pt idx="465">
                  <c:v>39.646799999999999</c:v>
                </c:pt>
                <c:pt idx="466">
                  <c:v>39.392199999999995</c:v>
                </c:pt>
                <c:pt idx="467">
                  <c:v>39.124199999999995</c:v>
                </c:pt>
                <c:pt idx="468">
                  <c:v>38.830199999999998</c:v>
                </c:pt>
                <c:pt idx="469">
                  <c:v>38.481000000000002</c:v>
                </c:pt>
                <c:pt idx="470">
                  <c:v>38.163000000000004</c:v>
                </c:pt>
                <c:pt idx="471">
                  <c:v>37.882000000000005</c:v>
                </c:pt>
                <c:pt idx="472">
                  <c:v>37.584600000000002</c:v>
                </c:pt>
                <c:pt idx="473">
                  <c:v>37.276600000000002</c:v>
                </c:pt>
                <c:pt idx="474">
                  <c:v>36.925600000000003</c:v>
                </c:pt>
                <c:pt idx="475">
                  <c:v>36.657600000000002</c:v>
                </c:pt>
                <c:pt idx="476">
                  <c:v>36.464200000000005</c:v>
                </c:pt>
                <c:pt idx="477">
                  <c:v>36.256600000000006</c:v>
                </c:pt>
                <c:pt idx="478">
                  <c:v>36.013800000000003</c:v>
                </c:pt>
                <c:pt idx="479">
                  <c:v>35.845599999999997</c:v>
                </c:pt>
                <c:pt idx="480">
                  <c:v>35.694800000000008</c:v>
                </c:pt>
                <c:pt idx="481">
                  <c:v>35.557000000000009</c:v>
                </c:pt>
                <c:pt idx="482">
                  <c:v>35.401600000000002</c:v>
                </c:pt>
                <c:pt idx="483">
                  <c:v>35.214200000000005</c:v>
                </c:pt>
                <c:pt idx="484">
                  <c:v>35.042200000000008</c:v>
                </c:pt>
                <c:pt idx="485">
                  <c:v>34.850400000000008</c:v>
                </c:pt>
                <c:pt idx="486">
                  <c:v>34.6432</c:v>
                </c:pt>
                <c:pt idx="487">
                  <c:v>34.426000000000002</c:v>
                </c:pt>
                <c:pt idx="488">
                  <c:v>34.176600000000008</c:v>
                </c:pt>
                <c:pt idx="489">
                  <c:v>33.915800000000004</c:v>
                </c:pt>
                <c:pt idx="490">
                  <c:v>33.641000000000005</c:v>
                </c:pt>
                <c:pt idx="491">
                  <c:v>33.405800000000006</c:v>
                </c:pt>
                <c:pt idx="492">
                  <c:v>33.186799999999998</c:v>
                </c:pt>
                <c:pt idx="493">
                  <c:v>33.047599999999996</c:v>
                </c:pt>
                <c:pt idx="494">
                  <c:v>32.913799999999995</c:v>
                </c:pt>
                <c:pt idx="495">
                  <c:v>32.762399999999992</c:v>
                </c:pt>
                <c:pt idx="496">
                  <c:v>32.654599999999988</c:v>
                </c:pt>
                <c:pt idx="497">
                  <c:v>32.578399999999995</c:v>
                </c:pt>
                <c:pt idx="498">
                  <c:v>32.459199999999996</c:v>
                </c:pt>
                <c:pt idx="499">
                  <c:v>32.340799999999994</c:v>
                </c:pt>
                <c:pt idx="500">
                  <c:v>32.262799999999991</c:v>
                </c:pt>
                <c:pt idx="501">
                  <c:v>32.217999999999989</c:v>
                </c:pt>
                <c:pt idx="502">
                  <c:v>32.211399999999998</c:v>
                </c:pt>
                <c:pt idx="503">
                  <c:v>32.211799999999997</c:v>
                </c:pt>
                <c:pt idx="504">
                  <c:v>32.180599999999998</c:v>
                </c:pt>
                <c:pt idx="505">
                  <c:v>32.163599999999995</c:v>
                </c:pt>
                <c:pt idx="506">
                  <c:v>32.169200000000004</c:v>
                </c:pt>
                <c:pt idx="507">
                  <c:v>32.150599999999997</c:v>
                </c:pt>
                <c:pt idx="508">
                  <c:v>32.175800000000002</c:v>
                </c:pt>
                <c:pt idx="509">
                  <c:v>32.1736</c:v>
                </c:pt>
                <c:pt idx="510">
                  <c:v>32.211999999999996</c:v>
                </c:pt>
                <c:pt idx="511">
                  <c:v>32.2134</c:v>
                </c:pt>
                <c:pt idx="512">
                  <c:v>32.197200000000002</c:v>
                </c:pt>
                <c:pt idx="513">
                  <c:v>32.229600000000005</c:v>
                </c:pt>
                <c:pt idx="514">
                  <c:v>32.313600000000008</c:v>
                </c:pt>
                <c:pt idx="515">
                  <c:v>32.423600000000008</c:v>
                </c:pt>
                <c:pt idx="516">
                  <c:v>32.556000000000012</c:v>
                </c:pt>
                <c:pt idx="517">
                  <c:v>32.721000000000011</c:v>
                </c:pt>
                <c:pt idx="518">
                  <c:v>32.858200000000011</c:v>
                </c:pt>
                <c:pt idx="519">
                  <c:v>33.012600000000006</c:v>
                </c:pt>
                <c:pt idx="520">
                  <c:v>33.164000000000009</c:v>
                </c:pt>
                <c:pt idx="521">
                  <c:v>33.277800000000013</c:v>
                </c:pt>
                <c:pt idx="522">
                  <c:v>33.427000000000007</c:v>
                </c:pt>
                <c:pt idx="523">
                  <c:v>33.59640000000001</c:v>
                </c:pt>
                <c:pt idx="524">
                  <c:v>33.77000000000001</c:v>
                </c:pt>
                <c:pt idx="525">
                  <c:v>33.865000000000002</c:v>
                </c:pt>
                <c:pt idx="526">
                  <c:v>33.914000000000009</c:v>
                </c:pt>
                <c:pt idx="527">
                  <c:v>34.062600000000003</c:v>
                </c:pt>
                <c:pt idx="528">
                  <c:v>34.217800000000004</c:v>
                </c:pt>
                <c:pt idx="529">
                  <c:v>34.366200000000006</c:v>
                </c:pt>
                <c:pt idx="530">
                  <c:v>34.511200000000009</c:v>
                </c:pt>
                <c:pt idx="531">
                  <c:v>34.680400000000006</c:v>
                </c:pt>
                <c:pt idx="532">
                  <c:v>34.882000000000005</c:v>
                </c:pt>
                <c:pt idx="533">
                  <c:v>35.113000000000007</c:v>
                </c:pt>
                <c:pt idx="534">
                  <c:v>35.275199999999998</c:v>
                </c:pt>
                <c:pt idx="535">
                  <c:v>35.437400000000004</c:v>
                </c:pt>
                <c:pt idx="536">
                  <c:v>35.637800000000006</c:v>
                </c:pt>
                <c:pt idx="537">
                  <c:v>35.898000000000003</c:v>
                </c:pt>
                <c:pt idx="538">
                  <c:v>36.202400000000004</c:v>
                </c:pt>
                <c:pt idx="539">
                  <c:v>36.506800000000005</c:v>
                </c:pt>
                <c:pt idx="540">
                  <c:v>36.816400000000002</c:v>
                </c:pt>
                <c:pt idx="541">
                  <c:v>37.080400000000004</c:v>
                </c:pt>
                <c:pt idx="542">
                  <c:v>37.405200000000008</c:v>
                </c:pt>
                <c:pt idx="543">
                  <c:v>37.712200000000003</c:v>
                </c:pt>
                <c:pt idx="544">
                  <c:v>38.016400000000004</c:v>
                </c:pt>
                <c:pt idx="545">
                  <c:v>38.319600000000001</c:v>
                </c:pt>
                <c:pt idx="546">
                  <c:v>38.565200000000004</c:v>
                </c:pt>
                <c:pt idx="547">
                  <c:v>38.803800000000003</c:v>
                </c:pt>
                <c:pt idx="548">
                  <c:v>39.083400000000005</c:v>
                </c:pt>
                <c:pt idx="549">
                  <c:v>39.347000000000001</c:v>
                </c:pt>
                <c:pt idx="550">
                  <c:v>39.583000000000006</c:v>
                </c:pt>
                <c:pt idx="551">
                  <c:v>39.821800000000003</c:v>
                </c:pt>
                <c:pt idx="552">
                  <c:v>40.058199999999999</c:v>
                </c:pt>
                <c:pt idx="553">
                  <c:v>40.299600000000012</c:v>
                </c:pt>
                <c:pt idx="554">
                  <c:v>40.532800000000009</c:v>
                </c:pt>
                <c:pt idx="555">
                  <c:v>40.769000000000013</c:v>
                </c:pt>
                <c:pt idx="556">
                  <c:v>40.976800000000011</c:v>
                </c:pt>
                <c:pt idx="557">
                  <c:v>41.205800000000011</c:v>
                </c:pt>
                <c:pt idx="558">
                  <c:v>41.416599999999995</c:v>
                </c:pt>
                <c:pt idx="559">
                  <c:v>41.614600000000003</c:v>
                </c:pt>
                <c:pt idx="560">
                  <c:v>41.806800000000003</c:v>
                </c:pt>
                <c:pt idx="561">
                  <c:v>42.023600000000009</c:v>
                </c:pt>
                <c:pt idx="562">
                  <c:v>42.279200000000003</c:v>
                </c:pt>
                <c:pt idx="563">
                  <c:v>42.490600000000001</c:v>
                </c:pt>
                <c:pt idx="564">
                  <c:v>42.674399999999999</c:v>
                </c:pt>
                <c:pt idx="565">
                  <c:v>42.866999999999997</c:v>
                </c:pt>
                <c:pt idx="566">
                  <c:v>43.050200000000004</c:v>
                </c:pt>
                <c:pt idx="567">
                  <c:v>43.203999999999994</c:v>
                </c:pt>
                <c:pt idx="568">
                  <c:v>43.412199999999991</c:v>
                </c:pt>
                <c:pt idx="569">
                  <c:v>43.643599999999999</c:v>
                </c:pt>
                <c:pt idx="570">
                  <c:v>43.891199999999991</c:v>
                </c:pt>
                <c:pt idx="571">
                  <c:v>44.177599999999991</c:v>
                </c:pt>
                <c:pt idx="572">
                  <c:v>44.449799999999989</c:v>
                </c:pt>
                <c:pt idx="573">
                  <c:v>44.692799999999998</c:v>
                </c:pt>
                <c:pt idx="574">
                  <c:v>44.963399999999993</c:v>
                </c:pt>
                <c:pt idx="575">
                  <c:v>45.247199999999985</c:v>
                </c:pt>
                <c:pt idx="576">
                  <c:v>45.515199999999993</c:v>
                </c:pt>
                <c:pt idx="577">
                  <c:v>45.683199999999985</c:v>
                </c:pt>
                <c:pt idx="578">
                  <c:v>45.897199999999984</c:v>
                </c:pt>
                <c:pt idx="579">
                  <c:v>46.090399999999988</c:v>
                </c:pt>
                <c:pt idx="580">
                  <c:v>46.260199999999983</c:v>
                </c:pt>
                <c:pt idx="581">
                  <c:v>46.400999999999982</c:v>
                </c:pt>
                <c:pt idx="582">
                  <c:v>46.553799999999995</c:v>
                </c:pt>
                <c:pt idx="583">
                  <c:v>46.658799999999999</c:v>
                </c:pt>
                <c:pt idx="584">
                  <c:v>46.766799999999996</c:v>
                </c:pt>
                <c:pt idx="585">
                  <c:v>46.930599999999998</c:v>
                </c:pt>
                <c:pt idx="586">
                  <c:v>47.109999999999992</c:v>
                </c:pt>
                <c:pt idx="587">
                  <c:v>47.220999999999997</c:v>
                </c:pt>
                <c:pt idx="588">
                  <c:v>47.337799999999994</c:v>
                </c:pt>
                <c:pt idx="589">
                  <c:v>47.417199999999994</c:v>
                </c:pt>
                <c:pt idx="590">
                  <c:v>47.531199999999991</c:v>
                </c:pt>
                <c:pt idx="591">
                  <c:v>47.585199999999993</c:v>
                </c:pt>
                <c:pt idx="592">
                  <c:v>47.586799999999997</c:v>
                </c:pt>
                <c:pt idx="593">
                  <c:v>47.5608</c:v>
                </c:pt>
                <c:pt idx="594">
                  <c:v>47.577600000000004</c:v>
                </c:pt>
                <c:pt idx="595">
                  <c:v>47.58</c:v>
                </c:pt>
                <c:pt idx="596">
                  <c:v>47.619799999999998</c:v>
                </c:pt>
                <c:pt idx="597">
                  <c:v>47.66299999999999</c:v>
                </c:pt>
                <c:pt idx="598">
                  <c:v>47.680999999999997</c:v>
                </c:pt>
                <c:pt idx="599">
                  <c:v>47.682199999999995</c:v>
                </c:pt>
                <c:pt idx="600">
                  <c:v>47.712399999999995</c:v>
                </c:pt>
                <c:pt idx="601">
                  <c:v>47.698</c:v>
                </c:pt>
                <c:pt idx="602">
                  <c:v>47.641999999999996</c:v>
                </c:pt>
                <c:pt idx="603">
                  <c:v>47.557200000000002</c:v>
                </c:pt>
                <c:pt idx="604">
                  <c:v>47.475999999999992</c:v>
                </c:pt>
                <c:pt idx="605">
                  <c:v>47.3596</c:v>
                </c:pt>
                <c:pt idx="606">
                  <c:v>47.2164</c:v>
                </c:pt>
                <c:pt idx="607">
                  <c:v>47.084799999999994</c:v>
                </c:pt>
                <c:pt idx="608">
                  <c:v>46.922600000000003</c:v>
                </c:pt>
                <c:pt idx="609">
                  <c:v>46.7592</c:v>
                </c:pt>
                <c:pt idx="610">
                  <c:v>46.612800000000007</c:v>
                </c:pt>
                <c:pt idx="611">
                  <c:v>46.490400000000008</c:v>
                </c:pt>
                <c:pt idx="612">
                  <c:v>46.345000000000006</c:v>
                </c:pt>
                <c:pt idx="613">
                  <c:v>46.22620000000002</c:v>
                </c:pt>
                <c:pt idx="614">
                  <c:v>46.094600000000007</c:v>
                </c:pt>
                <c:pt idx="615">
                  <c:v>45.947600000000008</c:v>
                </c:pt>
                <c:pt idx="616">
                  <c:v>45.836400000000012</c:v>
                </c:pt>
                <c:pt idx="617">
                  <c:v>45.743000000000009</c:v>
                </c:pt>
                <c:pt idx="618">
                  <c:v>45.683600000000006</c:v>
                </c:pt>
                <c:pt idx="619">
                  <c:v>45.62080000000001</c:v>
                </c:pt>
                <c:pt idx="620">
                  <c:v>45.549600000000012</c:v>
                </c:pt>
                <c:pt idx="621">
                  <c:v>45.488999999999997</c:v>
                </c:pt>
                <c:pt idx="622">
                  <c:v>45.448200000000007</c:v>
                </c:pt>
                <c:pt idx="623">
                  <c:v>45.402400000000014</c:v>
                </c:pt>
                <c:pt idx="624">
                  <c:v>45.37540000000002</c:v>
                </c:pt>
                <c:pt idx="625">
                  <c:v>45.331400000000009</c:v>
                </c:pt>
                <c:pt idx="626">
                  <c:v>45.312400000000004</c:v>
                </c:pt>
                <c:pt idx="627">
                  <c:v>45.342400000000005</c:v>
                </c:pt>
                <c:pt idx="628">
                  <c:v>45.321799999999996</c:v>
                </c:pt>
                <c:pt idx="629">
                  <c:v>45.260199999999998</c:v>
                </c:pt>
                <c:pt idx="630">
                  <c:v>45.174799999999998</c:v>
                </c:pt>
                <c:pt idx="631">
                  <c:v>45.055</c:v>
                </c:pt>
                <c:pt idx="632">
                  <c:v>44.955999999999996</c:v>
                </c:pt>
                <c:pt idx="633">
                  <c:v>44.909799999999997</c:v>
                </c:pt>
                <c:pt idx="634">
                  <c:v>44.890799999999992</c:v>
                </c:pt>
                <c:pt idx="635">
                  <c:v>44.841599999999993</c:v>
                </c:pt>
                <c:pt idx="636">
                  <c:v>44.797199999999997</c:v>
                </c:pt>
                <c:pt idx="637">
                  <c:v>44.749399999999994</c:v>
                </c:pt>
                <c:pt idx="638">
                  <c:v>44.694600000000001</c:v>
                </c:pt>
                <c:pt idx="639">
                  <c:v>44.658200000000008</c:v>
                </c:pt>
                <c:pt idx="640">
                  <c:v>44.583199999999998</c:v>
                </c:pt>
                <c:pt idx="641">
                  <c:v>44.555799999999998</c:v>
                </c:pt>
                <c:pt idx="642">
                  <c:v>44.5092</c:v>
                </c:pt>
                <c:pt idx="643">
                  <c:v>44.481400000000001</c:v>
                </c:pt>
                <c:pt idx="644">
                  <c:v>44.422000000000004</c:v>
                </c:pt>
                <c:pt idx="645">
                  <c:v>44.431199999999997</c:v>
                </c:pt>
                <c:pt idx="646">
                  <c:v>44.440399999999997</c:v>
                </c:pt>
                <c:pt idx="647">
                  <c:v>44.409000000000006</c:v>
                </c:pt>
                <c:pt idx="648">
                  <c:v>44.416400000000003</c:v>
                </c:pt>
                <c:pt idx="649">
                  <c:v>44.41660000000001</c:v>
                </c:pt>
                <c:pt idx="650">
                  <c:v>44.458800000000011</c:v>
                </c:pt>
                <c:pt idx="651">
                  <c:v>44.534000000000006</c:v>
                </c:pt>
                <c:pt idx="652">
                  <c:v>44.620199999999997</c:v>
                </c:pt>
                <c:pt idx="653">
                  <c:v>44.748199999999997</c:v>
                </c:pt>
                <c:pt idx="654">
                  <c:v>44.878399999999992</c:v>
                </c:pt>
                <c:pt idx="655">
                  <c:v>45.035400000000003</c:v>
                </c:pt>
                <c:pt idx="656">
                  <c:v>45.221600000000009</c:v>
                </c:pt>
                <c:pt idx="657">
                  <c:v>45.386000000000003</c:v>
                </c:pt>
                <c:pt idx="658">
                  <c:v>45.580200000000005</c:v>
                </c:pt>
                <c:pt idx="659">
                  <c:v>45.804600000000001</c:v>
                </c:pt>
                <c:pt idx="660">
                  <c:v>45.991399999999985</c:v>
                </c:pt>
                <c:pt idx="661">
                  <c:v>46.162399999999991</c:v>
                </c:pt>
                <c:pt idx="662">
                  <c:v>46.332799999999992</c:v>
                </c:pt>
                <c:pt idx="663">
                  <c:v>46.470999999999975</c:v>
                </c:pt>
                <c:pt idx="664">
                  <c:v>46.621399999999973</c:v>
                </c:pt>
                <c:pt idx="665">
                  <c:v>46.81819999999999</c:v>
                </c:pt>
                <c:pt idx="666">
                  <c:v>46.954199999999993</c:v>
                </c:pt>
                <c:pt idx="667">
                  <c:v>47.076999999999991</c:v>
                </c:pt>
                <c:pt idx="668">
                  <c:v>47.166199999999989</c:v>
                </c:pt>
                <c:pt idx="669">
                  <c:v>47.22379999999999</c:v>
                </c:pt>
                <c:pt idx="670">
                  <c:v>47.262599999999992</c:v>
                </c:pt>
                <c:pt idx="671">
                  <c:v>47.292799999999986</c:v>
                </c:pt>
                <c:pt idx="672">
                  <c:v>47.297599999999996</c:v>
                </c:pt>
                <c:pt idx="673">
                  <c:v>47.298199999999987</c:v>
                </c:pt>
                <c:pt idx="674">
                  <c:v>47.280599999999986</c:v>
                </c:pt>
                <c:pt idx="675">
                  <c:v>47.261200000000002</c:v>
                </c:pt>
                <c:pt idx="676">
                  <c:v>47.215000000000003</c:v>
                </c:pt>
                <c:pt idx="677">
                  <c:v>47.143599999999999</c:v>
                </c:pt>
                <c:pt idx="678">
                  <c:v>47.101800000000004</c:v>
                </c:pt>
                <c:pt idx="679">
                  <c:v>47.074600000000011</c:v>
                </c:pt>
                <c:pt idx="680">
                  <c:v>47.085000000000008</c:v>
                </c:pt>
                <c:pt idx="681">
                  <c:v>47.114000000000004</c:v>
                </c:pt>
                <c:pt idx="682">
                  <c:v>47.093999999999994</c:v>
                </c:pt>
                <c:pt idx="683">
                  <c:v>47.071999999999996</c:v>
                </c:pt>
                <c:pt idx="684">
                  <c:v>47.092199999999991</c:v>
                </c:pt>
                <c:pt idx="685">
                  <c:v>47.093999999999994</c:v>
                </c:pt>
                <c:pt idx="686">
                  <c:v>47.048799999999993</c:v>
                </c:pt>
                <c:pt idx="687">
                  <c:v>47.045000000000002</c:v>
                </c:pt>
                <c:pt idx="688">
                  <c:v>47.068999999999996</c:v>
                </c:pt>
                <c:pt idx="689">
                  <c:v>47.132200000000005</c:v>
                </c:pt>
                <c:pt idx="690">
                  <c:v>47.194200000000002</c:v>
                </c:pt>
                <c:pt idx="691">
                  <c:v>47.251599999999989</c:v>
                </c:pt>
                <c:pt idx="692">
                  <c:v>47.325199999999995</c:v>
                </c:pt>
                <c:pt idx="693">
                  <c:v>47.37159999999998</c:v>
                </c:pt>
                <c:pt idx="694">
                  <c:v>47.400399999999991</c:v>
                </c:pt>
                <c:pt idx="695">
                  <c:v>47.481999999999992</c:v>
                </c:pt>
                <c:pt idx="696">
                  <c:v>47.58159999999998</c:v>
                </c:pt>
                <c:pt idx="697">
                  <c:v>47.728399999999986</c:v>
                </c:pt>
                <c:pt idx="698">
                  <c:v>47.850799999999978</c:v>
                </c:pt>
                <c:pt idx="699">
                  <c:v>47.976799999999976</c:v>
                </c:pt>
                <c:pt idx="700">
                  <c:v>48.032399999999981</c:v>
                </c:pt>
                <c:pt idx="701">
                  <c:v>48.094799999999985</c:v>
                </c:pt>
                <c:pt idx="702">
                  <c:v>48.170599999999993</c:v>
                </c:pt>
                <c:pt idx="703">
                  <c:v>48.249399999999994</c:v>
                </c:pt>
                <c:pt idx="704">
                  <c:v>48.335799999999992</c:v>
                </c:pt>
                <c:pt idx="705">
                  <c:v>48.360999999999997</c:v>
                </c:pt>
                <c:pt idx="706">
                  <c:v>48.370200000000004</c:v>
                </c:pt>
                <c:pt idx="707">
                  <c:v>48.413600000000002</c:v>
                </c:pt>
                <c:pt idx="708">
                  <c:v>48.461000000000006</c:v>
                </c:pt>
                <c:pt idx="709">
                  <c:v>48.490999999999993</c:v>
                </c:pt>
                <c:pt idx="710">
                  <c:v>48.516999999999996</c:v>
                </c:pt>
                <c:pt idx="711">
                  <c:v>48.547200000000004</c:v>
                </c:pt>
                <c:pt idx="712">
                  <c:v>48.580400000000012</c:v>
                </c:pt>
                <c:pt idx="713">
                  <c:v>48.637400000000007</c:v>
                </c:pt>
                <c:pt idx="714">
                  <c:v>48.711600000000018</c:v>
                </c:pt>
                <c:pt idx="715">
                  <c:v>48.755800000000015</c:v>
                </c:pt>
                <c:pt idx="716">
                  <c:v>48.824600000000018</c:v>
                </c:pt>
                <c:pt idx="717">
                  <c:v>48.859600000000029</c:v>
                </c:pt>
                <c:pt idx="718">
                  <c:v>48.921200000000027</c:v>
                </c:pt>
                <c:pt idx="719">
                  <c:v>49.007600000000018</c:v>
                </c:pt>
                <c:pt idx="720">
                  <c:v>49.112200000000023</c:v>
                </c:pt>
                <c:pt idx="721">
                  <c:v>49.157000000000018</c:v>
                </c:pt>
                <c:pt idx="722">
                  <c:v>49.199000000000012</c:v>
                </c:pt>
                <c:pt idx="723">
                  <c:v>49.306200000000018</c:v>
                </c:pt>
                <c:pt idx="724">
                  <c:v>49.433200000000014</c:v>
                </c:pt>
                <c:pt idx="725">
                  <c:v>49.574000000000012</c:v>
                </c:pt>
                <c:pt idx="726">
                  <c:v>49.729800000000004</c:v>
                </c:pt>
                <c:pt idx="727">
                  <c:v>49.87080000000001</c:v>
                </c:pt>
                <c:pt idx="728">
                  <c:v>50.001000000000005</c:v>
                </c:pt>
                <c:pt idx="729">
                  <c:v>50.148400000000002</c:v>
                </c:pt>
                <c:pt idx="730">
                  <c:v>50.299800000000005</c:v>
                </c:pt>
                <c:pt idx="731">
                  <c:v>50.455000000000013</c:v>
                </c:pt>
                <c:pt idx="732">
                  <c:v>50.63</c:v>
                </c:pt>
                <c:pt idx="733">
                  <c:v>50.828999999999994</c:v>
                </c:pt>
                <c:pt idx="734">
                  <c:v>50.975399999999993</c:v>
                </c:pt>
                <c:pt idx="735">
                  <c:v>51.116799999999991</c:v>
                </c:pt>
                <c:pt idx="736">
                  <c:v>51.264399999999988</c:v>
                </c:pt>
                <c:pt idx="737">
                  <c:v>51.428599999999989</c:v>
                </c:pt>
                <c:pt idx="738">
                  <c:v>51.54999999999999</c:v>
                </c:pt>
                <c:pt idx="739">
                  <c:v>51.664799999999993</c:v>
                </c:pt>
                <c:pt idx="740">
                  <c:v>51.790599999999998</c:v>
                </c:pt>
                <c:pt idx="741">
                  <c:v>51.899999999999991</c:v>
                </c:pt>
                <c:pt idx="742">
                  <c:v>52.012999999999991</c:v>
                </c:pt>
                <c:pt idx="743">
                  <c:v>52.159599999999998</c:v>
                </c:pt>
                <c:pt idx="744">
                  <c:v>52.330600000000011</c:v>
                </c:pt>
                <c:pt idx="745">
                  <c:v>52.401600000000009</c:v>
                </c:pt>
                <c:pt idx="746">
                  <c:v>52.444200000000009</c:v>
                </c:pt>
                <c:pt idx="747">
                  <c:v>52.472400000000015</c:v>
                </c:pt>
                <c:pt idx="748">
                  <c:v>52.506200000000007</c:v>
                </c:pt>
                <c:pt idx="749">
                  <c:v>52.555400000000006</c:v>
                </c:pt>
                <c:pt idx="750">
                  <c:v>52.638800000000003</c:v>
                </c:pt>
                <c:pt idx="751">
                  <c:v>52.694200000000002</c:v>
                </c:pt>
                <c:pt idx="752">
                  <c:v>52.753600000000006</c:v>
                </c:pt>
                <c:pt idx="753">
                  <c:v>52.778600000000004</c:v>
                </c:pt>
                <c:pt idx="754">
                  <c:v>52.799599999999998</c:v>
                </c:pt>
                <c:pt idx="755">
                  <c:v>52.859400000000008</c:v>
                </c:pt>
                <c:pt idx="756">
                  <c:v>52.9178</c:v>
                </c:pt>
                <c:pt idx="757">
                  <c:v>52.931800000000003</c:v>
                </c:pt>
                <c:pt idx="758">
                  <c:v>52.955800000000011</c:v>
                </c:pt>
                <c:pt idx="759">
                  <c:v>52.975200000000001</c:v>
                </c:pt>
                <c:pt idx="760">
                  <c:v>53.000000000000007</c:v>
                </c:pt>
                <c:pt idx="761">
                  <c:v>52.957000000000008</c:v>
                </c:pt>
                <c:pt idx="762">
                  <c:v>52.891800000000003</c:v>
                </c:pt>
                <c:pt idx="763">
                  <c:v>52.796399999999991</c:v>
                </c:pt>
                <c:pt idx="764">
                  <c:v>52.675199999999997</c:v>
                </c:pt>
                <c:pt idx="765">
                  <c:v>52.543999999999997</c:v>
                </c:pt>
                <c:pt idx="766">
                  <c:v>52.435799999999993</c:v>
                </c:pt>
                <c:pt idx="767">
                  <c:v>52.354599999999991</c:v>
                </c:pt>
                <c:pt idx="768">
                  <c:v>52.256199999999993</c:v>
                </c:pt>
                <c:pt idx="769">
                  <c:v>52.136600000000001</c:v>
                </c:pt>
                <c:pt idx="770">
                  <c:v>51.997399999999992</c:v>
                </c:pt>
                <c:pt idx="771">
                  <c:v>51.904199999999989</c:v>
                </c:pt>
                <c:pt idx="772">
                  <c:v>51.827799999999996</c:v>
                </c:pt>
                <c:pt idx="773">
                  <c:v>51.73</c:v>
                </c:pt>
                <c:pt idx="774">
                  <c:v>51.610200000000006</c:v>
                </c:pt>
                <c:pt idx="775">
                  <c:v>51.530200000000008</c:v>
                </c:pt>
                <c:pt idx="776">
                  <c:v>51.470600000000012</c:v>
                </c:pt>
                <c:pt idx="777">
                  <c:v>51.454200000000007</c:v>
                </c:pt>
                <c:pt idx="778">
                  <c:v>51.437200000000004</c:v>
                </c:pt>
                <c:pt idx="779">
                  <c:v>51.395600000000002</c:v>
                </c:pt>
                <c:pt idx="780">
                  <c:v>51.36</c:v>
                </c:pt>
                <c:pt idx="781">
                  <c:v>51.335199999999993</c:v>
                </c:pt>
                <c:pt idx="782">
                  <c:v>51.3262</c:v>
                </c:pt>
                <c:pt idx="783">
                  <c:v>51.306399999999996</c:v>
                </c:pt>
                <c:pt idx="784">
                  <c:v>51.303999999999988</c:v>
                </c:pt>
                <c:pt idx="785">
                  <c:v>51.318999999999988</c:v>
                </c:pt>
                <c:pt idx="786">
                  <c:v>51.326399999999985</c:v>
                </c:pt>
                <c:pt idx="787">
                  <c:v>51.312199999999983</c:v>
                </c:pt>
                <c:pt idx="788">
                  <c:v>51.293599999999991</c:v>
                </c:pt>
                <c:pt idx="789">
                  <c:v>51.266599999999983</c:v>
                </c:pt>
                <c:pt idx="790">
                  <c:v>51.216199999999986</c:v>
                </c:pt>
                <c:pt idx="791">
                  <c:v>51.177599999999991</c:v>
                </c:pt>
                <c:pt idx="792">
                  <c:v>51.122999999999983</c:v>
                </c:pt>
                <c:pt idx="793">
                  <c:v>51.041199999999989</c:v>
                </c:pt>
                <c:pt idx="794">
                  <c:v>50.948799999999984</c:v>
                </c:pt>
                <c:pt idx="795">
                  <c:v>50.873999999999988</c:v>
                </c:pt>
                <c:pt idx="796">
                  <c:v>50.788999999999987</c:v>
                </c:pt>
                <c:pt idx="797">
                  <c:v>50.712999999999994</c:v>
                </c:pt>
                <c:pt idx="798">
                  <c:v>50.621399999999987</c:v>
                </c:pt>
                <c:pt idx="799">
                  <c:v>50.506199999999993</c:v>
                </c:pt>
                <c:pt idx="800">
                  <c:v>50.381599999999992</c:v>
                </c:pt>
                <c:pt idx="801">
                  <c:v>50.220399999999991</c:v>
                </c:pt>
                <c:pt idx="802">
                  <c:v>50.055399999999992</c:v>
                </c:pt>
                <c:pt idx="803">
                  <c:v>49.904799999999994</c:v>
                </c:pt>
                <c:pt idx="804">
                  <c:v>49.740800000000007</c:v>
                </c:pt>
                <c:pt idx="805">
                  <c:v>49.606400000000015</c:v>
                </c:pt>
                <c:pt idx="806">
                  <c:v>49.486200000000018</c:v>
                </c:pt>
                <c:pt idx="807">
                  <c:v>49.390200000000014</c:v>
                </c:pt>
                <c:pt idx="808">
                  <c:v>49.300800000000017</c:v>
                </c:pt>
                <c:pt idx="809">
                  <c:v>49.209800000000016</c:v>
                </c:pt>
                <c:pt idx="810">
                  <c:v>49.137</c:v>
                </c:pt>
                <c:pt idx="811">
                  <c:v>49.127600000000001</c:v>
                </c:pt>
                <c:pt idx="812">
                  <c:v>49.159000000000006</c:v>
                </c:pt>
                <c:pt idx="813">
                  <c:v>49.214199999999998</c:v>
                </c:pt>
                <c:pt idx="814">
                  <c:v>49.2776</c:v>
                </c:pt>
                <c:pt idx="815">
                  <c:v>49.352599999999995</c:v>
                </c:pt>
                <c:pt idx="816">
                  <c:v>49.357199999999992</c:v>
                </c:pt>
                <c:pt idx="817">
                  <c:v>49.382799999999996</c:v>
                </c:pt>
                <c:pt idx="818">
                  <c:v>49.408600000000007</c:v>
                </c:pt>
                <c:pt idx="819">
                  <c:v>49.418599999999998</c:v>
                </c:pt>
                <c:pt idx="820">
                  <c:v>49.444600000000001</c:v>
                </c:pt>
                <c:pt idx="821">
                  <c:v>49.45239999999999</c:v>
                </c:pt>
                <c:pt idx="822">
                  <c:v>49.460399999999993</c:v>
                </c:pt>
                <c:pt idx="823">
                  <c:v>49.47699999999999</c:v>
                </c:pt>
                <c:pt idx="824">
                  <c:v>49.45259999999999</c:v>
                </c:pt>
                <c:pt idx="825">
                  <c:v>49.398999999999994</c:v>
                </c:pt>
                <c:pt idx="826">
                  <c:v>49.325999999999993</c:v>
                </c:pt>
                <c:pt idx="827">
                  <c:v>49.241999999999997</c:v>
                </c:pt>
                <c:pt idx="828">
                  <c:v>49.159399999999984</c:v>
                </c:pt>
                <c:pt idx="829">
                  <c:v>49.05019999999999</c:v>
                </c:pt>
                <c:pt idx="830">
                  <c:v>48.919799999999988</c:v>
                </c:pt>
                <c:pt idx="831">
                  <c:v>48.791599999999981</c:v>
                </c:pt>
                <c:pt idx="832">
                  <c:v>48.642599999999987</c:v>
                </c:pt>
                <c:pt idx="833">
                  <c:v>48.464399999999983</c:v>
                </c:pt>
                <c:pt idx="834">
                  <c:v>48.252799999999986</c:v>
                </c:pt>
                <c:pt idx="835">
                  <c:v>48.035799999999988</c:v>
                </c:pt>
                <c:pt idx="836">
                  <c:v>47.830599999999997</c:v>
                </c:pt>
                <c:pt idx="837">
                  <c:v>47.631599999999999</c:v>
                </c:pt>
                <c:pt idx="838">
                  <c:v>47.464199999999998</c:v>
                </c:pt>
                <c:pt idx="839">
                  <c:v>47.309799999999996</c:v>
                </c:pt>
                <c:pt idx="840">
                  <c:v>47.197600000000001</c:v>
                </c:pt>
                <c:pt idx="841">
                  <c:v>47.1128</c:v>
                </c:pt>
                <c:pt idx="842">
                  <c:v>47.040399999999991</c:v>
                </c:pt>
                <c:pt idx="843">
                  <c:v>46.964599999999997</c:v>
                </c:pt>
                <c:pt idx="844">
                  <c:v>46.890600000000006</c:v>
                </c:pt>
                <c:pt idx="845">
                  <c:v>46.791200000000011</c:v>
                </c:pt>
                <c:pt idx="846">
                  <c:v>46.7</c:v>
                </c:pt>
                <c:pt idx="847">
                  <c:v>46.615000000000009</c:v>
                </c:pt>
                <c:pt idx="848">
                  <c:v>46.548000000000009</c:v>
                </c:pt>
                <c:pt idx="849">
                  <c:v>46.516199999999998</c:v>
                </c:pt>
                <c:pt idx="850">
                  <c:v>46.491000000000007</c:v>
                </c:pt>
                <c:pt idx="851">
                  <c:v>46.500399999999999</c:v>
                </c:pt>
                <c:pt idx="852">
                  <c:v>46.503799999999998</c:v>
                </c:pt>
                <c:pt idx="853">
                  <c:v>46.516599999999997</c:v>
                </c:pt>
                <c:pt idx="854">
                  <c:v>46.534400000000005</c:v>
                </c:pt>
                <c:pt idx="855">
                  <c:v>46.504400000000004</c:v>
                </c:pt>
                <c:pt idx="856">
                  <c:v>46.4724</c:v>
                </c:pt>
                <c:pt idx="857">
                  <c:v>46.471199999999996</c:v>
                </c:pt>
                <c:pt idx="858">
                  <c:v>46.465599999999995</c:v>
                </c:pt>
                <c:pt idx="859">
                  <c:v>46.47379999999999</c:v>
                </c:pt>
                <c:pt idx="860">
                  <c:v>46.487399999999987</c:v>
                </c:pt>
                <c:pt idx="861">
                  <c:v>46.504399999999997</c:v>
                </c:pt>
                <c:pt idx="862">
                  <c:v>46.481799999999993</c:v>
                </c:pt>
                <c:pt idx="863">
                  <c:v>46.457599999999999</c:v>
                </c:pt>
                <c:pt idx="864">
                  <c:v>46.415799999999997</c:v>
                </c:pt>
                <c:pt idx="865">
                  <c:v>46.387400000000007</c:v>
                </c:pt>
                <c:pt idx="866">
                  <c:v>46.403400000000005</c:v>
                </c:pt>
                <c:pt idx="867">
                  <c:v>46.393200000000007</c:v>
                </c:pt>
                <c:pt idx="868">
                  <c:v>46.392400000000009</c:v>
                </c:pt>
                <c:pt idx="869">
                  <c:v>46.397400000000005</c:v>
                </c:pt>
                <c:pt idx="870">
                  <c:v>46.407200000000003</c:v>
                </c:pt>
                <c:pt idx="871">
                  <c:v>46.405400000000007</c:v>
                </c:pt>
                <c:pt idx="872">
                  <c:v>46.408799999999999</c:v>
                </c:pt>
                <c:pt idx="873">
                  <c:v>46.382200000000005</c:v>
                </c:pt>
                <c:pt idx="874">
                  <c:v>46.407600000000002</c:v>
                </c:pt>
                <c:pt idx="875">
                  <c:v>46.465800000000009</c:v>
                </c:pt>
                <c:pt idx="876">
                  <c:v>46.497199999999992</c:v>
                </c:pt>
                <c:pt idx="877">
                  <c:v>46.528199999999998</c:v>
                </c:pt>
                <c:pt idx="878">
                  <c:v>46.568999999999988</c:v>
                </c:pt>
                <c:pt idx="879">
                  <c:v>46.617999999999974</c:v>
                </c:pt>
                <c:pt idx="880">
                  <c:v>46.681599999999982</c:v>
                </c:pt>
                <c:pt idx="881">
                  <c:v>46.714999999999975</c:v>
                </c:pt>
                <c:pt idx="882">
                  <c:v>46.759399999999978</c:v>
                </c:pt>
                <c:pt idx="883">
                  <c:v>46.811799999999977</c:v>
                </c:pt>
                <c:pt idx="884">
                  <c:v>46.907399999999988</c:v>
                </c:pt>
                <c:pt idx="885">
                  <c:v>47.0032</c:v>
                </c:pt>
                <c:pt idx="886">
                  <c:v>47.118600000000008</c:v>
                </c:pt>
                <c:pt idx="887">
                  <c:v>47.236400000000003</c:v>
                </c:pt>
                <c:pt idx="888">
                  <c:v>47.333400000000005</c:v>
                </c:pt>
                <c:pt idx="889">
                  <c:v>47.387400000000007</c:v>
                </c:pt>
                <c:pt idx="890">
                  <c:v>47.451000000000001</c:v>
                </c:pt>
                <c:pt idx="891">
                  <c:v>47.494799999999998</c:v>
                </c:pt>
                <c:pt idx="892">
                  <c:v>47.560400000000001</c:v>
                </c:pt>
                <c:pt idx="893">
                  <c:v>47.6554</c:v>
                </c:pt>
                <c:pt idx="894">
                  <c:v>47.743000000000009</c:v>
                </c:pt>
                <c:pt idx="895">
                  <c:v>47.855600000000024</c:v>
                </c:pt>
                <c:pt idx="896">
                  <c:v>47.958400000000012</c:v>
                </c:pt>
                <c:pt idx="897">
                  <c:v>48.063000000000017</c:v>
                </c:pt>
                <c:pt idx="898">
                  <c:v>48.165000000000006</c:v>
                </c:pt>
                <c:pt idx="899">
                  <c:v>48.250400000000006</c:v>
                </c:pt>
                <c:pt idx="900">
                  <c:v>48.356800000000014</c:v>
                </c:pt>
                <c:pt idx="901">
                  <c:v>48.468200000000003</c:v>
                </c:pt>
                <c:pt idx="902">
                  <c:v>48.582999999999998</c:v>
                </c:pt>
                <c:pt idx="903">
                  <c:v>48.673400000000008</c:v>
                </c:pt>
                <c:pt idx="904">
                  <c:v>48.772200000000012</c:v>
                </c:pt>
                <c:pt idx="905">
                  <c:v>48.868400000000008</c:v>
                </c:pt>
                <c:pt idx="906">
                  <c:v>48.95300000000001</c:v>
                </c:pt>
                <c:pt idx="907">
                  <c:v>48.997600000000013</c:v>
                </c:pt>
                <c:pt idx="908">
                  <c:v>49.041800000000002</c:v>
                </c:pt>
                <c:pt idx="909">
                  <c:v>49.047600000000003</c:v>
                </c:pt>
                <c:pt idx="910">
                  <c:v>49.044800000000002</c:v>
                </c:pt>
                <c:pt idx="911">
                  <c:v>49.059200000000004</c:v>
                </c:pt>
                <c:pt idx="912">
                  <c:v>49.101400000000005</c:v>
                </c:pt>
                <c:pt idx="913">
                  <c:v>49.121600000000008</c:v>
                </c:pt>
                <c:pt idx="914">
                  <c:v>49.169599999999988</c:v>
                </c:pt>
                <c:pt idx="915">
                  <c:v>49.215400000000002</c:v>
                </c:pt>
                <c:pt idx="916">
                  <c:v>49.2654</c:v>
                </c:pt>
                <c:pt idx="917">
                  <c:v>49.325000000000003</c:v>
                </c:pt>
                <c:pt idx="918">
                  <c:v>49.358999999999995</c:v>
                </c:pt>
                <c:pt idx="919">
                  <c:v>49.4208</c:v>
                </c:pt>
                <c:pt idx="920">
                  <c:v>49.482799999999997</c:v>
                </c:pt>
                <c:pt idx="921">
                  <c:v>49.577399999999997</c:v>
                </c:pt>
                <c:pt idx="922">
                  <c:v>49.665399999999991</c:v>
                </c:pt>
                <c:pt idx="923">
                  <c:v>49.777599999999985</c:v>
                </c:pt>
                <c:pt idx="924">
                  <c:v>49.914599999999979</c:v>
                </c:pt>
                <c:pt idx="925">
                  <c:v>50.024999999999984</c:v>
                </c:pt>
                <c:pt idx="926">
                  <c:v>50.164399999999986</c:v>
                </c:pt>
                <c:pt idx="927">
                  <c:v>50.297799999999988</c:v>
                </c:pt>
                <c:pt idx="928">
                  <c:v>50.419800000000002</c:v>
                </c:pt>
                <c:pt idx="929">
                  <c:v>50.587600000000002</c:v>
                </c:pt>
                <c:pt idx="930">
                  <c:v>50.781400000000005</c:v>
                </c:pt>
                <c:pt idx="931">
                  <c:v>50.997200000000014</c:v>
                </c:pt>
                <c:pt idx="932">
                  <c:v>51.204400000000014</c:v>
                </c:pt>
                <c:pt idx="933">
                  <c:v>51.428400000000011</c:v>
                </c:pt>
                <c:pt idx="934">
                  <c:v>51.618200000000016</c:v>
                </c:pt>
                <c:pt idx="935">
                  <c:v>51.807200000000009</c:v>
                </c:pt>
                <c:pt idx="936">
                  <c:v>51.948000000000008</c:v>
                </c:pt>
                <c:pt idx="937">
                  <c:v>52.071000000000005</c:v>
                </c:pt>
                <c:pt idx="938">
                  <c:v>52.191799999999994</c:v>
                </c:pt>
                <c:pt idx="939">
                  <c:v>52.367200000000004</c:v>
                </c:pt>
                <c:pt idx="940">
                  <c:v>52.530200000000008</c:v>
                </c:pt>
                <c:pt idx="941">
                  <c:v>52.702799999999996</c:v>
                </c:pt>
                <c:pt idx="942">
                  <c:v>52.874400000000009</c:v>
                </c:pt>
                <c:pt idx="943">
                  <c:v>53.056000000000004</c:v>
                </c:pt>
                <c:pt idx="944">
                  <c:v>53.220000000000006</c:v>
                </c:pt>
                <c:pt idx="945">
                  <c:v>53.381600000000006</c:v>
                </c:pt>
                <c:pt idx="946">
                  <c:v>53.535800000000009</c:v>
                </c:pt>
                <c:pt idx="947">
                  <c:v>53.678000000000011</c:v>
                </c:pt>
                <c:pt idx="948">
                  <c:v>53.833400000000012</c:v>
                </c:pt>
                <c:pt idx="949">
                  <c:v>53.976400000000005</c:v>
                </c:pt>
                <c:pt idx="950">
                  <c:v>54.092600000000004</c:v>
                </c:pt>
                <c:pt idx="951">
                  <c:v>54.176600000000001</c:v>
                </c:pt>
                <c:pt idx="952">
                  <c:v>54.263800000000003</c:v>
                </c:pt>
                <c:pt idx="953">
                  <c:v>54.374399999999994</c:v>
                </c:pt>
                <c:pt idx="954">
                  <c:v>54.497799999999998</c:v>
                </c:pt>
                <c:pt idx="955">
                  <c:v>54.628399999999999</c:v>
                </c:pt>
                <c:pt idx="956">
                  <c:v>54.751400000000004</c:v>
                </c:pt>
                <c:pt idx="957">
                  <c:v>54.891400000000004</c:v>
                </c:pt>
                <c:pt idx="958">
                  <c:v>55.021400000000014</c:v>
                </c:pt>
                <c:pt idx="959">
                  <c:v>55.178000000000011</c:v>
                </c:pt>
                <c:pt idx="960">
                  <c:v>55.336200000000005</c:v>
                </c:pt>
                <c:pt idx="961">
                  <c:v>55.479400000000005</c:v>
                </c:pt>
                <c:pt idx="962">
                  <c:v>55.620200000000011</c:v>
                </c:pt>
                <c:pt idx="963">
                  <c:v>55.77300000000001</c:v>
                </c:pt>
                <c:pt idx="964">
                  <c:v>55.935400000000016</c:v>
                </c:pt>
                <c:pt idx="965">
                  <c:v>56.091600000000014</c:v>
                </c:pt>
                <c:pt idx="966">
                  <c:v>56.251000000000019</c:v>
                </c:pt>
                <c:pt idx="967">
                  <c:v>56.419200000000018</c:v>
                </c:pt>
                <c:pt idx="968">
                  <c:v>56.600800000000021</c:v>
                </c:pt>
                <c:pt idx="969">
                  <c:v>56.80040000000001</c:v>
                </c:pt>
                <c:pt idx="970">
                  <c:v>57.00180000000001</c:v>
                </c:pt>
                <c:pt idx="971">
                  <c:v>57.185200000000002</c:v>
                </c:pt>
                <c:pt idx="972">
                  <c:v>57.380400000000002</c:v>
                </c:pt>
                <c:pt idx="973">
                  <c:v>57.590600000000016</c:v>
                </c:pt>
                <c:pt idx="974">
                  <c:v>57.784199999999998</c:v>
                </c:pt>
                <c:pt idx="975">
                  <c:v>57.978199999999994</c:v>
                </c:pt>
                <c:pt idx="976">
                  <c:v>58.175399999999996</c:v>
                </c:pt>
                <c:pt idx="977">
                  <c:v>58.365400000000001</c:v>
                </c:pt>
                <c:pt idx="978">
                  <c:v>58.552799999999998</c:v>
                </c:pt>
                <c:pt idx="979">
                  <c:v>58.719399999999993</c:v>
                </c:pt>
                <c:pt idx="980">
                  <c:v>58.840199999999996</c:v>
                </c:pt>
                <c:pt idx="981">
                  <c:v>58.969599999999993</c:v>
                </c:pt>
                <c:pt idx="982">
                  <c:v>59.122199999999985</c:v>
                </c:pt>
                <c:pt idx="983">
                  <c:v>59.292799999999986</c:v>
                </c:pt>
                <c:pt idx="984">
                  <c:v>59.470199999999977</c:v>
                </c:pt>
                <c:pt idx="985">
                  <c:v>59.660199999999975</c:v>
                </c:pt>
                <c:pt idx="986">
                  <c:v>59.860999999999983</c:v>
                </c:pt>
                <c:pt idx="987">
                  <c:v>60.04819999999998</c:v>
                </c:pt>
                <c:pt idx="988">
                  <c:v>60.241799999999991</c:v>
                </c:pt>
                <c:pt idx="989">
                  <c:v>60.435999999999993</c:v>
                </c:pt>
                <c:pt idx="990">
                  <c:v>60.621799999999993</c:v>
                </c:pt>
                <c:pt idx="991">
                  <c:v>60.768599999999985</c:v>
                </c:pt>
                <c:pt idx="992">
                  <c:v>60.880599999999987</c:v>
                </c:pt>
                <c:pt idx="993">
                  <c:v>60.939999999999984</c:v>
                </c:pt>
                <c:pt idx="994">
                  <c:v>61.003999999999991</c:v>
                </c:pt>
                <c:pt idx="995">
                  <c:v>61.028799999999983</c:v>
                </c:pt>
                <c:pt idx="996">
                  <c:v>61.071999999999989</c:v>
                </c:pt>
                <c:pt idx="997">
                  <c:v>61.110599999999984</c:v>
                </c:pt>
                <c:pt idx="998">
                  <c:v>61.157599999999981</c:v>
                </c:pt>
                <c:pt idx="999">
                  <c:v>61.237599999999986</c:v>
                </c:pt>
                <c:pt idx="1000">
                  <c:v>61.322199999999995</c:v>
                </c:pt>
                <c:pt idx="1001">
                  <c:v>61.444599999999994</c:v>
                </c:pt>
                <c:pt idx="1002">
                  <c:v>61.549199999999992</c:v>
                </c:pt>
                <c:pt idx="1003">
                  <c:v>61.660599999999988</c:v>
                </c:pt>
                <c:pt idx="1004">
                  <c:v>61.774199999999979</c:v>
                </c:pt>
                <c:pt idx="1005">
                  <c:v>61.907999999999987</c:v>
                </c:pt>
                <c:pt idx="1006">
                  <c:v>62.034999999999989</c:v>
                </c:pt>
                <c:pt idx="1007">
                  <c:v>62.123599999999989</c:v>
                </c:pt>
                <c:pt idx="1008">
                  <c:v>62.197399999999988</c:v>
                </c:pt>
                <c:pt idx="1009">
                  <c:v>62.277799999999985</c:v>
                </c:pt>
                <c:pt idx="1010">
                  <c:v>62.377799999999986</c:v>
                </c:pt>
                <c:pt idx="1011">
                  <c:v>62.466799999999985</c:v>
                </c:pt>
                <c:pt idx="1012">
                  <c:v>62.521799999999992</c:v>
                </c:pt>
                <c:pt idx="1013">
                  <c:v>62.559399999999997</c:v>
                </c:pt>
                <c:pt idx="1014">
                  <c:v>62.608800000000002</c:v>
                </c:pt>
                <c:pt idx="1015">
                  <c:v>62.642399999999995</c:v>
                </c:pt>
                <c:pt idx="1016">
                  <c:v>62.659399999999998</c:v>
                </c:pt>
                <c:pt idx="1017">
                  <c:v>62.667999999999992</c:v>
                </c:pt>
                <c:pt idx="1018">
                  <c:v>62.683799999999998</c:v>
                </c:pt>
                <c:pt idx="1019">
                  <c:v>62.697399999999995</c:v>
                </c:pt>
                <c:pt idx="1020">
                  <c:v>62.698</c:v>
                </c:pt>
                <c:pt idx="1021">
                  <c:v>62.735600000000005</c:v>
                </c:pt>
                <c:pt idx="1022">
                  <c:v>62.803000000000004</c:v>
                </c:pt>
                <c:pt idx="1023">
                  <c:v>62.829599999999999</c:v>
                </c:pt>
                <c:pt idx="1024">
                  <c:v>62.873600000000003</c:v>
                </c:pt>
                <c:pt idx="1025">
                  <c:v>62.907200000000003</c:v>
                </c:pt>
                <c:pt idx="1026">
                  <c:v>62.927</c:v>
                </c:pt>
                <c:pt idx="1027">
                  <c:v>62.936600000000006</c:v>
                </c:pt>
                <c:pt idx="1028">
                  <c:v>62.955600000000011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D0-4E2D-A1C4-758124502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5529448"/>
        <c:axId val="925531744"/>
      </c:lineChart>
      <c:dateAx>
        <c:axId val="92552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31744"/>
        <c:crosses val="autoZero"/>
        <c:auto val="1"/>
        <c:lblOffset val="100"/>
        <c:baseTimeUnit val="days"/>
      </c:dateAx>
      <c:valAx>
        <c:axId val="9255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2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09921160164107"/>
          <c:y val="0.21982395540768954"/>
          <c:w val="9.7351125809171074E-2"/>
          <c:h val="9.6002472697300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161924</xdr:rowOff>
    </xdr:from>
    <xdr:to>
      <xdr:col>17</xdr:col>
      <xdr:colOff>323850</xdr:colOff>
      <xdr:row>22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CF4295-F9AD-43D3-AF68-1AFBA48F9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849000</xdr:colOff>
      <xdr:row>1088</xdr:row>
      <xdr:rowOff>53913</xdr:rowOff>
    </xdr:from>
    <xdr:to>
      <xdr:col>18</xdr:col>
      <xdr:colOff>33946</xdr:colOff>
      <xdr:row>1128</xdr:row>
      <xdr:rowOff>66842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C68A11-9D9E-4DED-A170-3843CE8B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nkingCEO/Downloads/timeseriesmodel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rend"/>
      <sheetName val="20 &amp;50 -days MA"/>
      <sheetName val="Moving Avg"/>
      <sheetName val="Expon. Smth."/>
      <sheetName val="Holt's"/>
      <sheetName val="Compare"/>
    </sheetNames>
    <sheetDataSet>
      <sheetData sheetId="0"/>
      <sheetData sheetId="1"/>
      <sheetData sheetId="2">
        <row r="54">
          <cell r="B54">
            <v>41715</v>
          </cell>
          <cell r="C54">
            <v>98.43</v>
          </cell>
          <cell r="D54">
            <v>101.952</v>
          </cell>
          <cell r="I54">
            <v>98.312599999999961</v>
          </cell>
        </row>
        <row r="55">
          <cell r="B55">
            <v>41716</v>
          </cell>
          <cell r="C55">
            <v>100.08</v>
          </cell>
          <cell r="D55">
            <v>101.858</v>
          </cell>
          <cell r="I55">
            <v>98.378399999999985</v>
          </cell>
        </row>
        <row r="56">
          <cell r="B56">
            <v>41717</v>
          </cell>
          <cell r="C56">
            <v>100.71</v>
          </cell>
          <cell r="D56">
            <v>101.735</v>
          </cell>
          <cell r="I56">
            <v>98.506799999999984</v>
          </cell>
        </row>
        <row r="57">
          <cell r="B57">
            <v>41718</v>
          </cell>
          <cell r="C57">
            <v>99.68</v>
          </cell>
          <cell r="D57">
            <v>101.5975</v>
          </cell>
          <cell r="I57">
            <v>98.658599999999993</v>
          </cell>
        </row>
        <row r="58">
          <cell r="B58">
            <v>41719</v>
          </cell>
          <cell r="C58">
            <v>99.97</v>
          </cell>
          <cell r="D58">
            <v>101.42150000000001</v>
          </cell>
          <cell r="I58">
            <v>98.785999999999987</v>
          </cell>
        </row>
        <row r="59">
          <cell r="B59">
            <v>41722</v>
          </cell>
          <cell r="C59">
            <v>100.05</v>
          </cell>
          <cell r="D59">
            <v>101.29350000000001</v>
          </cell>
          <cell r="I59">
            <v>98.947400000000002</v>
          </cell>
        </row>
        <row r="60">
          <cell r="B60">
            <v>41723</v>
          </cell>
          <cell r="C60">
            <v>99.66</v>
          </cell>
          <cell r="D60">
            <v>101.1375</v>
          </cell>
          <cell r="I60">
            <v>99.121200000000002</v>
          </cell>
        </row>
        <row r="61">
          <cell r="B61">
            <v>41724</v>
          </cell>
          <cell r="C61">
            <v>100.61</v>
          </cell>
          <cell r="D61">
            <v>101.01050000000001</v>
          </cell>
          <cell r="I61">
            <v>99.266599999999997</v>
          </cell>
        </row>
        <row r="62">
          <cell r="B62">
            <v>41725</v>
          </cell>
          <cell r="C62">
            <v>101.25</v>
          </cell>
          <cell r="D62">
            <v>100.89449999999999</v>
          </cell>
          <cell r="I62">
            <v>99.44980000000001</v>
          </cell>
        </row>
        <row r="63">
          <cell r="B63">
            <v>41726</v>
          </cell>
          <cell r="C63">
            <v>101.73</v>
          </cell>
          <cell r="D63">
            <v>100.82300000000001</v>
          </cell>
          <cell r="I63">
            <v>99.631799999999998</v>
          </cell>
        </row>
        <row r="64">
          <cell r="B64">
            <v>41729</v>
          </cell>
          <cell r="C64">
            <v>101.57</v>
          </cell>
          <cell r="D64">
            <v>100.7655</v>
          </cell>
          <cell r="I64">
            <v>99.790800000000004</v>
          </cell>
        </row>
        <row r="65">
          <cell r="B65">
            <v>41730</v>
          </cell>
          <cell r="C65">
            <v>99.69</v>
          </cell>
          <cell r="D65">
            <v>100.577</v>
          </cell>
          <cell r="I65">
            <v>99.951399999999978</v>
          </cell>
        </row>
        <row r="66">
          <cell r="B66">
            <v>41731</v>
          </cell>
          <cell r="C66">
            <v>99.6</v>
          </cell>
          <cell r="D66">
            <v>100.37950000000001</v>
          </cell>
          <cell r="I66">
            <v>100.06599999999997</v>
          </cell>
        </row>
        <row r="67">
          <cell r="B67">
            <v>41732</v>
          </cell>
          <cell r="C67">
            <v>100.29</v>
          </cell>
          <cell r="D67">
            <v>100.27200000000001</v>
          </cell>
          <cell r="I67">
            <v>100.16779999999999</v>
          </cell>
        </row>
        <row r="68">
          <cell r="B68">
            <v>41733</v>
          </cell>
          <cell r="C68">
            <v>101.16</v>
          </cell>
          <cell r="D68">
            <v>100.1955</v>
          </cell>
          <cell r="I68">
            <v>100.24659999999999</v>
          </cell>
        </row>
        <row r="69">
          <cell r="B69">
            <v>41736</v>
          </cell>
          <cell r="C69">
            <v>100.43</v>
          </cell>
          <cell r="D69">
            <v>100.1125</v>
          </cell>
          <cell r="I69">
            <v>100.32519999999997</v>
          </cell>
        </row>
        <row r="70">
          <cell r="B70">
            <v>41737</v>
          </cell>
          <cell r="C70">
            <v>102.57</v>
          </cell>
          <cell r="D70">
            <v>100.0645</v>
          </cell>
          <cell r="I70">
            <v>100.40059999999998</v>
          </cell>
        </row>
        <row r="71">
          <cell r="B71">
            <v>41738</v>
          </cell>
          <cell r="C71">
            <v>103.55</v>
          </cell>
          <cell r="D71">
            <v>100.1785</v>
          </cell>
          <cell r="I71">
            <v>100.53559999999997</v>
          </cell>
        </row>
        <row r="72">
          <cell r="B72">
            <v>41739</v>
          </cell>
          <cell r="C72">
            <v>103.37</v>
          </cell>
          <cell r="D72">
            <v>100.44149999999999</v>
          </cell>
          <cell r="I72">
            <v>100.65679999999999</v>
          </cell>
        </row>
        <row r="73">
          <cell r="B73">
            <v>41740</v>
          </cell>
          <cell r="C73">
            <v>103.68</v>
          </cell>
          <cell r="D73">
            <v>100.68149999999999</v>
          </cell>
          <cell r="I73">
            <v>100.7774</v>
          </cell>
        </row>
        <row r="74">
          <cell r="B74">
            <v>41743</v>
          </cell>
          <cell r="C74">
            <v>104.05</v>
          </cell>
          <cell r="D74">
            <v>100.90400000000001</v>
          </cell>
          <cell r="I74">
            <v>100.88600000000001</v>
          </cell>
        </row>
        <row r="75">
          <cell r="B75">
            <v>41744</v>
          </cell>
          <cell r="C75">
            <v>103.7</v>
          </cell>
          <cell r="D75">
            <v>101.18500000000002</v>
          </cell>
          <cell r="I75">
            <v>101.01600000000002</v>
          </cell>
        </row>
        <row r="76">
          <cell r="B76">
            <v>41745</v>
          </cell>
          <cell r="C76">
            <v>103.71</v>
          </cell>
          <cell r="D76">
            <v>101.366</v>
          </cell>
          <cell r="I76">
            <v>101.16120000000001</v>
          </cell>
        </row>
        <row r="77">
          <cell r="B77">
            <v>41746</v>
          </cell>
          <cell r="C77">
            <v>104.33</v>
          </cell>
          <cell r="D77">
            <v>101.51600000000002</v>
          </cell>
          <cell r="I77">
            <v>101.29060000000001</v>
          </cell>
        </row>
        <row r="78">
          <cell r="B78">
            <v>41750</v>
          </cell>
          <cell r="C78">
            <v>104.35</v>
          </cell>
          <cell r="D78">
            <v>101.74850000000001</v>
          </cell>
          <cell r="I78">
            <v>101.42919999999999</v>
          </cell>
        </row>
        <row r="79">
          <cell r="B79">
            <v>41751</v>
          </cell>
          <cell r="C79">
            <v>101.69</v>
          </cell>
          <cell r="D79">
            <v>101.96749999999999</v>
          </cell>
          <cell r="I79">
            <v>101.55940000000001</v>
          </cell>
        </row>
        <row r="80">
          <cell r="B80">
            <v>41752</v>
          </cell>
          <cell r="C80">
            <v>101.47</v>
          </cell>
          <cell r="D80">
            <v>102.04949999999999</v>
          </cell>
          <cell r="I80">
            <v>101.59360000000001</v>
          </cell>
        </row>
        <row r="81">
          <cell r="B81">
            <v>41753</v>
          </cell>
          <cell r="C81">
            <v>102.2</v>
          </cell>
          <cell r="D81">
            <v>102.13999999999999</v>
          </cell>
          <cell r="I81">
            <v>101.62060000000001</v>
          </cell>
        </row>
        <row r="82">
          <cell r="B82">
            <v>41754</v>
          </cell>
          <cell r="C82">
            <v>100.85</v>
          </cell>
          <cell r="D82">
            <v>102.21950000000001</v>
          </cell>
          <cell r="I82">
            <v>101.66540000000001</v>
          </cell>
        </row>
        <row r="83">
          <cell r="B83">
            <v>41757</v>
          </cell>
          <cell r="C83">
            <v>101.13</v>
          </cell>
          <cell r="D83">
            <v>102.19949999999999</v>
          </cell>
          <cell r="I83">
            <v>101.67479999999999</v>
          </cell>
        </row>
        <row r="84">
          <cell r="B84">
            <v>41758</v>
          </cell>
          <cell r="C84">
            <v>101.56</v>
          </cell>
          <cell r="D84">
            <v>102.1695</v>
          </cell>
          <cell r="I84">
            <v>101.69199999999999</v>
          </cell>
        </row>
        <row r="85">
          <cell r="B85">
            <v>41759</v>
          </cell>
          <cell r="C85">
            <v>100.07</v>
          </cell>
          <cell r="D85">
            <v>102.16899999999998</v>
          </cell>
          <cell r="I85">
            <v>101.71700000000003</v>
          </cell>
        </row>
        <row r="86">
          <cell r="B86">
            <v>41760</v>
          </cell>
          <cell r="C86">
            <v>99.69</v>
          </cell>
          <cell r="D86">
            <v>102.18799999999997</v>
          </cell>
          <cell r="I86">
            <v>101.66760000000001</v>
          </cell>
        </row>
        <row r="87">
          <cell r="B87">
            <v>41761</v>
          </cell>
          <cell r="C87">
            <v>100.09</v>
          </cell>
          <cell r="D87">
            <v>102.19249999999998</v>
          </cell>
          <cell r="I87">
            <v>101.59220000000001</v>
          </cell>
        </row>
        <row r="88">
          <cell r="B88">
            <v>41764</v>
          </cell>
          <cell r="C88">
            <v>99.74</v>
          </cell>
          <cell r="D88">
            <v>102.18249999999998</v>
          </cell>
          <cell r="I88">
            <v>101.53</v>
          </cell>
        </row>
        <row r="89">
          <cell r="B89">
            <v>41765</v>
          </cell>
          <cell r="C89">
            <v>99.81</v>
          </cell>
          <cell r="D89">
            <v>102.11149999999999</v>
          </cell>
          <cell r="I89">
            <v>101.4742</v>
          </cell>
        </row>
        <row r="90">
          <cell r="B90">
            <v>41766</v>
          </cell>
          <cell r="C90">
            <v>101.06</v>
          </cell>
          <cell r="D90">
            <v>102.0805</v>
          </cell>
          <cell r="I90">
            <v>101.40700000000001</v>
          </cell>
        </row>
        <row r="91">
          <cell r="B91">
            <v>41767</v>
          </cell>
          <cell r="C91">
            <v>100.52</v>
          </cell>
          <cell r="D91">
            <v>102.00499999999998</v>
          </cell>
          <cell r="I91">
            <v>101.38420000000002</v>
          </cell>
        </row>
        <row r="92">
          <cell r="B92">
            <v>41768</v>
          </cell>
          <cell r="C92">
            <v>100.32</v>
          </cell>
          <cell r="D92">
            <v>101.8535</v>
          </cell>
          <cell r="I92">
            <v>101.336</v>
          </cell>
        </row>
        <row r="93">
          <cell r="B93">
            <v>41771</v>
          </cell>
          <cell r="C93">
            <v>100.89</v>
          </cell>
          <cell r="D93">
            <v>101.70099999999998</v>
          </cell>
          <cell r="I93">
            <v>101.28879999999999</v>
          </cell>
        </row>
        <row r="94">
          <cell r="B94">
            <v>41772</v>
          </cell>
          <cell r="C94">
            <v>102.01</v>
          </cell>
          <cell r="D94">
            <v>101.5615</v>
          </cell>
          <cell r="I94">
            <v>101.249</v>
          </cell>
        </row>
        <row r="95">
          <cell r="B95">
            <v>41773</v>
          </cell>
          <cell r="C95">
            <v>102.63</v>
          </cell>
          <cell r="D95">
            <v>101.45949999999999</v>
          </cell>
          <cell r="I95">
            <v>101.1824</v>
          </cell>
        </row>
        <row r="96">
          <cell r="B96">
            <v>41774</v>
          </cell>
          <cell r="C96">
            <v>101.74</v>
          </cell>
          <cell r="D96">
            <v>101.40599999999999</v>
          </cell>
          <cell r="I96">
            <v>101.16220000000001</v>
          </cell>
        </row>
        <row r="97">
          <cell r="B97">
            <v>41775</v>
          </cell>
          <cell r="C97">
            <v>102.31</v>
          </cell>
          <cell r="D97">
            <v>101.30749999999999</v>
          </cell>
          <cell r="I97">
            <v>101.16200000000001</v>
          </cell>
        </row>
        <row r="98">
          <cell r="B98">
            <v>41778</v>
          </cell>
          <cell r="C98">
            <v>102.95</v>
          </cell>
          <cell r="D98">
            <v>101.20649999999999</v>
          </cell>
          <cell r="I98">
            <v>101.17180000000002</v>
          </cell>
        </row>
        <row r="99">
          <cell r="B99">
            <v>41779</v>
          </cell>
          <cell r="C99">
            <v>102.8</v>
          </cell>
          <cell r="D99">
            <v>101.1365</v>
          </cell>
          <cell r="I99">
            <v>101.17440000000002</v>
          </cell>
        </row>
        <row r="100">
          <cell r="B100">
            <v>41780</v>
          </cell>
          <cell r="C100">
            <v>104.31</v>
          </cell>
          <cell r="D100">
            <v>101.19199999999999</v>
          </cell>
          <cell r="I100">
            <v>101.20260000000002</v>
          </cell>
        </row>
        <row r="101">
          <cell r="B101">
            <v>41781</v>
          </cell>
          <cell r="C101">
            <v>104.03</v>
          </cell>
          <cell r="D101">
            <v>101.334</v>
          </cell>
          <cell r="I101">
            <v>101.28300000000002</v>
          </cell>
        </row>
        <row r="102">
          <cell r="B102">
            <v>41782</v>
          </cell>
          <cell r="C102">
            <v>105.01</v>
          </cell>
          <cell r="D102">
            <v>101.42549999999999</v>
          </cell>
          <cell r="I102">
            <v>101.3978</v>
          </cell>
        </row>
        <row r="103">
          <cell r="B103">
            <v>41786</v>
          </cell>
          <cell r="C103">
            <v>104.78</v>
          </cell>
          <cell r="D103">
            <v>101.6335</v>
          </cell>
          <cell r="I103">
            <v>101.5266</v>
          </cell>
        </row>
        <row r="104">
          <cell r="B104">
            <v>41787</v>
          </cell>
          <cell r="C104">
            <v>103.37</v>
          </cell>
          <cell r="D104">
            <v>101.81599999999999</v>
          </cell>
          <cell r="I104">
            <v>101.63760000000001</v>
          </cell>
        </row>
        <row r="105">
          <cell r="B105">
            <v>41788</v>
          </cell>
          <cell r="C105">
            <v>104.26</v>
          </cell>
          <cell r="D105">
            <v>101.90649999999998</v>
          </cell>
          <cell r="I105">
            <v>101.73639999999999</v>
          </cell>
        </row>
        <row r="106">
          <cell r="B106">
            <v>41789</v>
          </cell>
          <cell r="C106">
            <v>103.4</v>
          </cell>
          <cell r="D106">
            <v>102.116</v>
          </cell>
          <cell r="I106">
            <v>101.82</v>
          </cell>
        </row>
        <row r="107">
          <cell r="B107">
            <v>41792</v>
          </cell>
          <cell r="C107">
            <v>103.07</v>
          </cell>
          <cell r="D107">
            <v>102.3015</v>
          </cell>
          <cell r="I107">
            <v>101.87380000000002</v>
          </cell>
        </row>
        <row r="108">
          <cell r="B108">
            <v>41793</v>
          </cell>
          <cell r="C108">
            <v>103.34</v>
          </cell>
          <cell r="D108">
            <v>102.45049999999999</v>
          </cell>
          <cell r="I108">
            <v>101.94159999999999</v>
          </cell>
        </row>
        <row r="109">
          <cell r="B109">
            <v>41794</v>
          </cell>
          <cell r="C109">
            <v>103.27</v>
          </cell>
          <cell r="D109">
            <v>102.63050000000001</v>
          </cell>
          <cell r="I109">
            <v>102.00899999999997</v>
          </cell>
        </row>
        <row r="110">
          <cell r="B110">
            <v>41795</v>
          </cell>
          <cell r="C110">
            <v>103.17</v>
          </cell>
          <cell r="D110">
            <v>102.80350000000001</v>
          </cell>
          <cell r="I110">
            <v>102.07340000000001</v>
          </cell>
        </row>
        <row r="111">
          <cell r="B111">
            <v>41796</v>
          </cell>
          <cell r="C111">
            <v>103.32</v>
          </cell>
          <cell r="D111">
            <v>102.90899999999996</v>
          </cell>
          <cell r="I111">
            <v>102.14359999999999</v>
          </cell>
        </row>
        <row r="112">
          <cell r="B112">
            <v>41799</v>
          </cell>
          <cell r="C112">
            <v>105.09</v>
          </cell>
          <cell r="D112">
            <v>103.04900000000001</v>
          </cell>
          <cell r="I112">
            <v>102.1978</v>
          </cell>
        </row>
        <row r="113">
          <cell r="B113">
            <v>41800</v>
          </cell>
          <cell r="C113">
            <v>105.02</v>
          </cell>
          <cell r="D113">
            <v>103.28749999999999</v>
          </cell>
          <cell r="I113">
            <v>102.27460000000001</v>
          </cell>
        </row>
        <row r="114">
          <cell r="B114">
            <v>41801</v>
          </cell>
          <cell r="C114">
            <v>105.04</v>
          </cell>
          <cell r="D114">
            <v>103.494</v>
          </cell>
          <cell r="I114">
            <v>102.34040000000003</v>
          </cell>
        </row>
        <row r="115">
          <cell r="B115">
            <v>41802</v>
          </cell>
          <cell r="C115">
            <v>107.2</v>
          </cell>
          <cell r="D115">
            <v>103.6455</v>
          </cell>
          <cell r="I115">
            <v>102.40980000000002</v>
          </cell>
        </row>
        <row r="116">
          <cell r="B116">
            <v>41803</v>
          </cell>
          <cell r="C116">
            <v>107.49</v>
          </cell>
          <cell r="D116">
            <v>103.87399999999998</v>
          </cell>
          <cell r="I116">
            <v>102.56</v>
          </cell>
        </row>
        <row r="117">
          <cell r="B117">
            <v>41806</v>
          </cell>
          <cell r="C117">
            <v>107.52</v>
          </cell>
          <cell r="D117">
            <v>104.16149999999998</v>
          </cell>
          <cell r="I117">
            <v>102.71780000000001</v>
          </cell>
        </row>
        <row r="118">
          <cell r="B118">
            <v>41807</v>
          </cell>
          <cell r="C118">
            <v>106.95</v>
          </cell>
          <cell r="D118">
            <v>104.422</v>
          </cell>
          <cell r="I118">
            <v>102.86240000000002</v>
          </cell>
        </row>
        <row r="119">
          <cell r="B119">
            <v>41808</v>
          </cell>
          <cell r="C119">
            <v>106.64</v>
          </cell>
          <cell r="D119">
            <v>104.62199999999999</v>
          </cell>
          <cell r="I119">
            <v>102.97820000000003</v>
          </cell>
        </row>
        <row r="120">
          <cell r="B120">
            <v>41809</v>
          </cell>
          <cell r="C120">
            <v>107.08</v>
          </cell>
          <cell r="D120">
            <v>104.81400000000001</v>
          </cell>
          <cell r="I120">
            <v>103.10240000000003</v>
          </cell>
        </row>
        <row r="121">
          <cell r="B121">
            <v>41810</v>
          </cell>
          <cell r="C121">
            <v>107.95</v>
          </cell>
          <cell r="D121">
            <v>104.95250000000001</v>
          </cell>
          <cell r="I121">
            <v>103.19260000000003</v>
          </cell>
        </row>
        <row r="122">
          <cell r="B122">
            <v>41813</v>
          </cell>
          <cell r="C122">
            <v>106.83</v>
          </cell>
          <cell r="D122">
            <v>105.14849999999998</v>
          </cell>
          <cell r="I122">
            <v>103.28060000000004</v>
          </cell>
        </row>
        <row r="123">
          <cell r="B123">
            <v>41814</v>
          </cell>
          <cell r="C123">
            <v>106.64</v>
          </cell>
          <cell r="D123">
            <v>105.23949999999999</v>
          </cell>
          <cell r="I123">
            <v>103.34980000000002</v>
          </cell>
        </row>
        <row r="124">
          <cell r="B124">
            <v>41815</v>
          </cell>
          <cell r="C124">
            <v>107.04</v>
          </cell>
          <cell r="D124">
            <v>105.33250000000001</v>
          </cell>
          <cell r="I124">
            <v>103.40900000000003</v>
          </cell>
        </row>
        <row r="125">
          <cell r="B125">
            <v>41816</v>
          </cell>
          <cell r="C125">
            <v>106.49</v>
          </cell>
          <cell r="D125">
            <v>105.51600000000001</v>
          </cell>
          <cell r="I125">
            <v>103.46880000000003</v>
          </cell>
        </row>
        <row r="126">
          <cell r="B126">
            <v>41817</v>
          </cell>
          <cell r="C126">
            <v>106.46</v>
          </cell>
          <cell r="D126">
            <v>105.62749999999998</v>
          </cell>
          <cell r="I126">
            <v>103.52460000000002</v>
          </cell>
        </row>
        <row r="127">
          <cell r="B127">
            <v>41820</v>
          </cell>
          <cell r="C127">
            <v>106.07</v>
          </cell>
          <cell r="D127">
            <v>105.7805</v>
          </cell>
          <cell r="I127">
            <v>103.57960000000003</v>
          </cell>
        </row>
        <row r="128">
          <cell r="B128">
            <v>41821</v>
          </cell>
          <cell r="C128">
            <v>106.06</v>
          </cell>
          <cell r="D128">
            <v>105.93050000000001</v>
          </cell>
          <cell r="I128">
            <v>103.61440000000002</v>
          </cell>
        </row>
        <row r="129">
          <cell r="B129">
            <v>41822</v>
          </cell>
          <cell r="C129">
            <v>105.18</v>
          </cell>
          <cell r="D129">
            <v>106.06649999999999</v>
          </cell>
          <cell r="I129">
            <v>103.64860000000003</v>
          </cell>
        </row>
        <row r="130">
          <cell r="B130">
            <v>41823</v>
          </cell>
          <cell r="C130">
            <v>104.76</v>
          </cell>
          <cell r="D130">
            <v>106.16199999999999</v>
          </cell>
          <cell r="I130">
            <v>103.71840000000002</v>
          </cell>
        </row>
        <row r="131">
          <cell r="B131">
            <v>41827</v>
          </cell>
          <cell r="C131">
            <v>104.19</v>
          </cell>
          <cell r="D131">
            <v>106.24150000000002</v>
          </cell>
          <cell r="I131">
            <v>103.78420000000001</v>
          </cell>
        </row>
        <row r="132">
          <cell r="B132">
            <v>41828</v>
          </cell>
          <cell r="C132">
            <v>104.06</v>
          </cell>
          <cell r="D132">
            <v>106.285</v>
          </cell>
          <cell r="I132">
            <v>103.82400000000001</v>
          </cell>
        </row>
        <row r="133">
          <cell r="B133">
            <v>41829</v>
          </cell>
          <cell r="C133">
            <v>102.93</v>
          </cell>
          <cell r="D133">
            <v>106.23350000000001</v>
          </cell>
          <cell r="I133">
            <v>103.88820000000001</v>
          </cell>
        </row>
        <row r="134">
          <cell r="B134">
            <v>41830</v>
          </cell>
          <cell r="C134">
            <v>103.61</v>
          </cell>
          <cell r="D134">
            <v>106.12899999999999</v>
          </cell>
          <cell r="I134">
            <v>103.9242</v>
          </cell>
        </row>
        <row r="135">
          <cell r="B135">
            <v>41831</v>
          </cell>
          <cell r="C135">
            <v>101.48</v>
          </cell>
          <cell r="D135">
            <v>106.0575</v>
          </cell>
          <cell r="I135">
            <v>103.96520000000001</v>
          </cell>
        </row>
        <row r="136">
          <cell r="B136">
            <v>41834</v>
          </cell>
          <cell r="C136">
            <v>101.73</v>
          </cell>
          <cell r="D136">
            <v>105.77149999999999</v>
          </cell>
          <cell r="I136">
            <v>103.99339999999998</v>
          </cell>
        </row>
        <row r="137">
          <cell r="B137">
            <v>41835</v>
          </cell>
          <cell r="C137">
            <v>100.56</v>
          </cell>
          <cell r="D137">
            <v>105.48349999999998</v>
          </cell>
          <cell r="I137">
            <v>104.03419999999997</v>
          </cell>
        </row>
        <row r="138">
          <cell r="B138">
            <v>41836</v>
          </cell>
          <cell r="C138">
            <v>101.88</v>
          </cell>
          <cell r="D138">
            <v>105.13550000000001</v>
          </cell>
          <cell r="I138">
            <v>104.04359999999998</v>
          </cell>
        </row>
        <row r="139">
          <cell r="B139">
            <v>41837</v>
          </cell>
          <cell r="C139">
            <v>103.84</v>
          </cell>
          <cell r="D139">
            <v>104.88199999999999</v>
          </cell>
          <cell r="I139">
            <v>104.0864</v>
          </cell>
        </row>
        <row r="140">
          <cell r="B140">
            <v>41838</v>
          </cell>
          <cell r="C140">
            <v>103.83</v>
          </cell>
          <cell r="D140">
            <v>104.742</v>
          </cell>
          <cell r="I140">
            <v>104.16699999999999</v>
          </cell>
        </row>
        <row r="141">
          <cell r="B141">
            <v>41841</v>
          </cell>
          <cell r="C141">
            <v>105.34</v>
          </cell>
          <cell r="D141">
            <v>104.57950000000001</v>
          </cell>
          <cell r="I141">
            <v>104.22239999999996</v>
          </cell>
        </row>
        <row r="142">
          <cell r="B142">
            <v>41842</v>
          </cell>
          <cell r="C142">
            <v>104.59</v>
          </cell>
          <cell r="D142">
            <v>104.44899999999998</v>
          </cell>
          <cell r="I142">
            <v>104.31879999999997</v>
          </cell>
        </row>
        <row r="143">
          <cell r="B143">
            <v>41843</v>
          </cell>
          <cell r="C143">
            <v>103.81</v>
          </cell>
          <cell r="D143">
            <v>104.33699999999999</v>
          </cell>
          <cell r="I143">
            <v>104.40419999999999</v>
          </cell>
        </row>
        <row r="144">
          <cell r="B144">
            <v>41844</v>
          </cell>
          <cell r="C144">
            <v>102.76</v>
          </cell>
          <cell r="D144">
            <v>104.1955</v>
          </cell>
          <cell r="I144">
            <v>104.46259999999998</v>
          </cell>
        </row>
        <row r="145">
          <cell r="B145">
            <v>41845</v>
          </cell>
          <cell r="C145">
            <v>105.23</v>
          </cell>
          <cell r="D145">
            <v>103.98149999999998</v>
          </cell>
          <cell r="I145">
            <v>104.47759999999998</v>
          </cell>
        </row>
        <row r="146">
          <cell r="B146">
            <v>41848</v>
          </cell>
          <cell r="C146">
            <v>105.68</v>
          </cell>
          <cell r="D146">
            <v>103.91849999999997</v>
          </cell>
          <cell r="I146">
            <v>104.52959999999997</v>
          </cell>
        </row>
        <row r="147">
          <cell r="B147">
            <v>41849</v>
          </cell>
          <cell r="C147">
            <v>104.91</v>
          </cell>
          <cell r="D147">
            <v>103.87949999999996</v>
          </cell>
          <cell r="I147">
            <v>104.6084</v>
          </cell>
        </row>
        <row r="148">
          <cell r="B148">
            <v>41850</v>
          </cell>
          <cell r="C148">
            <v>104.29</v>
          </cell>
          <cell r="D148">
            <v>103.82149999999999</v>
          </cell>
          <cell r="I148">
            <v>104.66040000000001</v>
          </cell>
        </row>
        <row r="149">
          <cell r="B149">
            <v>41851</v>
          </cell>
          <cell r="C149">
            <v>98.23</v>
          </cell>
          <cell r="D149">
            <v>103.73299999999999</v>
          </cell>
          <cell r="I149">
            <v>104.68719999999999</v>
          </cell>
        </row>
        <row r="150">
          <cell r="B150">
            <v>41852</v>
          </cell>
          <cell r="C150">
            <v>97.86</v>
          </cell>
          <cell r="D150">
            <v>103.38549999999998</v>
          </cell>
          <cell r="I150">
            <v>104.5958</v>
          </cell>
        </row>
        <row r="151">
          <cell r="B151">
            <v>41855</v>
          </cell>
          <cell r="C151">
            <v>98.26</v>
          </cell>
          <cell r="D151">
            <v>103.04049999999999</v>
          </cell>
          <cell r="I151">
            <v>104.46680000000001</v>
          </cell>
        </row>
        <row r="152">
          <cell r="B152">
            <v>41856</v>
          </cell>
          <cell r="C152">
            <v>97.34</v>
          </cell>
          <cell r="D152">
            <v>102.744</v>
          </cell>
          <cell r="I152">
            <v>104.3514</v>
          </cell>
        </row>
        <row r="153">
          <cell r="B153">
            <v>41857</v>
          </cell>
          <cell r="C153">
            <v>96.93</v>
          </cell>
          <cell r="D153">
            <v>102.40800000000002</v>
          </cell>
          <cell r="I153">
            <v>104.19799999999999</v>
          </cell>
        </row>
        <row r="154">
          <cell r="B154">
            <v>41858</v>
          </cell>
          <cell r="C154">
            <v>97.34</v>
          </cell>
          <cell r="D154">
            <v>102.108</v>
          </cell>
          <cell r="I154">
            <v>104.041</v>
          </cell>
        </row>
        <row r="155">
          <cell r="B155">
            <v>41859</v>
          </cell>
          <cell r="C155">
            <v>97.61</v>
          </cell>
          <cell r="D155">
            <v>101.7945</v>
          </cell>
          <cell r="I155">
            <v>103.92040000000001</v>
          </cell>
        </row>
        <row r="156">
          <cell r="B156">
            <v>41862</v>
          </cell>
          <cell r="C156">
            <v>98.09</v>
          </cell>
          <cell r="D156">
            <v>101.60099999999998</v>
          </cell>
          <cell r="I156">
            <v>103.78739999999999</v>
          </cell>
        </row>
        <row r="157">
          <cell r="B157">
            <v>41863</v>
          </cell>
          <cell r="C157">
            <v>97.36</v>
          </cell>
          <cell r="D157">
            <v>101.41899999999998</v>
          </cell>
          <cell r="I157">
            <v>103.6812</v>
          </cell>
        </row>
        <row r="158">
          <cell r="B158">
            <v>41864</v>
          </cell>
          <cell r="C158">
            <v>97.57</v>
          </cell>
          <cell r="D158">
            <v>101.25899999999999</v>
          </cell>
          <cell r="I158">
            <v>103.56700000000001</v>
          </cell>
        </row>
        <row r="159">
          <cell r="B159">
            <v>41865</v>
          </cell>
          <cell r="C159">
            <v>95.54</v>
          </cell>
          <cell r="D159">
            <v>101.04349999999998</v>
          </cell>
          <cell r="I159">
            <v>103.4516</v>
          </cell>
        </row>
        <row r="160">
          <cell r="B160">
            <v>41866</v>
          </cell>
          <cell r="C160">
            <v>97.3</v>
          </cell>
          <cell r="D160">
            <v>100.62849999999996</v>
          </cell>
          <cell r="I160">
            <v>103.29699999999998</v>
          </cell>
        </row>
        <row r="161">
          <cell r="B161">
            <v>41869</v>
          </cell>
          <cell r="C161">
            <v>96.44</v>
          </cell>
          <cell r="D161">
            <v>100.30199999999998</v>
          </cell>
          <cell r="I161">
            <v>103.17960000000001</v>
          </cell>
        </row>
        <row r="162">
          <cell r="B162">
            <v>41870</v>
          </cell>
          <cell r="C162">
            <v>94.35</v>
          </cell>
          <cell r="D162">
            <v>99.856999999999985</v>
          </cell>
          <cell r="I162">
            <v>103.04199999999999</v>
          </cell>
        </row>
        <row r="163">
          <cell r="B163">
            <v>41871</v>
          </cell>
          <cell r="C163">
            <v>96.4</v>
          </cell>
          <cell r="D163">
            <v>99.34499999999997</v>
          </cell>
          <cell r="I163">
            <v>102.8272</v>
          </cell>
        </row>
        <row r="164">
          <cell r="B164">
            <v>41872</v>
          </cell>
          <cell r="C164">
            <v>93.97</v>
          </cell>
          <cell r="D164">
            <v>98.974499999999978</v>
          </cell>
          <cell r="I164">
            <v>102.65479999999999</v>
          </cell>
        </row>
        <row r="165">
          <cell r="B165">
            <v>41873</v>
          </cell>
          <cell r="C165">
            <v>93.61</v>
          </cell>
          <cell r="D165">
            <v>98.534999999999997</v>
          </cell>
          <cell r="I165">
            <v>102.43340000000001</v>
          </cell>
        </row>
        <row r="166">
          <cell r="B166">
            <v>41876</v>
          </cell>
          <cell r="C166">
            <v>95.39</v>
          </cell>
          <cell r="D166">
            <v>97.953999999999979</v>
          </cell>
          <cell r="I166">
            <v>102.16159999999999</v>
          </cell>
        </row>
        <row r="167">
          <cell r="B167">
            <v>41877</v>
          </cell>
          <cell r="C167">
            <v>95.78</v>
          </cell>
          <cell r="D167">
            <v>97.439499999999995</v>
          </cell>
          <cell r="I167">
            <v>101.91959999999999</v>
          </cell>
        </row>
        <row r="168">
          <cell r="B168">
            <v>41878</v>
          </cell>
          <cell r="C168">
            <v>95.82</v>
          </cell>
          <cell r="D168">
            <v>96.983000000000004</v>
          </cell>
          <cell r="I168">
            <v>101.68480000000001</v>
          </cell>
        </row>
        <row r="169">
          <cell r="B169">
            <v>41879</v>
          </cell>
          <cell r="C169">
            <v>96.44</v>
          </cell>
          <cell r="D169">
            <v>96.5595</v>
          </cell>
          <cell r="I169">
            <v>101.46220000000001</v>
          </cell>
        </row>
        <row r="170">
          <cell r="B170">
            <v>41880</v>
          </cell>
          <cell r="C170">
            <v>97.86</v>
          </cell>
          <cell r="D170">
            <v>96.47</v>
          </cell>
          <cell r="I170">
            <v>101.25820000000002</v>
          </cell>
        </row>
        <row r="171">
          <cell r="B171">
            <v>41884</v>
          </cell>
          <cell r="C171">
            <v>92.92</v>
          </cell>
          <cell r="D171">
            <v>96.47</v>
          </cell>
          <cell r="I171">
            <v>101.07379999999999</v>
          </cell>
        </row>
        <row r="172">
          <cell r="B172">
            <v>41885</v>
          </cell>
          <cell r="C172">
            <v>95.5</v>
          </cell>
          <cell r="D172">
            <v>96.203000000000003</v>
          </cell>
          <cell r="I172">
            <v>100.7732</v>
          </cell>
        </row>
        <row r="173">
          <cell r="B173">
            <v>41886</v>
          </cell>
          <cell r="C173">
            <v>94.51</v>
          </cell>
          <cell r="D173">
            <v>96.111000000000004</v>
          </cell>
          <cell r="I173">
            <v>100.5466</v>
          </cell>
        </row>
        <row r="174">
          <cell r="B174">
            <v>41887</v>
          </cell>
          <cell r="C174">
            <v>93.32</v>
          </cell>
          <cell r="D174">
            <v>95.99</v>
          </cell>
          <cell r="I174">
            <v>100.304</v>
          </cell>
        </row>
        <row r="175">
          <cell r="B175">
            <v>41890</v>
          </cell>
          <cell r="C175">
            <v>92.64</v>
          </cell>
          <cell r="D175">
            <v>95.789000000000001</v>
          </cell>
          <cell r="I175">
            <v>100.02959999999999</v>
          </cell>
        </row>
        <row r="176">
          <cell r="B176">
            <v>41891</v>
          </cell>
          <cell r="C176">
            <v>92.73</v>
          </cell>
          <cell r="D176">
            <v>95.540499999999994</v>
          </cell>
          <cell r="I176">
            <v>99.752599999999987</v>
          </cell>
        </row>
        <row r="177">
          <cell r="B177">
            <v>41892</v>
          </cell>
          <cell r="C177">
            <v>91.71</v>
          </cell>
          <cell r="D177">
            <v>95.272500000000008</v>
          </cell>
          <cell r="I177">
            <v>99.47799999999998</v>
          </cell>
        </row>
        <row r="178">
          <cell r="B178">
            <v>41893</v>
          </cell>
          <cell r="C178">
            <v>92.89</v>
          </cell>
          <cell r="D178">
            <v>94.990000000000009</v>
          </cell>
          <cell r="I178">
            <v>99.190799999999996</v>
          </cell>
        </row>
        <row r="179">
          <cell r="B179">
            <v>41894</v>
          </cell>
          <cell r="C179">
            <v>92.18</v>
          </cell>
          <cell r="D179">
            <v>94.756</v>
          </cell>
          <cell r="I179">
            <v>98.92740000000002</v>
          </cell>
        </row>
        <row r="180">
          <cell r="B180">
            <v>41897</v>
          </cell>
          <cell r="C180">
            <v>92.86</v>
          </cell>
          <cell r="D180">
            <v>94.588000000000008</v>
          </cell>
          <cell r="I180">
            <v>98.667400000000029</v>
          </cell>
        </row>
        <row r="181">
          <cell r="B181">
            <v>41898</v>
          </cell>
          <cell r="C181">
            <v>94.91</v>
          </cell>
          <cell r="D181">
            <v>94.366000000000014</v>
          </cell>
          <cell r="I181">
            <v>98.42940000000003</v>
          </cell>
        </row>
        <row r="182">
          <cell r="B182">
            <v>41899</v>
          </cell>
          <cell r="C182">
            <v>94.33</v>
          </cell>
          <cell r="D182">
            <v>94.289500000000004</v>
          </cell>
          <cell r="I182">
            <v>98.243800000000022</v>
          </cell>
        </row>
        <row r="183">
          <cell r="B183">
            <v>41900</v>
          </cell>
          <cell r="C183">
            <v>93.07</v>
          </cell>
          <cell r="D183">
            <v>94.288500000000013</v>
          </cell>
          <cell r="I183">
            <v>98.049200000000042</v>
          </cell>
        </row>
        <row r="184">
          <cell r="B184">
            <v>41901</v>
          </cell>
          <cell r="C184">
            <v>92.43</v>
          </cell>
          <cell r="D184">
            <v>94.122</v>
          </cell>
          <cell r="I184">
            <v>97.852000000000032</v>
          </cell>
        </row>
        <row r="185">
          <cell r="B185">
            <v>41904</v>
          </cell>
          <cell r="C185">
            <v>91.46</v>
          </cell>
          <cell r="D185">
            <v>94.045000000000002</v>
          </cell>
          <cell r="I185">
            <v>97.628400000000013</v>
          </cell>
        </row>
        <row r="186">
          <cell r="B186">
            <v>41905</v>
          </cell>
          <cell r="C186">
            <v>91.55</v>
          </cell>
          <cell r="D186">
            <v>93.9375</v>
          </cell>
          <cell r="I186">
            <v>97.428000000000011</v>
          </cell>
        </row>
        <row r="187">
          <cell r="B187">
            <v>41906</v>
          </cell>
          <cell r="C187">
            <v>93.6</v>
          </cell>
          <cell r="D187">
            <v>93.745499999999993</v>
          </cell>
          <cell r="I187">
            <v>97.224400000000017</v>
          </cell>
        </row>
        <row r="188">
          <cell r="B188">
            <v>41907</v>
          </cell>
          <cell r="C188">
            <v>93.59</v>
          </cell>
          <cell r="D188">
            <v>93.636499999999998</v>
          </cell>
          <cell r="I188">
            <v>97.0852</v>
          </cell>
        </row>
        <row r="189">
          <cell r="B189">
            <v>41908</v>
          </cell>
          <cell r="C189">
            <v>95.55</v>
          </cell>
          <cell r="D189">
            <v>93.524999999999991</v>
          </cell>
          <cell r="I189">
            <v>96.919400000000024</v>
          </cell>
        </row>
        <row r="190">
          <cell r="B190">
            <v>41911</v>
          </cell>
          <cell r="C190">
            <v>94.53</v>
          </cell>
          <cell r="D190">
            <v>93.480499999999978</v>
          </cell>
          <cell r="I190">
            <v>96.75360000000002</v>
          </cell>
        </row>
        <row r="191">
          <cell r="B191">
            <v>41912</v>
          </cell>
          <cell r="C191">
            <v>91.17</v>
          </cell>
          <cell r="D191">
            <v>93.313999999999993</v>
          </cell>
          <cell r="I191">
            <v>96.567600000000027</v>
          </cell>
        </row>
        <row r="192">
          <cell r="B192">
            <v>41913</v>
          </cell>
          <cell r="C192">
            <v>90.74</v>
          </cell>
          <cell r="D192">
            <v>93.226499999999987</v>
          </cell>
          <cell r="I192">
            <v>96.284200000000013</v>
          </cell>
        </row>
        <row r="193">
          <cell r="B193">
            <v>41914</v>
          </cell>
          <cell r="C193">
            <v>91.02</v>
          </cell>
          <cell r="D193">
            <v>92.988500000000002</v>
          </cell>
          <cell r="I193">
            <v>96.007199999999997</v>
          </cell>
        </row>
        <row r="194">
          <cell r="B194">
            <v>41915</v>
          </cell>
          <cell r="C194">
            <v>89.76</v>
          </cell>
          <cell r="D194">
            <v>92.813999999999993</v>
          </cell>
          <cell r="I194">
            <v>95.751400000000018</v>
          </cell>
        </row>
        <row r="195">
          <cell r="B195">
            <v>41918</v>
          </cell>
          <cell r="C195">
            <v>90.33</v>
          </cell>
          <cell r="D195">
            <v>92.635999999999996</v>
          </cell>
          <cell r="I195">
            <v>95.491400000000027</v>
          </cell>
        </row>
        <row r="196">
          <cell r="B196">
            <v>41919</v>
          </cell>
          <cell r="C196">
            <v>88.89</v>
          </cell>
          <cell r="D196">
            <v>92.520499999999998</v>
          </cell>
          <cell r="I196">
            <v>95.193400000000025</v>
          </cell>
        </row>
        <row r="197">
          <cell r="B197">
            <v>41920</v>
          </cell>
          <cell r="C197">
            <v>87.29</v>
          </cell>
          <cell r="D197">
            <v>92.328500000000005</v>
          </cell>
          <cell r="I197">
            <v>94.857600000000019</v>
          </cell>
        </row>
        <row r="198">
          <cell r="B198">
            <v>41921</v>
          </cell>
          <cell r="C198">
            <v>85.76</v>
          </cell>
          <cell r="D198">
            <v>92.107500000000002</v>
          </cell>
          <cell r="I198">
            <v>94.505200000000016</v>
          </cell>
        </row>
        <row r="199">
          <cell r="B199">
            <v>41922</v>
          </cell>
          <cell r="C199">
            <v>85.87</v>
          </cell>
          <cell r="D199">
            <v>91.751000000000005</v>
          </cell>
          <cell r="I199">
            <v>94.134600000000049</v>
          </cell>
        </row>
        <row r="200">
          <cell r="B200">
            <v>41925</v>
          </cell>
          <cell r="C200">
            <v>85.73</v>
          </cell>
          <cell r="D200">
            <v>91.435500000000005</v>
          </cell>
          <cell r="I200">
            <v>93.887400000000014</v>
          </cell>
        </row>
        <row r="201">
          <cell r="B201">
            <v>41926</v>
          </cell>
          <cell r="C201">
            <v>81.72</v>
          </cell>
          <cell r="D201">
            <v>91.078999999999994</v>
          </cell>
          <cell r="I201">
            <v>93.644799999999989</v>
          </cell>
        </row>
        <row r="202">
          <cell r="B202">
            <v>41927</v>
          </cell>
          <cell r="C202">
            <v>81.819999999999993</v>
          </cell>
          <cell r="D202">
            <v>90.419499999999999</v>
          </cell>
          <cell r="I202">
            <v>93.314000000000021</v>
          </cell>
        </row>
        <row r="203">
          <cell r="B203">
            <v>41928</v>
          </cell>
          <cell r="C203">
            <v>82.33</v>
          </cell>
          <cell r="D203">
            <v>89.794000000000011</v>
          </cell>
          <cell r="I203">
            <v>93.003600000000006</v>
          </cell>
        </row>
        <row r="204">
          <cell r="B204">
            <v>41929</v>
          </cell>
          <cell r="C204">
            <v>82.8</v>
          </cell>
          <cell r="D204">
            <v>89.256999999999991</v>
          </cell>
          <cell r="I204">
            <v>92.711600000000004</v>
          </cell>
        </row>
        <row r="205">
          <cell r="B205">
            <v>41932</v>
          </cell>
          <cell r="C205">
            <v>82.76</v>
          </cell>
          <cell r="D205">
            <v>88.775499999999994</v>
          </cell>
          <cell r="I205">
            <v>92.4208</v>
          </cell>
        </row>
        <row r="206">
          <cell r="B206">
            <v>41933</v>
          </cell>
          <cell r="C206">
            <v>83.25</v>
          </cell>
          <cell r="D206">
            <v>88.340499999999992</v>
          </cell>
          <cell r="I206">
            <v>92.123800000000017</v>
          </cell>
        </row>
        <row r="207">
          <cell r="B207">
            <v>41934</v>
          </cell>
          <cell r="C207">
            <v>80.52</v>
          </cell>
          <cell r="D207">
            <v>87.925499999999985</v>
          </cell>
          <cell r="I207">
            <v>91.827000000000012</v>
          </cell>
        </row>
        <row r="208">
          <cell r="B208">
            <v>41935</v>
          </cell>
          <cell r="C208">
            <v>82.81</v>
          </cell>
          <cell r="D208">
            <v>87.271499999999989</v>
          </cell>
          <cell r="I208">
            <v>91.490200000000016</v>
          </cell>
        </row>
        <row r="209">
          <cell r="B209">
            <v>41936</v>
          </cell>
          <cell r="C209">
            <v>81.27</v>
          </cell>
          <cell r="D209">
            <v>86.732499999999987</v>
          </cell>
          <cell r="I209">
            <v>91.195000000000036</v>
          </cell>
        </row>
        <row r="210">
          <cell r="B210">
            <v>41939</v>
          </cell>
          <cell r="C210">
            <v>81.260000000000005</v>
          </cell>
          <cell r="D210">
            <v>86.018499999999989</v>
          </cell>
          <cell r="I210">
            <v>90.90960000000004</v>
          </cell>
        </row>
        <row r="211">
          <cell r="B211">
            <v>41940</v>
          </cell>
          <cell r="C211">
            <v>81.36</v>
          </cell>
          <cell r="D211">
            <v>85.35499999999999</v>
          </cell>
          <cell r="I211">
            <v>90.588800000000049</v>
          </cell>
        </row>
        <row r="212">
          <cell r="B212">
            <v>41941</v>
          </cell>
          <cell r="C212">
            <v>82.25</v>
          </cell>
          <cell r="D212">
            <v>84.864499999999992</v>
          </cell>
          <cell r="I212">
            <v>90.287200000000041</v>
          </cell>
        </row>
        <row r="213">
          <cell r="B213">
            <v>41942</v>
          </cell>
          <cell r="C213">
            <v>81.06</v>
          </cell>
          <cell r="D213">
            <v>84.44</v>
          </cell>
          <cell r="I213">
            <v>90.045200000000023</v>
          </cell>
        </row>
        <row r="214">
          <cell r="B214">
            <v>41943</v>
          </cell>
          <cell r="C214">
            <v>80.53</v>
          </cell>
          <cell r="D214">
            <v>83.941999999999993</v>
          </cell>
          <cell r="I214">
            <v>89.738400000000013</v>
          </cell>
        </row>
        <row r="215">
          <cell r="B215">
            <v>41946</v>
          </cell>
          <cell r="C215">
            <v>78.77</v>
          </cell>
          <cell r="D215">
            <v>83.480499999999992</v>
          </cell>
          <cell r="I215">
            <v>89.469600000000014</v>
          </cell>
        </row>
        <row r="216">
          <cell r="B216">
            <v>41947</v>
          </cell>
          <cell r="C216">
            <v>77.150000000000006</v>
          </cell>
          <cell r="D216">
            <v>82.902499999999989</v>
          </cell>
          <cell r="I216">
            <v>89.172800000000024</v>
          </cell>
        </row>
        <row r="217">
          <cell r="B217">
            <v>41948</v>
          </cell>
          <cell r="C217">
            <v>78.709999999999994</v>
          </cell>
          <cell r="D217">
            <v>82.315499999999986</v>
          </cell>
          <cell r="I217">
            <v>88.808000000000035</v>
          </cell>
        </row>
        <row r="218">
          <cell r="B218">
            <v>41949</v>
          </cell>
          <cell r="C218">
            <v>77.87</v>
          </cell>
          <cell r="D218">
            <v>81.886499999999984</v>
          </cell>
          <cell r="I218">
            <v>88.466600000000014</v>
          </cell>
        </row>
        <row r="219">
          <cell r="B219">
            <v>41950</v>
          </cell>
          <cell r="C219">
            <v>78.709999999999994</v>
          </cell>
          <cell r="D219">
            <v>81.49199999999999</v>
          </cell>
          <cell r="I219">
            <v>88.107600000000005</v>
          </cell>
        </row>
        <row r="220">
          <cell r="B220">
            <v>41953</v>
          </cell>
          <cell r="C220">
            <v>77.430000000000007</v>
          </cell>
          <cell r="D220">
            <v>81.134000000000015</v>
          </cell>
          <cell r="I220">
            <v>87.752999999999986</v>
          </cell>
        </row>
        <row r="221">
          <cell r="B221">
            <v>41954</v>
          </cell>
          <cell r="C221">
            <v>77.849999999999994</v>
          </cell>
          <cell r="D221">
            <v>80.719000000000023</v>
          </cell>
          <cell r="I221">
            <v>87.344400000000007</v>
          </cell>
        </row>
        <row r="222">
          <cell r="B222">
            <v>41955</v>
          </cell>
          <cell r="C222">
            <v>77.16</v>
          </cell>
          <cell r="D222">
            <v>80.525499999999994</v>
          </cell>
          <cell r="I222">
            <v>87.043000000000035</v>
          </cell>
        </row>
        <row r="223">
          <cell r="B223">
            <v>41956</v>
          </cell>
          <cell r="C223">
            <v>74.13</v>
          </cell>
          <cell r="D223">
            <v>80.292500000000018</v>
          </cell>
          <cell r="I223">
            <v>86.676200000000023</v>
          </cell>
        </row>
        <row r="224">
          <cell r="B224">
            <v>41957</v>
          </cell>
          <cell r="C224">
            <v>75.91</v>
          </cell>
          <cell r="D224">
            <v>79.882500000000007</v>
          </cell>
          <cell r="I224">
            <v>86.268600000000006</v>
          </cell>
        </row>
        <row r="225">
          <cell r="B225">
            <v>41960</v>
          </cell>
          <cell r="C225">
            <v>75.64</v>
          </cell>
          <cell r="D225">
            <v>79.537999999999997</v>
          </cell>
          <cell r="I225">
            <v>85.920400000000015</v>
          </cell>
        </row>
        <row r="226">
          <cell r="B226">
            <v>41961</v>
          </cell>
          <cell r="C226">
            <v>74.55</v>
          </cell>
          <cell r="D226">
            <v>79.182000000000016</v>
          </cell>
          <cell r="I226">
            <v>85.580400000000012</v>
          </cell>
        </row>
        <row r="227">
          <cell r="B227">
            <v>41962</v>
          </cell>
          <cell r="C227">
            <v>74.55</v>
          </cell>
          <cell r="D227">
            <v>78.747000000000014</v>
          </cell>
          <cell r="I227">
            <v>85.216800000000021</v>
          </cell>
        </row>
        <row r="228">
          <cell r="B228">
            <v>41963</v>
          </cell>
          <cell r="C228">
            <v>75.63</v>
          </cell>
          <cell r="D228">
            <v>78.44850000000001</v>
          </cell>
          <cell r="I228">
            <v>84.87360000000001</v>
          </cell>
        </row>
        <row r="229">
          <cell r="B229">
            <v>41964</v>
          </cell>
          <cell r="C229">
            <v>76.52</v>
          </cell>
          <cell r="D229">
            <v>78.089500000000015</v>
          </cell>
          <cell r="I229">
            <v>84.528400000000005</v>
          </cell>
        </row>
        <row r="230">
          <cell r="B230">
            <v>41967</v>
          </cell>
          <cell r="C230">
            <v>75.739999999999995</v>
          </cell>
          <cell r="D230">
            <v>77.852000000000018</v>
          </cell>
          <cell r="I230">
            <v>84.215200000000024</v>
          </cell>
        </row>
        <row r="231">
          <cell r="B231">
            <v>41968</v>
          </cell>
          <cell r="C231">
            <v>74.040000000000006</v>
          </cell>
          <cell r="D231">
            <v>77.576000000000008</v>
          </cell>
          <cell r="I231">
            <v>83.872800000000012</v>
          </cell>
        </row>
        <row r="232">
          <cell r="B232">
            <v>41969</v>
          </cell>
          <cell r="C232">
            <v>73.7</v>
          </cell>
          <cell r="D232">
            <v>77.210000000000008</v>
          </cell>
          <cell r="I232">
            <v>83.455400000000012</v>
          </cell>
        </row>
        <row r="233">
          <cell r="B233">
            <v>41971</v>
          </cell>
          <cell r="C233">
            <v>65.94</v>
          </cell>
          <cell r="D233">
            <v>76.782499999999999</v>
          </cell>
          <cell r="I233">
            <v>83.0428</v>
          </cell>
        </row>
        <row r="234">
          <cell r="B234">
            <v>41974</v>
          </cell>
          <cell r="C234">
            <v>68.98</v>
          </cell>
          <cell r="D234">
            <v>76.026500000000013</v>
          </cell>
          <cell r="I234">
            <v>82.500199999999992</v>
          </cell>
        </row>
        <row r="235">
          <cell r="B235">
            <v>41975</v>
          </cell>
          <cell r="C235">
            <v>66.989999999999995</v>
          </cell>
          <cell r="D235">
            <v>75.448999999999998</v>
          </cell>
          <cell r="I235">
            <v>82.031199999999984</v>
          </cell>
        </row>
        <row r="236">
          <cell r="B236">
            <v>41976</v>
          </cell>
          <cell r="C236">
            <v>67.3</v>
          </cell>
          <cell r="D236">
            <v>74.86</v>
          </cell>
          <cell r="I236">
            <v>81.541799999999995</v>
          </cell>
        </row>
        <row r="237">
          <cell r="B237">
            <v>41977</v>
          </cell>
          <cell r="C237">
            <v>66.73</v>
          </cell>
          <cell r="D237">
            <v>74.367499999999978</v>
          </cell>
          <cell r="I237">
            <v>81.056799999999996</v>
          </cell>
        </row>
        <row r="238">
          <cell r="B238">
            <v>41978</v>
          </cell>
          <cell r="C238">
            <v>65.89</v>
          </cell>
          <cell r="D238">
            <v>73.768499999999989</v>
          </cell>
          <cell r="I238">
            <v>80.51939999999999</v>
          </cell>
        </row>
        <row r="239">
          <cell r="B239">
            <v>41981</v>
          </cell>
          <cell r="C239">
            <v>63.13</v>
          </cell>
          <cell r="D239">
            <v>73.169499999999999</v>
          </cell>
          <cell r="I239">
            <v>79.965399999999988</v>
          </cell>
        </row>
        <row r="240">
          <cell r="B240">
            <v>41982</v>
          </cell>
          <cell r="C240">
            <v>63.74</v>
          </cell>
          <cell r="D240">
            <v>72.390500000000003</v>
          </cell>
          <cell r="I240">
            <v>79.316999999999979</v>
          </cell>
        </row>
        <row r="241">
          <cell r="B241">
            <v>41983</v>
          </cell>
          <cell r="C241">
            <v>60.99</v>
          </cell>
          <cell r="D241">
            <v>71.706000000000003</v>
          </cell>
          <cell r="I241">
            <v>78.701199999999986</v>
          </cell>
        </row>
        <row r="242">
          <cell r="B242">
            <v>41984</v>
          </cell>
          <cell r="C242">
            <v>60.01</v>
          </cell>
          <cell r="D242">
            <v>70.863000000000014</v>
          </cell>
          <cell r="I242">
            <v>78.097599999999971</v>
          </cell>
        </row>
        <row r="243">
          <cell r="B243">
            <v>41985</v>
          </cell>
          <cell r="C243">
            <v>57.81</v>
          </cell>
          <cell r="D243">
            <v>70.005500000000012</v>
          </cell>
          <cell r="I243">
            <v>77.48299999999999</v>
          </cell>
        </row>
        <row r="244">
          <cell r="B244">
            <v>41988</v>
          </cell>
          <cell r="C244">
            <v>55.96</v>
          </cell>
          <cell r="D244">
            <v>69.18950000000001</v>
          </cell>
          <cell r="I244">
            <v>76.818799999999982</v>
          </cell>
        </row>
        <row r="245">
          <cell r="B245">
            <v>41989</v>
          </cell>
          <cell r="C245">
            <v>55.97</v>
          </cell>
          <cell r="D245">
            <v>68.191999999999993</v>
          </cell>
          <cell r="I245">
            <v>76.142799999999994</v>
          </cell>
        </row>
        <row r="246">
          <cell r="B246">
            <v>41990</v>
          </cell>
          <cell r="C246">
            <v>56.43</v>
          </cell>
          <cell r="D246">
            <v>67.208500000000001</v>
          </cell>
          <cell r="I246">
            <v>75.45559999999999</v>
          </cell>
        </row>
        <row r="247">
          <cell r="B247">
            <v>41991</v>
          </cell>
          <cell r="C247">
            <v>54.18</v>
          </cell>
          <cell r="D247">
            <v>66.302499999999995</v>
          </cell>
          <cell r="I247">
            <v>74.806399999999982</v>
          </cell>
        </row>
        <row r="248">
          <cell r="B248">
            <v>41992</v>
          </cell>
          <cell r="C248">
            <v>56.91</v>
          </cell>
          <cell r="D248">
            <v>65.284000000000006</v>
          </cell>
          <cell r="I248">
            <v>74.144199999999984</v>
          </cell>
        </row>
        <row r="249">
          <cell r="B249">
            <v>41995</v>
          </cell>
          <cell r="C249">
            <v>55.25</v>
          </cell>
          <cell r="D249">
            <v>64.348000000000013</v>
          </cell>
          <cell r="I249">
            <v>73.567199999999971</v>
          </cell>
        </row>
        <row r="250">
          <cell r="B250">
            <v>41996</v>
          </cell>
          <cell r="C250">
            <v>56.78</v>
          </cell>
          <cell r="D250">
            <v>63.284500000000016</v>
          </cell>
          <cell r="I250">
            <v>72.954799999999992</v>
          </cell>
        </row>
        <row r="251">
          <cell r="B251">
            <v>41997</v>
          </cell>
          <cell r="C251">
            <v>55.7</v>
          </cell>
          <cell r="D251">
            <v>62.336500000000001</v>
          </cell>
          <cell r="I251">
            <v>72.375799999999998</v>
          </cell>
        </row>
        <row r="252">
          <cell r="B252">
            <v>41999</v>
          </cell>
          <cell r="C252">
            <v>54.59</v>
          </cell>
          <cell r="D252">
            <v>61.419500000000006</v>
          </cell>
          <cell r="I252">
            <v>71.855399999999975</v>
          </cell>
        </row>
        <row r="253">
          <cell r="B253">
            <v>42002</v>
          </cell>
          <cell r="C253">
            <v>53.46</v>
          </cell>
          <cell r="D253">
            <v>60.463999999999999</v>
          </cell>
          <cell r="I253">
            <v>71.310799999999986</v>
          </cell>
        </row>
        <row r="254">
          <cell r="B254">
            <v>42003</v>
          </cell>
          <cell r="C254">
            <v>54.14</v>
          </cell>
          <cell r="D254">
            <v>59.839999999999996</v>
          </cell>
          <cell r="I254">
            <v>70.733399999999989</v>
          </cell>
        </row>
        <row r="255">
          <cell r="B255">
            <v>42004</v>
          </cell>
          <cell r="C255">
            <v>53.45</v>
          </cell>
          <cell r="D255">
            <v>59.097999999999999</v>
          </cell>
          <cell r="I255">
            <v>70.160199999999989</v>
          </cell>
        </row>
        <row r="256">
          <cell r="B256">
            <v>42005</v>
          </cell>
          <cell r="C256">
            <v>53.45</v>
          </cell>
          <cell r="D256">
            <v>58.421000000000006</v>
          </cell>
          <cell r="I256">
            <v>69.573999999999984</v>
          </cell>
        </row>
        <row r="257">
          <cell r="B257">
            <v>42006</v>
          </cell>
          <cell r="C257">
            <v>52.72</v>
          </cell>
          <cell r="D257">
            <v>57.728500000000011</v>
          </cell>
          <cell r="I257">
            <v>68.97799999999998</v>
          </cell>
        </row>
        <row r="258">
          <cell r="B258">
            <v>42009</v>
          </cell>
          <cell r="C258">
            <v>50.05</v>
          </cell>
          <cell r="D258">
            <v>57.027999999999999</v>
          </cell>
          <cell r="I258">
            <v>68.421999999999983</v>
          </cell>
        </row>
        <row r="259">
          <cell r="B259">
            <v>42010</v>
          </cell>
          <cell r="C259">
            <v>47.98</v>
          </cell>
          <cell r="D259">
            <v>56.236000000000004</v>
          </cell>
          <cell r="I259">
            <v>67.766799999999989</v>
          </cell>
        </row>
        <row r="260">
          <cell r="B260">
            <v>42011</v>
          </cell>
          <cell r="C260">
            <v>48.69</v>
          </cell>
          <cell r="D260">
            <v>55.478500000000011</v>
          </cell>
          <cell r="I260">
            <v>67.100999999999985</v>
          </cell>
        </row>
        <row r="261">
          <cell r="B261">
            <v>42012</v>
          </cell>
          <cell r="C261">
            <v>48.8</v>
          </cell>
          <cell r="D261">
            <v>54.726000000000013</v>
          </cell>
          <cell r="I261">
            <v>66.449599999999975</v>
          </cell>
        </row>
        <row r="262">
          <cell r="B262">
            <v>42013</v>
          </cell>
          <cell r="C262">
            <v>48.35</v>
          </cell>
          <cell r="D262">
            <v>54.116500000000009</v>
          </cell>
          <cell r="I262">
            <v>65.798399999999987</v>
          </cell>
        </row>
        <row r="263">
          <cell r="B263">
            <v>42016</v>
          </cell>
          <cell r="C263">
            <v>46.06</v>
          </cell>
          <cell r="D263">
            <v>53.533499999999989</v>
          </cell>
          <cell r="I263">
            <v>65.120399999999989</v>
          </cell>
        </row>
        <row r="264">
          <cell r="B264">
            <v>42017</v>
          </cell>
          <cell r="C264">
            <v>45.92</v>
          </cell>
          <cell r="D264">
            <v>52.946000000000005</v>
          </cell>
          <cell r="I264">
            <v>64.420399999999987</v>
          </cell>
        </row>
        <row r="265">
          <cell r="B265">
            <v>42018</v>
          </cell>
          <cell r="C265">
            <v>48.49</v>
          </cell>
          <cell r="D265">
            <v>52.444000000000003</v>
          </cell>
          <cell r="I265">
            <v>63.728199999999987</v>
          </cell>
        </row>
        <row r="266">
          <cell r="B266">
            <v>42019</v>
          </cell>
          <cell r="C266">
            <v>46.37</v>
          </cell>
          <cell r="D266">
            <v>52.069999999999993</v>
          </cell>
          <cell r="I266">
            <v>63.122599999999984</v>
          </cell>
        </row>
        <row r="267">
          <cell r="B267">
            <v>42020</v>
          </cell>
          <cell r="C267">
            <v>48.49</v>
          </cell>
          <cell r="D267">
            <v>51.566999999999993</v>
          </cell>
          <cell r="I267">
            <v>62.506999999999977</v>
          </cell>
        </row>
        <row r="268">
          <cell r="B268">
            <v>42024</v>
          </cell>
          <cell r="C268">
            <v>46.79</v>
          </cell>
          <cell r="D268">
            <v>51.282499999999992</v>
          </cell>
          <cell r="I268">
            <v>61.902599999999985</v>
          </cell>
        </row>
        <row r="269">
          <cell r="B269">
            <v>42025</v>
          </cell>
          <cell r="C269">
            <v>47.85</v>
          </cell>
          <cell r="D269">
            <v>50.776499999999999</v>
          </cell>
          <cell r="I269">
            <v>61.280999999999985</v>
          </cell>
        </row>
        <row r="270">
          <cell r="B270">
            <v>42026</v>
          </cell>
          <cell r="C270">
            <v>45.93</v>
          </cell>
          <cell r="D270">
            <v>50.406500000000001</v>
          </cell>
          <cell r="I270">
            <v>60.663799999999995</v>
          </cell>
        </row>
        <row r="271">
          <cell r="B271">
            <v>42027</v>
          </cell>
          <cell r="C271">
            <v>45.26</v>
          </cell>
          <cell r="D271">
            <v>49.863999999999997</v>
          </cell>
          <cell r="I271">
            <v>60.033799999999985</v>
          </cell>
        </row>
        <row r="272">
          <cell r="B272">
            <v>42030</v>
          </cell>
          <cell r="C272">
            <v>44.8</v>
          </cell>
          <cell r="D272">
            <v>49.341999999999999</v>
          </cell>
          <cell r="I272">
            <v>59.381999999999991</v>
          </cell>
        </row>
        <row r="273">
          <cell r="B273">
            <v>42031</v>
          </cell>
          <cell r="C273">
            <v>45.84</v>
          </cell>
          <cell r="D273">
            <v>48.852499999999999</v>
          </cell>
          <cell r="I273">
            <v>58.734799999999993</v>
          </cell>
        </row>
        <row r="274">
          <cell r="B274">
            <v>42032</v>
          </cell>
          <cell r="C274">
            <v>44.08</v>
          </cell>
          <cell r="D274">
            <v>48.471499999999999</v>
          </cell>
          <cell r="I274">
            <v>58.169000000000004</v>
          </cell>
        </row>
        <row r="275">
          <cell r="B275">
            <v>42033</v>
          </cell>
          <cell r="C275">
            <v>44.12</v>
          </cell>
          <cell r="D275">
            <v>47.968499999999999</v>
          </cell>
          <cell r="I275">
            <v>57.53240000000001</v>
          </cell>
        </row>
        <row r="276">
          <cell r="B276">
            <v>42034</v>
          </cell>
          <cell r="C276">
            <v>47.79</v>
          </cell>
          <cell r="D276">
            <v>47.501999999999995</v>
          </cell>
          <cell r="I276">
            <v>56.902000000000008</v>
          </cell>
        </row>
        <row r="277">
          <cell r="B277">
            <v>42037</v>
          </cell>
          <cell r="C277">
            <v>49.25</v>
          </cell>
          <cell r="D277">
            <v>47.219000000000001</v>
          </cell>
          <cell r="I277">
            <v>56.366799999999991</v>
          </cell>
        </row>
        <row r="278">
          <cell r="B278">
            <v>42038</v>
          </cell>
          <cell r="C278">
            <v>53.04</v>
          </cell>
          <cell r="D278">
            <v>47.045499999999997</v>
          </cell>
          <cell r="I278">
            <v>55.860799999999998</v>
          </cell>
        </row>
        <row r="279">
          <cell r="B279">
            <v>42039</v>
          </cell>
          <cell r="C279">
            <v>48.45</v>
          </cell>
          <cell r="D279">
            <v>47.194999999999993</v>
          </cell>
          <cell r="I279">
            <v>55.408999999999999</v>
          </cell>
        </row>
        <row r="280">
          <cell r="B280">
            <v>42040</v>
          </cell>
          <cell r="C280">
            <v>50.48</v>
          </cell>
          <cell r="D280">
            <v>47.218499999999999</v>
          </cell>
          <cell r="I280">
            <v>54.847599999999993</v>
          </cell>
        </row>
        <row r="281">
          <cell r="B281">
            <v>42041</v>
          </cell>
          <cell r="C281">
            <v>51.66</v>
          </cell>
          <cell r="D281">
            <v>47.308000000000007</v>
          </cell>
          <cell r="I281">
            <v>54.342399999999998</v>
          </cell>
        </row>
        <row r="282">
          <cell r="B282">
            <v>42044</v>
          </cell>
          <cell r="C282">
            <v>52.99</v>
          </cell>
          <cell r="D282">
            <v>47.451000000000008</v>
          </cell>
          <cell r="I282">
            <v>53.894799999999996</v>
          </cell>
        </row>
        <row r="283">
          <cell r="B283">
            <v>42045</v>
          </cell>
          <cell r="C283">
            <v>50.06</v>
          </cell>
          <cell r="D283">
            <v>47.683000000000007</v>
          </cell>
          <cell r="I283">
            <v>53.480599999999995</v>
          </cell>
        </row>
        <row r="284">
          <cell r="B284">
            <v>42046</v>
          </cell>
          <cell r="C284">
            <v>48.8</v>
          </cell>
          <cell r="D284">
            <v>47.882999999999996</v>
          </cell>
          <cell r="I284">
            <v>53.16299999999999</v>
          </cell>
        </row>
        <row r="285">
          <cell r="B285">
            <v>42047</v>
          </cell>
          <cell r="C285">
            <v>51.17</v>
          </cell>
          <cell r="D285">
            <v>48.027000000000001</v>
          </cell>
          <cell r="I285">
            <v>52.759399999999985</v>
          </cell>
        </row>
        <row r="286">
          <cell r="B286">
            <v>42048</v>
          </cell>
          <cell r="C286">
            <v>52.66</v>
          </cell>
          <cell r="D286">
            <v>48.160999999999994</v>
          </cell>
          <cell r="I286">
            <v>52.442999999999984</v>
          </cell>
        </row>
        <row r="287">
          <cell r="B287">
            <v>42052</v>
          </cell>
          <cell r="C287">
            <v>53.56</v>
          </cell>
          <cell r="D287">
            <v>48.475499999999997</v>
          </cell>
          <cell r="I287">
            <v>52.150199999999984</v>
          </cell>
        </row>
        <row r="288">
          <cell r="B288">
            <v>42053</v>
          </cell>
          <cell r="C288">
            <v>52.13</v>
          </cell>
          <cell r="D288">
            <v>48.728999999999999</v>
          </cell>
          <cell r="I288">
            <v>51.886799999999972</v>
          </cell>
        </row>
        <row r="289">
          <cell r="B289">
            <v>42054</v>
          </cell>
          <cell r="C289">
            <v>51.12</v>
          </cell>
          <cell r="D289">
            <v>48.995999999999995</v>
          </cell>
          <cell r="I289">
            <v>51.611599999999981</v>
          </cell>
        </row>
        <row r="290">
          <cell r="B290">
            <v>42055</v>
          </cell>
          <cell r="C290">
            <v>49.95</v>
          </cell>
          <cell r="D290">
            <v>49.159499999999994</v>
          </cell>
          <cell r="I290">
            <v>51.371399999999987</v>
          </cell>
        </row>
        <row r="291">
          <cell r="B291">
            <v>42058</v>
          </cell>
          <cell r="C291">
            <v>49.56</v>
          </cell>
          <cell r="D291">
            <v>49.360500000000002</v>
          </cell>
          <cell r="I291">
            <v>51.095599999999983</v>
          </cell>
        </row>
        <row r="292">
          <cell r="B292">
            <v>42059</v>
          </cell>
          <cell r="C292">
            <v>48.48</v>
          </cell>
          <cell r="D292">
            <v>49.575499999999991</v>
          </cell>
          <cell r="I292">
            <v>50.86699999999999</v>
          </cell>
        </row>
        <row r="293">
          <cell r="B293">
            <v>42060</v>
          </cell>
          <cell r="C293">
            <v>50.25</v>
          </cell>
          <cell r="D293">
            <v>49.759499999999989</v>
          </cell>
          <cell r="I293">
            <v>50.636399999999988</v>
          </cell>
        </row>
        <row r="294">
          <cell r="B294">
            <v>42061</v>
          </cell>
          <cell r="C294">
            <v>47.65</v>
          </cell>
          <cell r="D294">
            <v>49.98</v>
          </cell>
          <cell r="I294">
            <v>50.485199999999985</v>
          </cell>
        </row>
        <row r="295">
          <cell r="B295">
            <v>42062</v>
          </cell>
          <cell r="C295">
            <v>49.84</v>
          </cell>
          <cell r="D295">
            <v>50.158499999999997</v>
          </cell>
          <cell r="I295">
            <v>50.318999999999988</v>
          </cell>
        </row>
        <row r="296">
          <cell r="B296">
            <v>42065</v>
          </cell>
          <cell r="C296">
            <v>49.59</v>
          </cell>
          <cell r="D296">
            <v>50.444500000000005</v>
          </cell>
          <cell r="I296">
            <v>50.196399999999983</v>
          </cell>
        </row>
        <row r="297">
          <cell r="B297">
            <v>42066</v>
          </cell>
          <cell r="C297">
            <v>50.43</v>
          </cell>
          <cell r="D297">
            <v>50.534500000000008</v>
          </cell>
          <cell r="I297">
            <v>50.059600000000003</v>
          </cell>
        </row>
        <row r="298">
          <cell r="B298">
            <v>42067</v>
          </cell>
          <cell r="C298">
            <v>51.53</v>
          </cell>
          <cell r="D298">
            <v>50.593500000000006</v>
          </cell>
          <cell r="I298">
            <v>49.984599999999993</v>
          </cell>
        </row>
        <row r="299">
          <cell r="B299">
            <v>42068</v>
          </cell>
          <cell r="C299">
            <v>50.76</v>
          </cell>
          <cell r="D299">
            <v>50.517999999999994</v>
          </cell>
          <cell r="I299">
            <v>49.876999999999995</v>
          </cell>
        </row>
        <row r="300">
          <cell r="B300">
            <v>42069</v>
          </cell>
          <cell r="C300">
            <v>49.61</v>
          </cell>
          <cell r="D300">
            <v>50.633500000000005</v>
          </cell>
          <cell r="I300">
            <v>49.787200000000013</v>
          </cell>
        </row>
        <row r="301">
          <cell r="B301">
            <v>42072</v>
          </cell>
          <cell r="C301">
            <v>49.95</v>
          </cell>
          <cell r="D301">
            <v>50.59</v>
          </cell>
          <cell r="I301">
            <v>49.643800000000013</v>
          </cell>
        </row>
        <row r="302">
          <cell r="B302">
            <v>42073</v>
          </cell>
          <cell r="C302">
            <v>48.42</v>
          </cell>
          <cell r="D302">
            <v>50.5045</v>
          </cell>
          <cell r="I302">
            <v>49.528800000000011</v>
          </cell>
        </row>
        <row r="303">
          <cell r="B303">
            <v>42074</v>
          </cell>
          <cell r="C303">
            <v>48.06</v>
          </cell>
          <cell r="D303">
            <v>50.275999999999996</v>
          </cell>
          <cell r="I303">
            <v>49.405400000000007</v>
          </cell>
        </row>
        <row r="304">
          <cell r="B304">
            <v>42075</v>
          </cell>
          <cell r="C304">
            <v>47.12</v>
          </cell>
          <cell r="D304">
            <v>50.176000000000002</v>
          </cell>
          <cell r="I304">
            <v>49.29740000000001</v>
          </cell>
        </row>
        <row r="305">
          <cell r="B305">
            <v>42076</v>
          </cell>
          <cell r="C305">
            <v>44.88</v>
          </cell>
          <cell r="D305">
            <v>50.091999999999999</v>
          </cell>
          <cell r="I305">
            <v>49.157000000000011</v>
          </cell>
        </row>
        <row r="306">
          <cell r="B306">
            <v>42079</v>
          </cell>
          <cell r="C306">
            <v>43.93</v>
          </cell>
          <cell r="D306">
            <v>49.777499999999996</v>
          </cell>
          <cell r="I306">
            <v>48.985600000000005</v>
          </cell>
        </row>
        <row r="307">
          <cell r="B307">
            <v>42080</v>
          </cell>
          <cell r="C307">
            <v>43.39</v>
          </cell>
          <cell r="D307">
            <v>49.340999999999994</v>
          </cell>
          <cell r="I307">
            <v>48.795200000000001</v>
          </cell>
        </row>
        <row r="308">
          <cell r="B308">
            <v>42081</v>
          </cell>
          <cell r="C308">
            <v>44.63</v>
          </cell>
          <cell r="D308">
            <v>48.832500000000003</v>
          </cell>
          <cell r="I308">
            <v>48.608599999999996</v>
          </cell>
        </row>
        <row r="309">
          <cell r="B309">
            <v>42082</v>
          </cell>
          <cell r="C309">
            <v>44.02</v>
          </cell>
          <cell r="D309">
            <v>48.457499999999996</v>
          </cell>
          <cell r="I309">
            <v>48.500199999999992</v>
          </cell>
        </row>
        <row r="310">
          <cell r="B310">
            <v>42083</v>
          </cell>
          <cell r="C310">
            <v>46</v>
          </cell>
          <cell r="D310">
            <v>48.102500000000006</v>
          </cell>
          <cell r="I310">
            <v>48.420999999999992</v>
          </cell>
        </row>
        <row r="311">
          <cell r="B311">
            <v>42086</v>
          </cell>
          <cell r="C311">
            <v>47.4</v>
          </cell>
          <cell r="D311">
            <v>47.905000000000001</v>
          </cell>
          <cell r="I311">
            <v>48.367199999999997</v>
          </cell>
        </row>
        <row r="312">
          <cell r="B312">
            <v>42087</v>
          </cell>
          <cell r="C312">
            <v>47.03</v>
          </cell>
          <cell r="D312">
            <v>47.79699999999999</v>
          </cell>
          <cell r="I312">
            <v>48.339199999999998</v>
          </cell>
        </row>
        <row r="313">
          <cell r="B313">
            <v>42088</v>
          </cell>
          <cell r="C313">
            <v>48.75</v>
          </cell>
          <cell r="D313">
            <v>47.724499999999992</v>
          </cell>
          <cell r="I313">
            <v>48.31280000000001</v>
          </cell>
        </row>
        <row r="314">
          <cell r="B314">
            <v>42089</v>
          </cell>
          <cell r="C314">
            <v>51.41</v>
          </cell>
          <cell r="D314">
            <v>47.649499999999996</v>
          </cell>
          <cell r="I314">
            <v>48.366599999999998</v>
          </cell>
        </row>
        <row r="315">
          <cell r="B315">
            <v>42090</v>
          </cell>
          <cell r="C315">
            <v>48.83</v>
          </cell>
          <cell r="D315">
            <v>47.837499999999991</v>
          </cell>
          <cell r="I315">
            <v>48.476399999999991</v>
          </cell>
        </row>
        <row r="316">
          <cell r="B316">
            <v>42093</v>
          </cell>
          <cell r="C316">
            <v>48.66</v>
          </cell>
          <cell r="D316">
            <v>47.786999999999992</v>
          </cell>
          <cell r="I316">
            <v>48.483199999999997</v>
          </cell>
        </row>
        <row r="317">
          <cell r="B317">
            <v>42094</v>
          </cell>
          <cell r="C317">
            <v>47.72</v>
          </cell>
          <cell r="D317">
            <v>47.740499999999997</v>
          </cell>
          <cell r="I317">
            <v>48.529000000000003</v>
          </cell>
        </row>
        <row r="318">
          <cell r="B318">
            <v>42095</v>
          </cell>
          <cell r="C318">
            <v>50.12</v>
          </cell>
          <cell r="D318">
            <v>47.604999999999997</v>
          </cell>
          <cell r="I318">
            <v>48.513599999999997</v>
          </cell>
        </row>
        <row r="319">
          <cell r="B319">
            <v>42096</v>
          </cell>
          <cell r="C319">
            <v>49.13</v>
          </cell>
          <cell r="D319">
            <v>47.534499999999994</v>
          </cell>
          <cell r="I319">
            <v>48.580199999999998</v>
          </cell>
        </row>
        <row r="320">
          <cell r="B320">
            <v>42097</v>
          </cell>
          <cell r="C320">
            <v>49.13</v>
          </cell>
          <cell r="D320">
            <v>47.452999999999996</v>
          </cell>
          <cell r="I320">
            <v>48.605799999999988</v>
          </cell>
        </row>
        <row r="321">
          <cell r="B321">
            <v>42100</v>
          </cell>
          <cell r="C321">
            <v>52.08</v>
          </cell>
          <cell r="D321">
            <v>47.428999999999995</v>
          </cell>
          <cell r="I321">
            <v>48.669799999999995</v>
          </cell>
        </row>
        <row r="322">
          <cell r="B322">
            <v>42101</v>
          </cell>
          <cell r="C322">
            <v>53.95</v>
          </cell>
          <cell r="D322">
            <v>47.535499999999999</v>
          </cell>
          <cell r="I322">
            <v>48.80619999999999</v>
          </cell>
        </row>
        <row r="323">
          <cell r="B323">
            <v>42102</v>
          </cell>
          <cell r="C323">
            <v>50.44</v>
          </cell>
          <cell r="D323">
            <v>47.811999999999998</v>
          </cell>
          <cell r="I323">
            <v>48.98919999999999</v>
          </cell>
        </row>
        <row r="324">
          <cell r="B324">
            <v>42103</v>
          </cell>
          <cell r="C324">
            <v>50.79</v>
          </cell>
          <cell r="D324">
            <v>47.931000000000004</v>
          </cell>
          <cell r="I324">
            <v>49.081199999999995</v>
          </cell>
        </row>
        <row r="325">
          <cell r="B325">
            <v>42104</v>
          </cell>
          <cell r="C325">
            <v>51.63</v>
          </cell>
          <cell r="D325">
            <v>48.1145</v>
          </cell>
          <cell r="I325">
            <v>49.215400000000002</v>
          </cell>
        </row>
        <row r="326">
          <cell r="B326">
            <v>42107</v>
          </cell>
          <cell r="C326">
            <v>51.95</v>
          </cell>
          <cell r="D326">
            <v>48.452000000000005</v>
          </cell>
          <cell r="I326">
            <v>49.365600000000001</v>
          </cell>
        </row>
        <row r="327">
          <cell r="B327">
            <v>42108</v>
          </cell>
          <cell r="C327">
            <v>53.3</v>
          </cell>
          <cell r="D327">
            <v>48.853000000000002</v>
          </cell>
          <cell r="I327">
            <v>49.448800000000013</v>
          </cell>
        </row>
        <row r="328">
          <cell r="B328">
            <v>42109</v>
          </cell>
          <cell r="C328">
            <v>56.25</v>
          </cell>
          <cell r="D328">
            <v>49.348500000000008</v>
          </cell>
          <cell r="I328">
            <v>49.529800000000002</v>
          </cell>
        </row>
        <row r="329">
          <cell r="B329">
            <v>42110</v>
          </cell>
          <cell r="C329">
            <v>56.69</v>
          </cell>
          <cell r="D329">
            <v>49.929500000000004</v>
          </cell>
          <cell r="I329">
            <v>49.594000000000008</v>
          </cell>
        </row>
        <row r="330">
          <cell r="B330">
            <v>42111</v>
          </cell>
          <cell r="C330">
            <v>55.71</v>
          </cell>
          <cell r="D330">
            <v>50.563000000000002</v>
          </cell>
          <cell r="I330">
            <v>49.758800000000008</v>
          </cell>
        </row>
        <row r="331">
          <cell r="B331">
            <v>42114</v>
          </cell>
          <cell r="C331">
            <v>56.37</v>
          </cell>
          <cell r="D331">
            <v>51.048500000000004</v>
          </cell>
          <cell r="I331">
            <v>49.863400000000013</v>
          </cell>
        </row>
        <row r="332">
          <cell r="B332">
            <v>42115</v>
          </cell>
          <cell r="C332">
            <v>55.58</v>
          </cell>
          <cell r="D332">
            <v>51.496999999999993</v>
          </cell>
          <cell r="I332">
            <v>49.957600000000014</v>
          </cell>
        </row>
        <row r="333">
          <cell r="B333">
            <v>42116</v>
          </cell>
          <cell r="C333">
            <v>56.17</v>
          </cell>
          <cell r="D333">
            <v>51.924500000000002</v>
          </cell>
          <cell r="I333">
            <v>50.009400000000014</v>
          </cell>
        </row>
        <row r="334">
          <cell r="B334">
            <v>42117</v>
          </cell>
          <cell r="C334">
            <v>56.59</v>
          </cell>
          <cell r="D334">
            <v>52.295500000000004</v>
          </cell>
          <cell r="I334">
            <v>50.131600000000006</v>
          </cell>
        </row>
        <row r="335">
          <cell r="B335">
            <v>42118</v>
          </cell>
          <cell r="C335">
            <v>55.98</v>
          </cell>
          <cell r="D335">
            <v>52.554500000000004</v>
          </cell>
          <cell r="I335">
            <v>50.287400000000019</v>
          </cell>
        </row>
        <row r="336">
          <cell r="B336">
            <v>42121</v>
          </cell>
          <cell r="C336">
            <v>55.56</v>
          </cell>
          <cell r="D336">
            <v>52.911999999999999</v>
          </cell>
          <cell r="I336">
            <v>50.383600000000015</v>
          </cell>
        </row>
        <row r="337">
          <cell r="B337">
            <v>42122</v>
          </cell>
          <cell r="C337">
            <v>57.05</v>
          </cell>
          <cell r="D337">
            <v>53.257000000000005</v>
          </cell>
          <cell r="I337">
            <v>50.441600000000008</v>
          </cell>
        </row>
        <row r="338">
          <cell r="B338">
            <v>42123</v>
          </cell>
          <cell r="C338">
            <v>58.55</v>
          </cell>
          <cell r="D338">
            <v>53.723500000000001</v>
          </cell>
          <cell r="I338">
            <v>50.511400000000009</v>
          </cell>
        </row>
        <row r="339">
          <cell r="B339">
            <v>42124</v>
          </cell>
          <cell r="C339">
            <v>59.62</v>
          </cell>
          <cell r="D339">
            <v>54.145000000000003</v>
          </cell>
          <cell r="I339">
            <v>50.639800000000015</v>
          </cell>
        </row>
        <row r="340">
          <cell r="B340">
            <v>42125</v>
          </cell>
          <cell r="C340">
            <v>59.1</v>
          </cell>
          <cell r="D340">
            <v>54.669499999999992</v>
          </cell>
          <cell r="I340">
            <v>50.809800000000017</v>
          </cell>
        </row>
        <row r="341">
          <cell r="B341">
            <v>42128</v>
          </cell>
          <cell r="C341">
            <v>58.92</v>
          </cell>
          <cell r="D341">
            <v>55.167999999999985</v>
          </cell>
          <cell r="I341">
            <v>50.992800000000017</v>
          </cell>
        </row>
        <row r="342">
          <cell r="B342">
            <v>42129</v>
          </cell>
          <cell r="C342">
            <v>60.38</v>
          </cell>
          <cell r="D342">
            <v>55.510000000000005</v>
          </cell>
          <cell r="I342">
            <v>51.180000000000007</v>
          </cell>
        </row>
        <row r="343">
          <cell r="B343">
            <v>42130</v>
          </cell>
          <cell r="C343">
            <v>60.93</v>
          </cell>
          <cell r="D343">
            <v>55.831500000000005</v>
          </cell>
          <cell r="I343">
            <v>51.418000000000013</v>
          </cell>
        </row>
        <row r="344">
          <cell r="B344">
            <v>42131</v>
          </cell>
          <cell r="C344">
            <v>58.99</v>
          </cell>
          <cell r="D344">
            <v>56.355999999999995</v>
          </cell>
          <cell r="I344">
            <v>51.631600000000006</v>
          </cell>
        </row>
        <row r="345">
          <cell r="B345">
            <v>42132</v>
          </cell>
          <cell r="C345">
            <v>59.41</v>
          </cell>
          <cell r="D345">
            <v>56.765999999999998</v>
          </cell>
          <cell r="I345">
            <v>51.858400000000003</v>
          </cell>
        </row>
        <row r="346">
          <cell r="B346">
            <v>42135</v>
          </cell>
          <cell r="C346">
            <v>59.23</v>
          </cell>
          <cell r="D346">
            <v>57.155000000000008</v>
          </cell>
          <cell r="I346">
            <v>52.049799999999998</v>
          </cell>
        </row>
        <row r="347">
          <cell r="B347">
            <v>42136</v>
          </cell>
          <cell r="C347">
            <v>60.72</v>
          </cell>
          <cell r="D347">
            <v>57.518999999999991</v>
          </cell>
          <cell r="I347">
            <v>52.242599999999996</v>
          </cell>
        </row>
        <row r="348">
          <cell r="B348">
            <v>42137</v>
          </cell>
          <cell r="C348">
            <v>60.5</v>
          </cell>
          <cell r="D348">
            <v>57.89</v>
          </cell>
          <cell r="I348">
            <v>52.448399999999985</v>
          </cell>
        </row>
        <row r="349">
          <cell r="B349">
            <v>42138</v>
          </cell>
          <cell r="C349">
            <v>59.89</v>
          </cell>
          <cell r="D349">
            <v>58.102499999999999</v>
          </cell>
          <cell r="I349">
            <v>52.627799999999986</v>
          </cell>
        </row>
        <row r="350">
          <cell r="B350">
            <v>42139</v>
          </cell>
          <cell r="C350">
            <v>59.73</v>
          </cell>
          <cell r="D350">
            <v>58.262500000000003</v>
          </cell>
          <cell r="I350">
            <v>52.81039999999998</v>
          </cell>
        </row>
        <row r="351">
          <cell r="B351">
            <v>42142</v>
          </cell>
          <cell r="C351">
            <v>59.44</v>
          </cell>
          <cell r="D351">
            <v>58.46350000000001</v>
          </cell>
          <cell r="I351">
            <v>53.012799999999977</v>
          </cell>
        </row>
        <row r="352">
          <cell r="B352">
            <v>42143</v>
          </cell>
          <cell r="C352">
            <v>57.3</v>
          </cell>
          <cell r="D352">
            <v>58.617000000000004</v>
          </cell>
          <cell r="I352">
            <v>53.202599999999983</v>
          </cell>
        </row>
        <row r="353">
          <cell r="B353">
            <v>42144</v>
          </cell>
          <cell r="C353">
            <v>58.96</v>
          </cell>
          <cell r="D353">
            <v>58.702999999999996</v>
          </cell>
          <cell r="I353">
            <v>53.380199999999988</v>
          </cell>
        </row>
        <row r="354">
          <cell r="B354">
            <v>42145</v>
          </cell>
          <cell r="C354">
            <v>60.18</v>
          </cell>
          <cell r="D354">
            <v>58.842500000000008</v>
          </cell>
          <cell r="I354">
            <v>53.598199999999991</v>
          </cell>
        </row>
        <row r="355">
          <cell r="B355">
            <v>42146</v>
          </cell>
          <cell r="C355">
            <v>58.88</v>
          </cell>
          <cell r="D355">
            <v>59.022000000000006</v>
          </cell>
          <cell r="I355">
            <v>53.859399999999987</v>
          </cell>
        </row>
        <row r="356">
          <cell r="B356">
            <v>42149</v>
          </cell>
          <cell r="C356">
            <v>58.88</v>
          </cell>
          <cell r="D356">
            <v>59.167000000000009</v>
          </cell>
          <cell r="I356">
            <v>54.139399999999995</v>
          </cell>
        </row>
        <row r="357">
          <cell r="B357">
            <v>42150</v>
          </cell>
          <cell r="C357">
            <v>57.29</v>
          </cell>
          <cell r="D357">
            <v>59.333000000000013</v>
          </cell>
          <cell r="I357">
            <v>54.438400000000001</v>
          </cell>
        </row>
        <row r="358">
          <cell r="B358">
            <v>42151</v>
          </cell>
          <cell r="C358">
            <v>57.51</v>
          </cell>
          <cell r="D358">
            <v>59.345000000000006</v>
          </cell>
          <cell r="I358">
            <v>54.7164</v>
          </cell>
        </row>
        <row r="359">
          <cell r="B359">
            <v>42152</v>
          </cell>
          <cell r="C359">
            <v>57.69</v>
          </cell>
          <cell r="D359">
            <v>59.293000000000006</v>
          </cell>
          <cell r="I359">
            <v>54.974000000000004</v>
          </cell>
        </row>
        <row r="360">
          <cell r="B360">
            <v>42153</v>
          </cell>
          <cell r="C360">
            <v>60.25</v>
          </cell>
          <cell r="D360">
            <v>59.1965</v>
          </cell>
          <cell r="I360">
            <v>55.247400000000006</v>
          </cell>
        </row>
        <row r="361">
          <cell r="B361">
            <v>42156</v>
          </cell>
          <cell r="C361">
            <v>60.24</v>
          </cell>
          <cell r="D361">
            <v>59.254000000000005</v>
          </cell>
          <cell r="I361">
            <v>55.53240000000001</v>
          </cell>
        </row>
        <row r="362">
          <cell r="B362">
            <v>42157</v>
          </cell>
          <cell r="C362">
            <v>61.3</v>
          </cell>
          <cell r="D362">
            <v>59.319999999999993</v>
          </cell>
          <cell r="I362">
            <v>55.789200000000001</v>
          </cell>
        </row>
        <row r="363">
          <cell r="B363">
            <v>42158</v>
          </cell>
          <cell r="C363">
            <v>59.67</v>
          </cell>
          <cell r="D363">
            <v>59.365999999999985</v>
          </cell>
          <cell r="I363">
            <v>56.074600000000011</v>
          </cell>
        </row>
        <row r="364">
          <cell r="B364">
            <v>42159</v>
          </cell>
          <cell r="C364">
            <v>58</v>
          </cell>
          <cell r="D364">
            <v>59.302999999999997</v>
          </cell>
          <cell r="I364">
            <v>56.293000000000013</v>
          </cell>
        </row>
        <row r="365">
          <cell r="B365">
            <v>42160</v>
          </cell>
          <cell r="C365">
            <v>59.11</v>
          </cell>
          <cell r="D365">
            <v>59.253499999999995</v>
          </cell>
          <cell r="I365">
            <v>56.424800000000012</v>
          </cell>
        </row>
        <row r="366">
          <cell r="B366">
            <v>42163</v>
          </cell>
          <cell r="C366">
            <v>58.15</v>
          </cell>
          <cell r="D366">
            <v>59.238499999999988</v>
          </cell>
          <cell r="I366">
            <v>56.630400000000016</v>
          </cell>
        </row>
        <row r="367">
          <cell r="B367">
            <v>42164</v>
          </cell>
          <cell r="C367">
            <v>60.15</v>
          </cell>
          <cell r="D367">
            <v>59.184499999999993</v>
          </cell>
          <cell r="I367">
            <v>56.820200000000014</v>
          </cell>
        </row>
        <row r="368">
          <cell r="B368">
            <v>42165</v>
          </cell>
          <cell r="C368">
            <v>61.36</v>
          </cell>
          <cell r="D368">
            <v>59.156000000000006</v>
          </cell>
          <cell r="I368">
            <v>57.068800000000017</v>
          </cell>
        </row>
        <row r="369">
          <cell r="B369">
            <v>42166</v>
          </cell>
          <cell r="C369">
            <v>60.74</v>
          </cell>
          <cell r="D369">
            <v>59.198999999999998</v>
          </cell>
          <cell r="I369">
            <v>57.293600000000026</v>
          </cell>
        </row>
        <row r="370">
          <cell r="B370">
            <v>42167</v>
          </cell>
          <cell r="C370">
            <v>59.96</v>
          </cell>
          <cell r="D370">
            <v>59.241499999999988</v>
          </cell>
          <cell r="I370">
            <v>57.525800000000018</v>
          </cell>
        </row>
        <row r="371">
          <cell r="B371">
            <v>42170</v>
          </cell>
          <cell r="C371">
            <v>59.53</v>
          </cell>
          <cell r="D371">
            <v>59.253</v>
          </cell>
          <cell r="I371">
            <v>57.742400000000018</v>
          </cell>
        </row>
        <row r="372">
          <cell r="B372">
            <v>42171</v>
          </cell>
          <cell r="C372">
            <v>60.01</v>
          </cell>
          <cell r="D372">
            <v>59.257499999999993</v>
          </cell>
          <cell r="I372">
            <v>57.891400000000033</v>
          </cell>
        </row>
        <row r="373">
          <cell r="B373">
            <v>42172</v>
          </cell>
          <cell r="C373">
            <v>59.89</v>
          </cell>
          <cell r="D373">
            <v>59.392999999999994</v>
          </cell>
          <cell r="I373">
            <v>58.012600000000027</v>
          </cell>
        </row>
        <row r="374">
          <cell r="B374">
            <v>42173</v>
          </cell>
          <cell r="C374">
            <v>60.41</v>
          </cell>
          <cell r="D374">
            <v>59.43950000000001</v>
          </cell>
          <cell r="I374">
            <v>58.201600000000013</v>
          </cell>
        </row>
        <row r="375">
          <cell r="B375">
            <v>42174</v>
          </cell>
          <cell r="C375">
            <v>59.62</v>
          </cell>
          <cell r="D375">
            <v>59.451000000000008</v>
          </cell>
          <cell r="I375">
            <v>58.394000000000013</v>
          </cell>
        </row>
        <row r="376">
          <cell r="B376">
            <v>42177</v>
          </cell>
          <cell r="C376">
            <v>60.01</v>
          </cell>
          <cell r="D376">
            <v>59.488</v>
          </cell>
          <cell r="I376">
            <v>58.553800000000017</v>
          </cell>
        </row>
        <row r="377">
          <cell r="B377">
            <v>42178</v>
          </cell>
          <cell r="C377">
            <v>61.05</v>
          </cell>
          <cell r="D377">
            <v>59.544499999999992</v>
          </cell>
          <cell r="I377">
            <v>58.715000000000018</v>
          </cell>
        </row>
        <row r="378">
          <cell r="B378">
            <v>42179</v>
          </cell>
          <cell r="C378">
            <v>60.01</v>
          </cell>
          <cell r="D378">
            <v>59.732499999999995</v>
          </cell>
          <cell r="I378">
            <v>58.870000000000019</v>
          </cell>
        </row>
        <row r="379">
          <cell r="B379">
            <v>42180</v>
          </cell>
          <cell r="C379">
            <v>59.59</v>
          </cell>
          <cell r="D379">
            <v>59.857500000000002</v>
          </cell>
          <cell r="I379">
            <v>58.945200000000021</v>
          </cell>
        </row>
        <row r="380">
          <cell r="B380">
            <v>42181</v>
          </cell>
          <cell r="C380">
            <v>59.41</v>
          </cell>
          <cell r="D380">
            <v>59.952500000000001</v>
          </cell>
          <cell r="I380">
            <v>59.003200000000035</v>
          </cell>
        </row>
        <row r="381">
          <cell r="B381">
            <v>42184</v>
          </cell>
          <cell r="C381">
            <v>58.34</v>
          </cell>
          <cell r="D381">
            <v>59.910499999999992</v>
          </cell>
          <cell r="I381">
            <v>59.077200000000033</v>
          </cell>
        </row>
        <row r="382">
          <cell r="B382">
            <v>42185</v>
          </cell>
          <cell r="C382">
            <v>59.48</v>
          </cell>
          <cell r="D382">
            <v>59.815499999999986</v>
          </cell>
          <cell r="I382">
            <v>59.116600000000027</v>
          </cell>
        </row>
        <row r="383">
          <cell r="B383">
            <v>42186</v>
          </cell>
          <cell r="C383">
            <v>56.94</v>
          </cell>
          <cell r="D383">
            <v>59.724499999999992</v>
          </cell>
          <cell r="I383">
            <v>59.194600000000015</v>
          </cell>
        </row>
        <row r="384">
          <cell r="B384">
            <v>42187</v>
          </cell>
          <cell r="C384">
            <v>56.93</v>
          </cell>
          <cell r="D384">
            <v>59.588000000000001</v>
          </cell>
          <cell r="I384">
            <v>59.210000000000029</v>
          </cell>
        </row>
        <row r="385">
          <cell r="B385">
            <v>42188</v>
          </cell>
          <cell r="C385">
            <v>56.93</v>
          </cell>
          <cell r="D385">
            <v>59.534500000000001</v>
          </cell>
          <cell r="I385">
            <v>59.216800000000021</v>
          </cell>
        </row>
        <row r="386">
          <cell r="B386">
            <v>42191</v>
          </cell>
          <cell r="C386">
            <v>52.48</v>
          </cell>
          <cell r="D386">
            <v>59.4255</v>
          </cell>
          <cell r="I386">
            <v>59.235800000000019</v>
          </cell>
        </row>
        <row r="387">
          <cell r="B387">
            <v>42192</v>
          </cell>
          <cell r="C387">
            <v>52.33</v>
          </cell>
          <cell r="D387">
            <v>59.14200000000001</v>
          </cell>
          <cell r="I387">
            <v>59.17420000000002</v>
          </cell>
        </row>
        <row r="388">
          <cell r="B388">
            <v>42193</v>
          </cell>
          <cell r="C388">
            <v>51.61</v>
          </cell>
          <cell r="D388">
            <v>58.750999999999991</v>
          </cell>
          <cell r="I388">
            <v>59.079800000000006</v>
          </cell>
        </row>
        <row r="389">
          <cell r="B389">
            <v>42194</v>
          </cell>
          <cell r="C389">
            <v>52.76</v>
          </cell>
          <cell r="D389">
            <v>58.263499999999986</v>
          </cell>
          <cell r="I389">
            <v>58.94100000000001</v>
          </cell>
        </row>
        <row r="390">
          <cell r="B390">
            <v>42195</v>
          </cell>
          <cell r="C390">
            <v>52.74</v>
          </cell>
          <cell r="D390">
            <v>57.864499999999985</v>
          </cell>
          <cell r="I390">
            <v>58.803800000000017</v>
          </cell>
        </row>
        <row r="391">
          <cell r="B391">
            <v>42198</v>
          </cell>
          <cell r="C391">
            <v>52.19</v>
          </cell>
          <cell r="D391">
            <v>57.503499999999995</v>
          </cell>
          <cell r="I391">
            <v>58.676600000000015</v>
          </cell>
        </row>
        <row r="392">
          <cell r="B392">
            <v>42199</v>
          </cell>
          <cell r="C392">
            <v>53.05</v>
          </cell>
          <cell r="D392">
            <v>57.136499999999998</v>
          </cell>
          <cell r="I392">
            <v>58.542000000000009</v>
          </cell>
        </row>
        <row r="393">
          <cell r="B393">
            <v>42200</v>
          </cell>
          <cell r="C393">
            <v>51.4</v>
          </cell>
          <cell r="D393">
            <v>56.788499999999999</v>
          </cell>
          <cell r="I393">
            <v>58.395400000000009</v>
          </cell>
        </row>
        <row r="394">
          <cell r="B394">
            <v>42201</v>
          </cell>
          <cell r="C394">
            <v>50.9</v>
          </cell>
          <cell r="D394">
            <v>56.363999999999997</v>
          </cell>
          <cell r="I394">
            <v>58.204800000000006</v>
          </cell>
        </row>
        <row r="395">
          <cell r="B395">
            <v>42202</v>
          </cell>
          <cell r="C395">
            <v>50.88</v>
          </cell>
          <cell r="D395">
            <v>55.888500000000008</v>
          </cell>
          <cell r="I395">
            <v>58.042999999999999</v>
          </cell>
        </row>
        <row r="396">
          <cell r="B396">
            <v>42205</v>
          </cell>
          <cell r="C396">
            <v>50.11</v>
          </cell>
          <cell r="D396">
            <v>55.451499999999996</v>
          </cell>
          <cell r="I396">
            <v>57.872400000000006</v>
          </cell>
        </row>
        <row r="397">
          <cell r="B397">
            <v>42206</v>
          </cell>
          <cell r="C397">
            <v>50.59</v>
          </cell>
          <cell r="D397">
            <v>54.956499999999991</v>
          </cell>
          <cell r="I397">
            <v>57.690000000000012</v>
          </cell>
        </row>
        <row r="398">
          <cell r="B398">
            <v>42207</v>
          </cell>
          <cell r="C398">
            <v>49.27</v>
          </cell>
          <cell r="D398">
            <v>54.433499999999995</v>
          </cell>
          <cell r="I398">
            <v>57.487400000000008</v>
          </cell>
        </row>
        <row r="399">
          <cell r="B399">
            <v>42208</v>
          </cell>
          <cell r="C399">
            <v>48.11</v>
          </cell>
          <cell r="D399">
            <v>53.896499999999989</v>
          </cell>
          <cell r="I399">
            <v>57.262800000000006</v>
          </cell>
        </row>
        <row r="400">
          <cell r="B400">
            <v>42209</v>
          </cell>
          <cell r="C400">
            <v>47.98</v>
          </cell>
          <cell r="D400">
            <v>53.322500000000005</v>
          </cell>
          <cell r="I400">
            <v>57.027200000000015</v>
          </cell>
        </row>
        <row r="401">
          <cell r="B401">
            <v>42212</v>
          </cell>
          <cell r="C401">
            <v>47.17</v>
          </cell>
          <cell r="D401">
            <v>52.750999999999998</v>
          </cell>
          <cell r="I401">
            <v>56.792200000000022</v>
          </cell>
        </row>
        <row r="402">
          <cell r="B402">
            <v>42213</v>
          </cell>
          <cell r="C402">
            <v>47.97</v>
          </cell>
          <cell r="D402">
            <v>52.192499999999995</v>
          </cell>
          <cell r="I402">
            <v>56.546800000000019</v>
          </cell>
        </row>
        <row r="403">
          <cell r="B403">
            <v>42214</v>
          </cell>
          <cell r="C403">
            <v>48.77</v>
          </cell>
          <cell r="D403">
            <v>51.616999999999997</v>
          </cell>
          <cell r="I403">
            <v>56.36020000000002</v>
          </cell>
        </row>
        <row r="404">
          <cell r="B404">
            <v>42215</v>
          </cell>
          <cell r="C404">
            <v>48.53</v>
          </cell>
          <cell r="D404">
            <v>51.208500000000001</v>
          </cell>
          <cell r="I404">
            <v>56.156400000000019</v>
          </cell>
        </row>
        <row r="405">
          <cell r="B405">
            <v>42216</v>
          </cell>
          <cell r="C405">
            <v>47.11</v>
          </cell>
          <cell r="D405">
            <v>50.788499999999999</v>
          </cell>
          <cell r="I405">
            <v>55.923400000000022</v>
          </cell>
        </row>
        <row r="406">
          <cell r="B406">
            <v>42219</v>
          </cell>
          <cell r="C406">
            <v>45.25</v>
          </cell>
          <cell r="D406">
            <v>50.297499999999999</v>
          </cell>
          <cell r="I406">
            <v>55.688000000000017</v>
          </cell>
        </row>
        <row r="407">
          <cell r="B407">
            <v>42220</v>
          </cell>
          <cell r="C407">
            <v>45.75</v>
          </cell>
          <cell r="D407">
            <v>49.935999999999993</v>
          </cell>
          <cell r="I407">
            <v>55.41540000000002</v>
          </cell>
        </row>
        <row r="408">
          <cell r="B408">
            <v>42221</v>
          </cell>
          <cell r="C408">
            <v>45.13</v>
          </cell>
          <cell r="D408">
            <v>49.606999999999999</v>
          </cell>
          <cell r="I408">
            <v>55.18460000000001</v>
          </cell>
        </row>
        <row r="409">
          <cell r="B409">
            <v>42222</v>
          </cell>
          <cell r="C409">
            <v>44.69</v>
          </cell>
          <cell r="D409">
            <v>49.283000000000001</v>
          </cell>
          <cell r="I409">
            <v>54.937000000000019</v>
          </cell>
        </row>
        <row r="410">
          <cell r="B410">
            <v>42223</v>
          </cell>
          <cell r="C410">
            <v>43.87</v>
          </cell>
          <cell r="D410">
            <v>48.879499999999993</v>
          </cell>
          <cell r="I410">
            <v>54.677000000000014</v>
          </cell>
        </row>
        <row r="411">
          <cell r="B411">
            <v>42226</v>
          </cell>
          <cell r="C411">
            <v>44.94</v>
          </cell>
          <cell r="D411">
            <v>48.435999999999993</v>
          </cell>
          <cell r="I411">
            <v>54.349400000000017</v>
          </cell>
        </row>
        <row r="412">
          <cell r="B412">
            <v>42227</v>
          </cell>
          <cell r="C412">
            <v>43.11</v>
          </cell>
          <cell r="D412">
            <v>48.073499999999989</v>
          </cell>
          <cell r="I412">
            <v>54.043400000000013</v>
          </cell>
        </row>
        <row r="413">
          <cell r="B413">
            <v>42228</v>
          </cell>
          <cell r="C413">
            <v>43.22</v>
          </cell>
          <cell r="D413">
            <v>47.576500000000003</v>
          </cell>
          <cell r="I413">
            <v>53.679600000000008</v>
          </cell>
        </row>
        <row r="414">
          <cell r="B414">
            <v>42229</v>
          </cell>
          <cell r="C414">
            <v>42.27</v>
          </cell>
          <cell r="D414">
            <v>47.167500000000004</v>
          </cell>
          <cell r="I414">
            <v>53.350600000000007</v>
          </cell>
        </row>
        <row r="415">
          <cell r="B415">
            <v>42230</v>
          </cell>
          <cell r="C415">
            <v>42.45</v>
          </cell>
          <cell r="D415">
            <v>46.735999999999997</v>
          </cell>
          <cell r="I415">
            <v>53.036000000000001</v>
          </cell>
        </row>
        <row r="416">
          <cell r="B416">
            <v>42233</v>
          </cell>
          <cell r="C416">
            <v>41.93</v>
          </cell>
          <cell r="D416">
            <v>46.314499999999995</v>
          </cell>
          <cell r="I416">
            <v>52.702799999999996</v>
          </cell>
        </row>
        <row r="417">
          <cell r="B417">
            <v>42234</v>
          </cell>
          <cell r="C417">
            <v>42.58</v>
          </cell>
          <cell r="D417">
            <v>45.905499999999996</v>
          </cell>
          <cell r="I417">
            <v>52.378399999999999</v>
          </cell>
        </row>
        <row r="418">
          <cell r="B418">
            <v>42235</v>
          </cell>
          <cell r="C418">
            <v>40.75</v>
          </cell>
          <cell r="D418">
            <v>45.505000000000003</v>
          </cell>
          <cell r="I418">
            <v>52.026999999999987</v>
          </cell>
        </row>
        <row r="419">
          <cell r="B419">
            <v>42236</v>
          </cell>
          <cell r="C419">
            <v>41</v>
          </cell>
          <cell r="D419">
            <v>45.079000000000001</v>
          </cell>
          <cell r="I419">
            <v>51.614799999999988</v>
          </cell>
        </row>
        <row r="420">
          <cell r="B420">
            <v>42237</v>
          </cell>
          <cell r="C420">
            <v>40.450000000000003</v>
          </cell>
          <cell r="D420">
            <v>44.723500000000008</v>
          </cell>
          <cell r="I420">
            <v>51.219999999999985</v>
          </cell>
        </row>
        <row r="421">
          <cell r="B421">
            <v>42240</v>
          </cell>
          <cell r="C421">
            <v>38.22</v>
          </cell>
          <cell r="D421">
            <v>44.347000000000001</v>
          </cell>
          <cell r="I421">
            <v>50.829799999999985</v>
          </cell>
        </row>
        <row r="422">
          <cell r="B422">
            <v>42241</v>
          </cell>
          <cell r="C422">
            <v>39.15</v>
          </cell>
          <cell r="D422">
            <v>43.899500000000003</v>
          </cell>
          <cell r="I422">
            <v>50.40359999999999</v>
          </cell>
        </row>
        <row r="423">
          <cell r="B423">
            <v>42242</v>
          </cell>
          <cell r="C423">
            <v>38.5</v>
          </cell>
          <cell r="D423">
            <v>43.458500000000001</v>
          </cell>
          <cell r="I423">
            <v>49.986399999999982</v>
          </cell>
        </row>
        <row r="424">
          <cell r="B424">
            <v>42243</v>
          </cell>
          <cell r="C424">
            <v>42.47</v>
          </cell>
          <cell r="D424">
            <v>42.945000000000007</v>
          </cell>
          <cell r="I424">
            <v>49.558599999999977</v>
          </cell>
        </row>
        <row r="425">
          <cell r="B425">
            <v>42244</v>
          </cell>
          <cell r="C425">
            <v>45.29</v>
          </cell>
          <cell r="D425">
            <v>42.64200000000001</v>
          </cell>
          <cell r="I425">
            <v>49.199799999999989</v>
          </cell>
        </row>
        <row r="426">
          <cell r="B426">
            <v>42247</v>
          </cell>
          <cell r="C426">
            <v>49.2</v>
          </cell>
          <cell r="D426">
            <v>42.551000000000002</v>
          </cell>
          <cell r="I426">
            <v>48.913199999999982</v>
          </cell>
        </row>
        <row r="427">
          <cell r="B427">
            <v>42248</v>
          </cell>
          <cell r="C427">
            <v>45.38</v>
          </cell>
          <cell r="D427">
            <v>42.748500000000007</v>
          </cell>
          <cell r="I427">
            <v>48.696999999999981</v>
          </cell>
        </row>
        <row r="428">
          <cell r="B428">
            <v>42249</v>
          </cell>
          <cell r="C428">
            <v>46.3</v>
          </cell>
          <cell r="D428">
            <v>42.730000000000004</v>
          </cell>
          <cell r="I428">
            <v>48.38359999999998</v>
          </cell>
        </row>
        <row r="429">
          <cell r="B429">
            <v>42250</v>
          </cell>
          <cell r="C429">
            <v>46.75</v>
          </cell>
          <cell r="D429">
            <v>42.788499999999999</v>
          </cell>
          <cell r="I429">
            <v>48.109399999999987</v>
          </cell>
        </row>
        <row r="430">
          <cell r="B430">
            <v>42251</v>
          </cell>
          <cell r="C430">
            <v>46.02</v>
          </cell>
          <cell r="D430">
            <v>42.891499999999994</v>
          </cell>
          <cell r="I430">
            <v>47.852600000000002</v>
          </cell>
        </row>
        <row r="431">
          <cell r="B431">
            <v>42254</v>
          </cell>
          <cell r="C431">
            <v>46.02</v>
          </cell>
          <cell r="D431">
            <v>42.998999999999995</v>
          </cell>
          <cell r="I431">
            <v>47.584799999999994</v>
          </cell>
        </row>
        <row r="432">
          <cell r="B432">
            <v>42255</v>
          </cell>
          <cell r="C432">
            <v>45.92</v>
          </cell>
          <cell r="D432">
            <v>43.052999999999997</v>
          </cell>
          <cell r="I432">
            <v>47.3384</v>
          </cell>
        </row>
        <row r="433">
          <cell r="B433">
            <v>42256</v>
          </cell>
          <cell r="C433">
            <v>44.13</v>
          </cell>
          <cell r="D433">
            <v>43.193499999999993</v>
          </cell>
          <cell r="I433">
            <v>47.0672</v>
          </cell>
        </row>
        <row r="434">
          <cell r="B434">
            <v>42257</v>
          </cell>
          <cell r="C434">
            <v>45.85</v>
          </cell>
          <cell r="D434">
            <v>43.23899999999999</v>
          </cell>
          <cell r="I434">
            <v>46.811000000000014</v>
          </cell>
        </row>
        <row r="435">
          <cell r="B435">
            <v>42258</v>
          </cell>
          <cell r="C435">
            <v>44.75</v>
          </cell>
          <cell r="D435">
            <v>43.417999999999992</v>
          </cell>
          <cell r="I435">
            <v>46.589400000000005</v>
          </cell>
        </row>
        <row r="436">
          <cell r="B436">
            <v>42261</v>
          </cell>
          <cell r="C436">
            <v>44.07</v>
          </cell>
          <cell r="D436">
            <v>43.532999999999994</v>
          </cell>
          <cell r="I436">
            <v>46.345800000000011</v>
          </cell>
        </row>
        <row r="437">
          <cell r="B437">
            <v>42262</v>
          </cell>
          <cell r="C437">
            <v>44.58</v>
          </cell>
          <cell r="D437">
            <v>43.64</v>
          </cell>
          <cell r="I437">
            <v>46.177600000000012</v>
          </cell>
        </row>
        <row r="438">
          <cell r="B438">
            <v>42263</v>
          </cell>
          <cell r="C438">
            <v>47.12</v>
          </cell>
          <cell r="D438">
            <v>43.74</v>
          </cell>
          <cell r="I438">
            <v>46.022600000000004</v>
          </cell>
        </row>
        <row r="439">
          <cell r="B439">
            <v>42264</v>
          </cell>
          <cell r="C439">
            <v>46.93</v>
          </cell>
          <cell r="D439">
            <v>44.058500000000002</v>
          </cell>
          <cell r="I439">
            <v>45.9328</v>
          </cell>
        </row>
        <row r="440">
          <cell r="B440">
            <v>42265</v>
          </cell>
          <cell r="C440">
            <v>44.71</v>
          </cell>
          <cell r="D440">
            <v>44.355000000000004</v>
          </cell>
          <cell r="I440">
            <v>45.816200000000002</v>
          </cell>
        </row>
        <row r="441">
          <cell r="B441">
            <v>42268</v>
          </cell>
          <cell r="C441">
            <v>46.67</v>
          </cell>
          <cell r="D441">
            <v>44.567999999999998</v>
          </cell>
          <cell r="I441">
            <v>45.655599999999993</v>
          </cell>
        </row>
        <row r="442">
          <cell r="B442">
            <v>42269</v>
          </cell>
          <cell r="C442">
            <v>46.17</v>
          </cell>
          <cell r="D442">
            <v>44.990500000000004</v>
          </cell>
          <cell r="I442">
            <v>45.545199999999994</v>
          </cell>
        </row>
        <row r="443">
          <cell r="B443">
            <v>42270</v>
          </cell>
          <cell r="C443">
            <v>44.53</v>
          </cell>
          <cell r="D443">
            <v>45.341499999999996</v>
          </cell>
          <cell r="I443">
            <v>45.407600000000009</v>
          </cell>
        </row>
        <row r="444">
          <cell r="B444">
            <v>42271</v>
          </cell>
          <cell r="C444">
            <v>44.94</v>
          </cell>
          <cell r="D444">
            <v>45.642999999999994</v>
          </cell>
          <cell r="I444">
            <v>45.270200000000003</v>
          </cell>
        </row>
        <row r="445">
          <cell r="B445">
            <v>42272</v>
          </cell>
          <cell r="C445">
            <v>45.55</v>
          </cell>
          <cell r="D445">
            <v>45.766499999999994</v>
          </cell>
          <cell r="I445">
            <v>45.151000000000003</v>
          </cell>
        </row>
        <row r="446">
          <cell r="B446">
            <v>42275</v>
          </cell>
          <cell r="C446">
            <v>44.4</v>
          </cell>
          <cell r="D446">
            <v>45.779499999999999</v>
          </cell>
          <cell r="I446">
            <v>45.044400000000003</v>
          </cell>
        </row>
        <row r="447">
          <cell r="B447">
            <v>42276</v>
          </cell>
          <cell r="C447">
            <v>45.24</v>
          </cell>
          <cell r="D447">
            <v>45.53949999999999</v>
          </cell>
          <cell r="I447">
            <v>44.930200000000013</v>
          </cell>
        </row>
        <row r="448">
          <cell r="B448">
            <v>42277</v>
          </cell>
          <cell r="C448">
            <v>45.06</v>
          </cell>
          <cell r="D448">
            <v>45.532499999999985</v>
          </cell>
          <cell r="I448">
            <v>44.823200000000007</v>
          </cell>
        </row>
        <row r="449">
          <cell r="B449">
            <v>42278</v>
          </cell>
          <cell r="C449">
            <v>44.75</v>
          </cell>
          <cell r="D449">
            <v>45.470499999999994</v>
          </cell>
          <cell r="I449">
            <v>44.739000000000004</v>
          </cell>
        </row>
        <row r="450">
          <cell r="B450">
            <v>42279</v>
          </cell>
          <cell r="C450">
            <v>45.54</v>
          </cell>
          <cell r="D450">
            <v>45.370499999999993</v>
          </cell>
          <cell r="I450">
            <v>44.671800000000005</v>
          </cell>
        </row>
        <row r="451">
          <cell r="B451">
            <v>42282</v>
          </cell>
          <cell r="C451">
            <v>46.28</v>
          </cell>
          <cell r="D451">
            <v>45.346499999999992</v>
          </cell>
          <cell r="I451">
            <v>44.62299999999999</v>
          </cell>
        </row>
        <row r="452">
          <cell r="B452">
            <v>42283</v>
          </cell>
          <cell r="C452">
            <v>48.53</v>
          </cell>
          <cell r="D452">
            <v>45.359500000000004</v>
          </cell>
          <cell r="I452">
            <v>44.605200000000004</v>
          </cell>
        </row>
        <row r="453">
          <cell r="B453">
            <v>42284</v>
          </cell>
          <cell r="C453">
            <v>47.86</v>
          </cell>
          <cell r="D453">
            <v>45.489999999999995</v>
          </cell>
          <cell r="I453">
            <v>44.616400000000013</v>
          </cell>
        </row>
        <row r="454">
          <cell r="B454">
            <v>42285</v>
          </cell>
          <cell r="C454">
            <v>49.46</v>
          </cell>
          <cell r="D454">
            <v>45.67649999999999</v>
          </cell>
          <cell r="I454">
            <v>44.598200000000013</v>
          </cell>
        </row>
        <row r="455">
          <cell r="B455">
            <v>42286</v>
          </cell>
          <cell r="C455">
            <v>49.67</v>
          </cell>
          <cell r="D455">
            <v>45.856999999999999</v>
          </cell>
          <cell r="I455">
            <v>44.616800000000012</v>
          </cell>
        </row>
        <row r="456">
          <cell r="B456">
            <v>42289</v>
          </cell>
          <cell r="C456">
            <v>47.09</v>
          </cell>
          <cell r="D456">
            <v>46.102999999999994</v>
          </cell>
          <cell r="I456">
            <v>44.668000000000013</v>
          </cell>
        </row>
        <row r="457">
          <cell r="B457">
            <v>42290</v>
          </cell>
          <cell r="C457">
            <v>46.7</v>
          </cell>
          <cell r="D457">
            <v>46.254000000000005</v>
          </cell>
          <cell r="I457">
            <v>44.704800000000006</v>
          </cell>
        </row>
        <row r="458">
          <cell r="B458">
            <v>42291</v>
          </cell>
          <cell r="C458">
            <v>46.63</v>
          </cell>
          <cell r="D458">
            <v>46.36</v>
          </cell>
          <cell r="I458">
            <v>44.723800000000004</v>
          </cell>
        </row>
        <row r="459">
          <cell r="B459">
            <v>42292</v>
          </cell>
          <cell r="C459">
            <v>46.38</v>
          </cell>
          <cell r="D459">
            <v>46.335500000000003</v>
          </cell>
          <cell r="I459">
            <v>44.753799999999998</v>
          </cell>
        </row>
        <row r="460">
          <cell r="B460">
            <v>42293</v>
          </cell>
          <cell r="C460">
            <v>47.3</v>
          </cell>
          <cell r="D460">
            <v>46.308000000000007</v>
          </cell>
          <cell r="I460">
            <v>44.787599999999991</v>
          </cell>
        </row>
        <row r="461">
          <cell r="B461">
            <v>42296</v>
          </cell>
          <cell r="C461">
            <v>45.91</v>
          </cell>
          <cell r="D461">
            <v>46.4375</v>
          </cell>
          <cell r="I461">
            <v>44.856200000000001</v>
          </cell>
        </row>
        <row r="462">
          <cell r="B462">
            <v>42297</v>
          </cell>
          <cell r="C462">
            <v>45.84</v>
          </cell>
          <cell r="D462">
            <v>46.399500000000003</v>
          </cell>
          <cell r="I462">
            <v>44.875600000000006</v>
          </cell>
        </row>
        <row r="463">
          <cell r="B463">
            <v>42298</v>
          </cell>
          <cell r="C463">
            <v>45.22</v>
          </cell>
          <cell r="D463">
            <v>46.383000000000003</v>
          </cell>
          <cell r="I463">
            <v>44.930200000000006</v>
          </cell>
        </row>
        <row r="464">
          <cell r="B464">
            <v>42299</v>
          </cell>
          <cell r="C464">
            <v>44.9</v>
          </cell>
          <cell r="D464">
            <v>46.417500000000004</v>
          </cell>
          <cell r="I464">
            <v>44.970200000000006</v>
          </cell>
        </row>
        <row r="465">
          <cell r="B465">
            <v>42300</v>
          </cell>
          <cell r="C465">
            <v>43.91</v>
          </cell>
          <cell r="D465">
            <v>46.415500000000002</v>
          </cell>
          <cell r="I465">
            <v>45.022800000000004</v>
          </cell>
        </row>
        <row r="466">
          <cell r="B466">
            <v>42303</v>
          </cell>
          <cell r="C466">
            <v>43.19</v>
          </cell>
          <cell r="D466">
            <v>46.333500000000001</v>
          </cell>
          <cell r="I466">
            <v>45.052</v>
          </cell>
        </row>
        <row r="467">
          <cell r="B467">
            <v>42304</v>
          </cell>
          <cell r="C467">
            <v>43.21</v>
          </cell>
          <cell r="D467">
            <v>46.273000000000003</v>
          </cell>
          <cell r="I467">
            <v>45.077200000000005</v>
          </cell>
        </row>
        <row r="468">
          <cell r="B468">
            <v>42305</v>
          </cell>
          <cell r="C468">
            <v>45.93</v>
          </cell>
          <cell r="D468">
            <v>46.171500000000002</v>
          </cell>
          <cell r="I468">
            <v>45.089800000000004</v>
          </cell>
        </row>
        <row r="469">
          <cell r="B469">
            <v>42306</v>
          </cell>
          <cell r="C469">
            <v>46.02</v>
          </cell>
          <cell r="D469">
            <v>46.214999999999989</v>
          </cell>
          <cell r="I469">
            <v>45.193400000000004</v>
          </cell>
        </row>
        <row r="470">
          <cell r="B470">
            <v>42307</v>
          </cell>
          <cell r="C470">
            <v>46.6</v>
          </cell>
          <cell r="D470">
            <v>46.278499999999994</v>
          </cell>
          <cell r="I470">
            <v>45.293800000000005</v>
          </cell>
        </row>
        <row r="471">
          <cell r="B471">
            <v>42310</v>
          </cell>
          <cell r="C471">
            <v>46.12</v>
          </cell>
          <cell r="D471">
            <v>46.331499999999991</v>
          </cell>
          <cell r="I471">
            <v>45.416800000000002</v>
          </cell>
        </row>
        <row r="472">
          <cell r="B472">
            <v>42311</v>
          </cell>
          <cell r="C472">
            <v>47.88</v>
          </cell>
          <cell r="D472">
            <v>46.323499999999996</v>
          </cell>
          <cell r="I472">
            <v>45.574799999999996</v>
          </cell>
        </row>
        <row r="473">
          <cell r="B473">
            <v>42312</v>
          </cell>
          <cell r="C473">
            <v>46.32</v>
          </cell>
          <cell r="D473">
            <v>46.290999999999997</v>
          </cell>
          <cell r="I473">
            <v>45.749399999999994</v>
          </cell>
        </row>
        <row r="474">
          <cell r="B474">
            <v>42313</v>
          </cell>
          <cell r="C474">
            <v>45.27</v>
          </cell>
          <cell r="D474">
            <v>46.214000000000006</v>
          </cell>
          <cell r="I474">
            <v>45.905800000000006</v>
          </cell>
        </row>
        <row r="475">
          <cell r="B475">
            <v>42314</v>
          </cell>
          <cell r="C475">
            <v>44.32</v>
          </cell>
          <cell r="D475">
            <v>46.0045</v>
          </cell>
          <cell r="I475">
            <v>45.961800000000004</v>
          </cell>
        </row>
        <row r="476">
          <cell r="B476">
            <v>42317</v>
          </cell>
          <cell r="C476">
            <v>43.87</v>
          </cell>
          <cell r="D476">
            <v>45.737000000000002</v>
          </cell>
          <cell r="I476">
            <v>45.942400000000013</v>
          </cell>
        </row>
        <row r="477">
          <cell r="B477">
            <v>42318</v>
          </cell>
          <cell r="C477">
            <v>44.23</v>
          </cell>
          <cell r="D477">
            <v>45.576000000000001</v>
          </cell>
          <cell r="I477">
            <v>45.835800000000006</v>
          </cell>
        </row>
        <row r="478">
          <cell r="B478">
            <v>42319</v>
          </cell>
          <cell r="C478">
            <v>42.95</v>
          </cell>
          <cell r="D478">
            <v>45.452500000000001</v>
          </cell>
          <cell r="I478">
            <v>45.81280000000001</v>
          </cell>
        </row>
        <row r="479">
          <cell r="B479">
            <v>42320</v>
          </cell>
          <cell r="C479">
            <v>41.74</v>
          </cell>
          <cell r="D479">
            <v>45.268500000000003</v>
          </cell>
          <cell r="I479">
            <v>45.745800000000003</v>
          </cell>
        </row>
        <row r="480">
          <cell r="B480">
            <v>42321</v>
          </cell>
          <cell r="C480">
            <v>40.69</v>
          </cell>
          <cell r="D480">
            <v>45.036500000000004</v>
          </cell>
          <cell r="I480">
            <v>45.645599999999995</v>
          </cell>
        </row>
        <row r="481">
          <cell r="B481">
            <v>42324</v>
          </cell>
          <cell r="C481">
            <v>41.68</v>
          </cell>
          <cell r="D481">
            <v>44.706000000000003</v>
          </cell>
          <cell r="I481">
            <v>45.538999999999994</v>
          </cell>
        </row>
        <row r="482">
          <cell r="B482">
            <v>42325</v>
          </cell>
          <cell r="C482">
            <v>40.729999999999997</v>
          </cell>
          <cell r="D482">
            <v>44.494500000000002</v>
          </cell>
          <cell r="I482">
            <v>45.452199999999991</v>
          </cell>
        </row>
        <row r="483">
          <cell r="B483">
            <v>42326</v>
          </cell>
          <cell r="C483">
            <v>40.75</v>
          </cell>
          <cell r="D483">
            <v>44.239000000000004</v>
          </cell>
          <cell r="I483">
            <v>45.348399999999991</v>
          </cell>
        </row>
        <row r="484">
          <cell r="B484">
            <v>42327</v>
          </cell>
          <cell r="C484">
            <v>40.549999999999997</v>
          </cell>
          <cell r="D484">
            <v>44.015500000000003</v>
          </cell>
          <cell r="I484">
            <v>45.280799999999992</v>
          </cell>
        </row>
        <row r="485">
          <cell r="B485">
            <v>42328</v>
          </cell>
          <cell r="C485">
            <v>39.39</v>
          </cell>
          <cell r="D485">
            <v>43.797999999999995</v>
          </cell>
          <cell r="I485">
            <v>45.174800000000005</v>
          </cell>
        </row>
        <row r="486">
          <cell r="B486">
            <v>42331</v>
          </cell>
          <cell r="C486">
            <v>39.270000000000003</v>
          </cell>
          <cell r="D486">
            <v>43.571999999999989</v>
          </cell>
          <cell r="I486">
            <v>45.067599999999999</v>
          </cell>
        </row>
        <row r="487">
          <cell r="B487">
            <v>42332</v>
          </cell>
          <cell r="C487">
            <v>40.89</v>
          </cell>
          <cell r="D487">
            <v>43.375999999999998</v>
          </cell>
          <cell r="I487">
            <v>44.971600000000009</v>
          </cell>
        </row>
        <row r="488">
          <cell r="B488">
            <v>42333</v>
          </cell>
          <cell r="C488">
            <v>41.22</v>
          </cell>
          <cell r="D488">
            <v>43.26</v>
          </cell>
          <cell r="I488">
            <v>44.897799999999997</v>
          </cell>
        </row>
        <row r="489">
          <cell r="B489">
            <v>42334</v>
          </cell>
          <cell r="C489">
            <v>41.22</v>
          </cell>
          <cell r="D489">
            <v>43.024499999999996</v>
          </cell>
          <cell r="I489">
            <v>44.779799999999994</v>
          </cell>
        </row>
        <row r="490">
          <cell r="B490">
            <v>42335</v>
          </cell>
          <cell r="C490">
            <v>40.57</v>
          </cell>
          <cell r="D490">
            <v>42.784499999999994</v>
          </cell>
          <cell r="I490">
            <v>44.665599999999998</v>
          </cell>
        </row>
        <row r="491">
          <cell r="B491">
            <v>42338</v>
          </cell>
          <cell r="C491">
            <v>40.43</v>
          </cell>
          <cell r="D491">
            <v>42.482999999999997</v>
          </cell>
          <cell r="I491">
            <v>44.582799999999999</v>
          </cell>
        </row>
        <row r="492">
          <cell r="B492">
            <v>42339</v>
          </cell>
          <cell r="C492">
            <v>40.58</v>
          </cell>
          <cell r="D492">
            <v>42.198500000000003</v>
          </cell>
          <cell r="I492">
            <v>44.457999999999991</v>
          </cell>
        </row>
        <row r="493">
          <cell r="B493">
            <v>42340</v>
          </cell>
          <cell r="C493">
            <v>39.93</v>
          </cell>
          <cell r="D493">
            <v>41.833500000000001</v>
          </cell>
          <cell r="I493">
            <v>44.346199999999996</v>
          </cell>
        </row>
        <row r="494">
          <cell r="B494">
            <v>42341</v>
          </cell>
          <cell r="C494">
            <v>41.08</v>
          </cell>
          <cell r="D494">
            <v>41.514000000000003</v>
          </cell>
          <cell r="I494">
            <v>44.25419999999999</v>
          </cell>
        </row>
        <row r="495">
          <cell r="B495">
            <v>42342</v>
          </cell>
          <cell r="C495">
            <v>40</v>
          </cell>
          <cell r="D495">
            <v>41.304500000000004</v>
          </cell>
          <cell r="I495">
            <v>44.177</v>
          </cell>
        </row>
        <row r="496">
          <cell r="B496">
            <v>42345</v>
          </cell>
          <cell r="C496">
            <v>37.64</v>
          </cell>
          <cell r="D496">
            <v>41.088500000000003</v>
          </cell>
          <cell r="I496">
            <v>44.065999999999995</v>
          </cell>
        </row>
        <row r="497">
          <cell r="B497">
            <v>42346</v>
          </cell>
          <cell r="C497">
            <v>37.46</v>
          </cell>
          <cell r="D497">
            <v>40.777000000000001</v>
          </cell>
          <cell r="I497">
            <v>43.930799999999998</v>
          </cell>
        </row>
        <row r="498">
          <cell r="B498">
            <v>42347</v>
          </cell>
          <cell r="C498">
            <v>37.159999999999997</v>
          </cell>
          <cell r="D498">
            <v>40.438499999999998</v>
          </cell>
          <cell r="I498">
            <v>43.775200000000005</v>
          </cell>
        </row>
        <row r="499">
          <cell r="B499">
            <v>42348</v>
          </cell>
          <cell r="C499">
            <v>36.76</v>
          </cell>
          <cell r="D499">
            <v>40.149000000000001</v>
          </cell>
          <cell r="I499">
            <v>43.617199999999997</v>
          </cell>
        </row>
        <row r="500">
          <cell r="B500">
            <v>42349</v>
          </cell>
          <cell r="C500">
            <v>35.65</v>
          </cell>
          <cell r="D500">
            <v>39.9</v>
          </cell>
          <cell r="I500">
            <v>43.4574</v>
          </cell>
        </row>
        <row r="501">
          <cell r="B501">
            <v>42352</v>
          </cell>
          <cell r="C501">
            <v>36.31</v>
          </cell>
          <cell r="D501">
            <v>39.648000000000003</v>
          </cell>
          <cell r="I501">
            <v>43.259599999999999</v>
          </cell>
        </row>
        <row r="502">
          <cell r="B502">
            <v>42353</v>
          </cell>
          <cell r="C502">
            <v>37.32</v>
          </cell>
          <cell r="D502">
            <v>39.379499999999993</v>
          </cell>
          <cell r="I502">
            <v>43.060200000000016</v>
          </cell>
        </row>
        <row r="503">
          <cell r="B503">
            <v>42354</v>
          </cell>
          <cell r="C503">
            <v>35.549999999999997</v>
          </cell>
          <cell r="D503">
            <v>39.208999999999996</v>
          </cell>
          <cell r="I503">
            <v>42.836000000000013</v>
          </cell>
        </row>
        <row r="504">
          <cell r="B504">
            <v>42355</v>
          </cell>
          <cell r="C504">
            <v>34.979999999999997</v>
          </cell>
          <cell r="D504">
            <v>38.948999999999998</v>
          </cell>
          <cell r="I504">
            <v>42.589800000000025</v>
          </cell>
        </row>
        <row r="505">
          <cell r="B505">
            <v>42356</v>
          </cell>
          <cell r="C505">
            <v>34.72</v>
          </cell>
          <cell r="D505">
            <v>38.670499999999997</v>
          </cell>
          <cell r="I505">
            <v>42.300200000000011</v>
          </cell>
        </row>
        <row r="506">
          <cell r="B506">
            <v>42359</v>
          </cell>
          <cell r="C506">
            <v>34.549999999999997</v>
          </cell>
          <cell r="D506">
            <v>38.436999999999998</v>
          </cell>
          <cell r="I506">
            <v>42.001199999999997</v>
          </cell>
        </row>
        <row r="507">
          <cell r="B507">
            <v>42360</v>
          </cell>
          <cell r="C507">
            <v>36.119999999999997</v>
          </cell>
          <cell r="D507">
            <v>38.200999999999993</v>
          </cell>
          <cell r="I507">
            <v>41.750400000000006</v>
          </cell>
        </row>
        <row r="508">
          <cell r="B508">
            <v>42361</v>
          </cell>
          <cell r="C508">
            <v>36.76</v>
          </cell>
          <cell r="D508">
            <v>37.962499999999999</v>
          </cell>
          <cell r="I508">
            <v>41.538800000000009</v>
          </cell>
        </row>
        <row r="509">
          <cell r="B509">
            <v>42362</v>
          </cell>
          <cell r="C509">
            <v>37.619999999999997</v>
          </cell>
          <cell r="D509">
            <v>37.739499999999992</v>
          </cell>
          <cell r="I509">
            <v>41.341400000000014</v>
          </cell>
        </row>
        <row r="510">
          <cell r="B510">
            <v>42363</v>
          </cell>
          <cell r="C510">
            <v>37.6</v>
          </cell>
          <cell r="D510">
            <v>37.559499999999993</v>
          </cell>
          <cell r="I510">
            <v>41.166199999999996</v>
          </cell>
        </row>
        <row r="511">
          <cell r="B511">
            <v>42366</v>
          </cell>
          <cell r="C511">
            <v>36.36</v>
          </cell>
          <cell r="D511">
            <v>37.410999999999994</v>
          </cell>
          <cell r="I511">
            <v>40.972200000000001</v>
          </cell>
        </row>
        <row r="512">
          <cell r="B512">
            <v>42367</v>
          </cell>
          <cell r="C512">
            <v>37.880000000000003</v>
          </cell>
          <cell r="D512">
            <v>37.207499999999996</v>
          </cell>
          <cell r="I512">
            <v>40.781199999999991</v>
          </cell>
        </row>
        <row r="513">
          <cell r="B513">
            <v>42368</v>
          </cell>
          <cell r="C513">
            <v>36.590000000000003</v>
          </cell>
          <cell r="D513">
            <v>37.072499999999998</v>
          </cell>
          <cell r="I513">
            <v>40.622</v>
          </cell>
        </row>
        <row r="514">
          <cell r="B514">
            <v>42369</v>
          </cell>
          <cell r="C514">
            <v>37.130000000000003</v>
          </cell>
          <cell r="D514">
            <v>36.905500000000004</v>
          </cell>
          <cell r="I514">
            <v>40.449399999999997</v>
          </cell>
        </row>
        <row r="515">
          <cell r="B515">
            <v>42370</v>
          </cell>
          <cell r="C515">
            <v>37.130000000000003</v>
          </cell>
          <cell r="D515">
            <v>36.708000000000006</v>
          </cell>
          <cell r="I515">
            <v>40.29399999999999</v>
          </cell>
        </row>
        <row r="516">
          <cell r="B516">
            <v>42373</v>
          </cell>
          <cell r="C516">
            <v>36.81</v>
          </cell>
          <cell r="D516">
            <v>36.564500000000002</v>
          </cell>
          <cell r="I516">
            <v>40.158399999999993</v>
          </cell>
        </row>
        <row r="517">
          <cell r="B517">
            <v>42374</v>
          </cell>
          <cell r="C517">
            <v>35.97</v>
          </cell>
          <cell r="D517">
            <v>36.523000000000003</v>
          </cell>
          <cell r="I517">
            <v>40.030799999999999</v>
          </cell>
        </row>
        <row r="518">
          <cell r="B518">
            <v>42375</v>
          </cell>
          <cell r="C518">
            <v>33.97</v>
          </cell>
          <cell r="D518">
            <v>36.448500000000003</v>
          </cell>
          <cell r="I518">
            <v>39.885999999999996</v>
          </cell>
        </row>
        <row r="519">
          <cell r="B519">
            <v>42376</v>
          </cell>
          <cell r="C519">
            <v>33.29</v>
          </cell>
          <cell r="D519">
            <v>36.289000000000001</v>
          </cell>
          <cell r="I519">
            <v>39.646799999999999</v>
          </cell>
        </row>
        <row r="520">
          <cell r="B520">
            <v>42377</v>
          </cell>
          <cell r="C520">
            <v>33.200000000000003</v>
          </cell>
          <cell r="D520">
            <v>36.115499999999997</v>
          </cell>
          <cell r="I520">
            <v>39.392199999999995</v>
          </cell>
        </row>
        <row r="521">
          <cell r="B521">
            <v>42380</v>
          </cell>
          <cell r="C521">
            <v>31.42</v>
          </cell>
          <cell r="D521">
            <v>35.993000000000009</v>
          </cell>
          <cell r="I521">
            <v>39.124199999999995</v>
          </cell>
        </row>
        <row r="522">
          <cell r="B522">
            <v>42381</v>
          </cell>
          <cell r="C522">
            <v>30.42</v>
          </cell>
          <cell r="D522">
            <v>35.748500000000007</v>
          </cell>
          <cell r="I522">
            <v>38.830199999999998</v>
          </cell>
        </row>
        <row r="523">
          <cell r="B523">
            <v>42382</v>
          </cell>
          <cell r="C523">
            <v>30.42</v>
          </cell>
          <cell r="D523">
            <v>35.403499999999994</v>
          </cell>
          <cell r="I523">
            <v>38.481000000000002</v>
          </cell>
        </row>
        <row r="524">
          <cell r="B524">
            <v>42383</v>
          </cell>
          <cell r="C524">
            <v>31.22</v>
          </cell>
          <cell r="D524">
            <v>35.146999999999991</v>
          </cell>
          <cell r="I524">
            <v>38.163000000000004</v>
          </cell>
        </row>
        <row r="525">
          <cell r="B525">
            <v>42384</v>
          </cell>
          <cell r="C525">
            <v>29.45</v>
          </cell>
          <cell r="D525">
            <v>34.958999999999989</v>
          </cell>
          <cell r="I525">
            <v>37.882000000000005</v>
          </cell>
        </row>
        <row r="526">
          <cell r="B526">
            <v>42388</v>
          </cell>
          <cell r="C526">
            <v>28.47</v>
          </cell>
          <cell r="D526">
            <v>34.695499999999996</v>
          </cell>
          <cell r="I526">
            <v>37.584600000000002</v>
          </cell>
        </row>
        <row r="527">
          <cell r="B527">
            <v>42389</v>
          </cell>
          <cell r="C527">
            <v>26.68</v>
          </cell>
          <cell r="D527">
            <v>34.391499999999994</v>
          </cell>
          <cell r="I527">
            <v>37.276600000000002</v>
          </cell>
        </row>
        <row r="528">
          <cell r="B528">
            <v>42390</v>
          </cell>
          <cell r="C528">
            <v>29.55</v>
          </cell>
          <cell r="D528">
            <v>33.919500000000006</v>
          </cell>
          <cell r="I528">
            <v>36.925600000000003</v>
          </cell>
        </row>
        <row r="529">
          <cell r="B529">
            <v>42391</v>
          </cell>
          <cell r="C529">
            <v>32.07</v>
          </cell>
          <cell r="D529">
            <v>33.559000000000005</v>
          </cell>
          <cell r="I529">
            <v>36.657600000000002</v>
          </cell>
        </row>
        <row r="530">
          <cell r="B530">
            <v>42394</v>
          </cell>
          <cell r="C530">
            <v>30.31</v>
          </cell>
          <cell r="D530">
            <v>33.281500000000008</v>
          </cell>
          <cell r="I530">
            <v>36.464200000000005</v>
          </cell>
        </row>
        <row r="531">
          <cell r="B531">
            <v>42395</v>
          </cell>
          <cell r="C531">
            <v>29.54</v>
          </cell>
          <cell r="D531">
            <v>32.916999999999994</v>
          </cell>
          <cell r="I531">
            <v>36.256600000000006</v>
          </cell>
        </row>
        <row r="532">
          <cell r="B532">
            <v>42396</v>
          </cell>
          <cell r="C532">
            <v>32.32</v>
          </cell>
          <cell r="D532">
            <v>32.575999999999993</v>
          </cell>
          <cell r="I532">
            <v>36.013800000000003</v>
          </cell>
        </row>
        <row r="533">
          <cell r="B533">
            <v>42397</v>
          </cell>
          <cell r="C533">
            <v>33.21</v>
          </cell>
          <cell r="D533">
            <v>32.298000000000002</v>
          </cell>
          <cell r="I533">
            <v>35.845599999999997</v>
          </cell>
        </row>
        <row r="534">
          <cell r="B534">
            <v>42398</v>
          </cell>
          <cell r="C534">
            <v>33.659999999999997</v>
          </cell>
          <cell r="D534">
            <v>32.129000000000005</v>
          </cell>
          <cell r="I534">
            <v>35.694800000000008</v>
          </cell>
        </row>
        <row r="535">
          <cell r="B535">
            <v>42401</v>
          </cell>
          <cell r="C535">
            <v>31.62</v>
          </cell>
          <cell r="D535">
            <v>31.955500000000001</v>
          </cell>
          <cell r="I535">
            <v>35.557000000000009</v>
          </cell>
        </row>
        <row r="536">
          <cell r="B536">
            <v>42402</v>
          </cell>
          <cell r="C536">
            <v>29.9</v>
          </cell>
          <cell r="D536">
            <v>31.68</v>
          </cell>
          <cell r="I536">
            <v>35.401600000000002</v>
          </cell>
        </row>
        <row r="537">
          <cell r="B537">
            <v>42403</v>
          </cell>
          <cell r="C537">
            <v>32.29</v>
          </cell>
          <cell r="D537">
            <v>31.334500000000002</v>
          </cell>
          <cell r="I537">
            <v>35.214200000000005</v>
          </cell>
        </row>
        <row r="538">
          <cell r="B538">
            <v>42404</v>
          </cell>
          <cell r="C538">
            <v>31.63</v>
          </cell>
          <cell r="D538">
            <v>31.150500000000001</v>
          </cell>
          <cell r="I538">
            <v>35.042200000000008</v>
          </cell>
        </row>
        <row r="539">
          <cell r="B539">
            <v>42405</v>
          </cell>
          <cell r="C539">
            <v>30.86</v>
          </cell>
          <cell r="D539">
            <v>31.033499999999997</v>
          </cell>
          <cell r="I539">
            <v>34.850400000000008</v>
          </cell>
        </row>
        <row r="540">
          <cell r="B540">
            <v>42408</v>
          </cell>
          <cell r="C540">
            <v>29.71</v>
          </cell>
          <cell r="D540">
            <v>30.911999999999995</v>
          </cell>
          <cell r="I540">
            <v>34.6432</v>
          </cell>
        </row>
        <row r="541">
          <cell r="B541">
            <v>42409</v>
          </cell>
          <cell r="C541">
            <v>27.96</v>
          </cell>
          <cell r="D541">
            <v>30.737500000000001</v>
          </cell>
          <cell r="I541">
            <v>34.426000000000002</v>
          </cell>
        </row>
        <row r="542">
          <cell r="B542">
            <v>42410</v>
          </cell>
          <cell r="C542">
            <v>27.54</v>
          </cell>
          <cell r="D542">
            <v>30.56450000000001</v>
          </cell>
          <cell r="I542">
            <v>34.176600000000008</v>
          </cell>
        </row>
        <row r="543">
          <cell r="B543">
            <v>42411</v>
          </cell>
          <cell r="C543">
            <v>26.19</v>
          </cell>
          <cell r="D543">
            <v>30.420499999999997</v>
          </cell>
          <cell r="I543">
            <v>33.915800000000004</v>
          </cell>
        </row>
        <row r="544">
          <cell r="B544">
            <v>42412</v>
          </cell>
          <cell r="C544">
            <v>29.32</v>
          </cell>
          <cell r="D544">
            <v>30.209000000000003</v>
          </cell>
          <cell r="I544">
            <v>33.641000000000005</v>
          </cell>
        </row>
        <row r="545">
          <cell r="B545">
            <v>42416</v>
          </cell>
          <cell r="C545">
            <v>29.05</v>
          </cell>
          <cell r="D545">
            <v>30.114000000000004</v>
          </cell>
          <cell r="I545">
            <v>33.405800000000006</v>
          </cell>
        </row>
        <row r="546">
          <cell r="B546">
            <v>42417</v>
          </cell>
          <cell r="C546">
            <v>30.68</v>
          </cell>
          <cell r="D546">
            <v>30.094000000000001</v>
          </cell>
          <cell r="I546">
            <v>33.186799999999998</v>
          </cell>
        </row>
        <row r="547">
          <cell r="B547">
            <v>42418</v>
          </cell>
          <cell r="C547">
            <v>30.77</v>
          </cell>
          <cell r="D547">
            <v>30.204499999999996</v>
          </cell>
          <cell r="I547">
            <v>33.047599999999996</v>
          </cell>
        </row>
        <row r="548">
          <cell r="B548">
            <v>42419</v>
          </cell>
          <cell r="C548">
            <v>29.59</v>
          </cell>
          <cell r="D548">
            <v>30.408999999999999</v>
          </cell>
          <cell r="I548">
            <v>32.913799999999995</v>
          </cell>
        </row>
        <row r="549">
          <cell r="B549">
            <v>42422</v>
          </cell>
          <cell r="C549">
            <v>31.37</v>
          </cell>
          <cell r="D549">
            <v>30.410999999999994</v>
          </cell>
          <cell r="I549">
            <v>32.762399999999992</v>
          </cell>
        </row>
        <row r="550">
          <cell r="B550">
            <v>42423</v>
          </cell>
          <cell r="C550">
            <v>31.84</v>
          </cell>
          <cell r="D550">
            <v>30.375999999999998</v>
          </cell>
          <cell r="I550">
            <v>32.654599999999988</v>
          </cell>
        </row>
        <row r="551">
          <cell r="B551">
            <v>42424</v>
          </cell>
          <cell r="C551">
            <v>30.35</v>
          </cell>
          <cell r="D551">
            <v>30.452500000000004</v>
          </cell>
          <cell r="I551">
            <v>32.578399999999995</v>
          </cell>
        </row>
        <row r="552">
          <cell r="B552">
            <v>42425</v>
          </cell>
          <cell r="C552">
            <v>31.4</v>
          </cell>
          <cell r="D552">
            <v>30.493000000000002</v>
          </cell>
          <cell r="I552">
            <v>32.459199999999996</v>
          </cell>
        </row>
        <row r="553">
          <cell r="B553">
            <v>42426</v>
          </cell>
          <cell r="C553">
            <v>31.65</v>
          </cell>
          <cell r="D553">
            <v>30.447000000000003</v>
          </cell>
          <cell r="I553">
            <v>32.340799999999994</v>
          </cell>
        </row>
        <row r="554">
          <cell r="B554">
            <v>42429</v>
          </cell>
          <cell r="C554">
            <v>32.74</v>
          </cell>
          <cell r="D554">
            <v>30.369</v>
          </cell>
          <cell r="I554">
            <v>32.262799999999991</v>
          </cell>
        </row>
        <row r="555">
          <cell r="B555">
            <v>42430</v>
          </cell>
          <cell r="C555">
            <v>34.39</v>
          </cell>
          <cell r="D555">
            <v>30.323</v>
          </cell>
          <cell r="I555">
            <v>32.217999999999989</v>
          </cell>
        </row>
        <row r="556">
          <cell r="B556">
            <v>42431</v>
          </cell>
          <cell r="C556">
            <v>34.57</v>
          </cell>
          <cell r="D556">
            <v>30.461499999999994</v>
          </cell>
          <cell r="I556">
            <v>32.211399999999998</v>
          </cell>
        </row>
        <row r="557">
          <cell r="B557">
            <v>42432</v>
          </cell>
          <cell r="C557">
            <v>34.56</v>
          </cell>
          <cell r="D557">
            <v>30.695</v>
          </cell>
          <cell r="I557">
            <v>32.211799999999997</v>
          </cell>
        </row>
        <row r="558">
          <cell r="B558">
            <v>42433</v>
          </cell>
          <cell r="C558">
            <v>35.909999999999997</v>
          </cell>
          <cell r="D558">
            <v>30.808499999999992</v>
          </cell>
          <cell r="I558">
            <v>32.180599999999998</v>
          </cell>
        </row>
        <row r="559">
          <cell r="B559">
            <v>42436</v>
          </cell>
          <cell r="C559">
            <v>37.9</v>
          </cell>
          <cell r="D559">
            <v>31.022499999999997</v>
          </cell>
          <cell r="I559">
            <v>32.163599999999995</v>
          </cell>
        </row>
        <row r="560">
          <cell r="B560">
            <v>42437</v>
          </cell>
          <cell r="C560">
            <v>36.67</v>
          </cell>
          <cell r="D560">
            <v>31.374500000000001</v>
          </cell>
          <cell r="I560">
            <v>32.169200000000004</v>
          </cell>
        </row>
        <row r="561">
          <cell r="B561">
            <v>42438</v>
          </cell>
          <cell r="C561">
            <v>37.619999999999997</v>
          </cell>
          <cell r="D561">
            <v>31.722499999999997</v>
          </cell>
          <cell r="I561">
            <v>32.150599999999997</v>
          </cell>
        </row>
        <row r="562">
          <cell r="B562">
            <v>42439</v>
          </cell>
          <cell r="C562">
            <v>37.770000000000003</v>
          </cell>
          <cell r="D562">
            <v>32.205499999999994</v>
          </cell>
          <cell r="I562">
            <v>32.175800000000002</v>
          </cell>
        </row>
        <row r="563">
          <cell r="B563">
            <v>42440</v>
          </cell>
          <cell r="C563">
            <v>38.51</v>
          </cell>
          <cell r="D563">
            <v>32.716999999999999</v>
          </cell>
          <cell r="I563">
            <v>32.1736</v>
          </cell>
        </row>
        <row r="564">
          <cell r="B564">
            <v>42443</v>
          </cell>
          <cell r="C564">
            <v>37.200000000000003</v>
          </cell>
          <cell r="D564">
            <v>33.332999999999991</v>
          </cell>
          <cell r="I564">
            <v>32.211999999999996</v>
          </cell>
        </row>
        <row r="565">
          <cell r="B565">
            <v>42444</v>
          </cell>
          <cell r="C565">
            <v>36.32</v>
          </cell>
          <cell r="D565">
            <v>33.726999999999997</v>
          </cell>
          <cell r="I565">
            <v>32.2134</v>
          </cell>
        </row>
        <row r="566">
          <cell r="B566">
            <v>42445</v>
          </cell>
          <cell r="C566">
            <v>38.43</v>
          </cell>
          <cell r="D566">
            <v>34.090499999999999</v>
          </cell>
          <cell r="I566">
            <v>32.197200000000002</v>
          </cell>
        </row>
        <row r="567">
          <cell r="B567">
            <v>42446</v>
          </cell>
          <cell r="C567">
            <v>40.17</v>
          </cell>
          <cell r="D567">
            <v>34.478000000000002</v>
          </cell>
          <cell r="I567">
            <v>32.229600000000005</v>
          </cell>
        </row>
        <row r="568">
          <cell r="B568">
            <v>42447</v>
          </cell>
          <cell r="C568">
            <v>39.47</v>
          </cell>
          <cell r="D568">
            <v>34.948</v>
          </cell>
          <cell r="I568">
            <v>32.313600000000008</v>
          </cell>
        </row>
        <row r="569">
          <cell r="B569">
            <v>42450</v>
          </cell>
          <cell r="C569">
            <v>39.909999999999997</v>
          </cell>
          <cell r="D569">
            <v>35.442</v>
          </cell>
          <cell r="I569">
            <v>32.423600000000008</v>
          </cell>
        </row>
        <row r="570">
          <cell r="B570">
            <v>42451</v>
          </cell>
          <cell r="C570">
            <v>41.45</v>
          </cell>
          <cell r="D570">
            <v>35.868999999999993</v>
          </cell>
          <cell r="I570">
            <v>32.556000000000012</v>
          </cell>
        </row>
        <row r="571">
          <cell r="B571">
            <v>42452</v>
          </cell>
          <cell r="C571">
            <v>38.28</v>
          </cell>
          <cell r="D571">
            <v>36.349499999999999</v>
          </cell>
          <cell r="I571">
            <v>32.721000000000011</v>
          </cell>
        </row>
        <row r="572">
          <cell r="B572">
            <v>42453</v>
          </cell>
          <cell r="C572">
            <v>38.14</v>
          </cell>
          <cell r="D572">
            <v>36.745999999999995</v>
          </cell>
          <cell r="I572">
            <v>32.858200000000011</v>
          </cell>
        </row>
        <row r="573">
          <cell r="B573">
            <v>42457</v>
          </cell>
          <cell r="C573">
            <v>37.99</v>
          </cell>
          <cell r="D573">
            <v>37.082999999999998</v>
          </cell>
          <cell r="I573">
            <v>33.012600000000006</v>
          </cell>
        </row>
        <row r="574">
          <cell r="B574">
            <v>42458</v>
          </cell>
          <cell r="C574">
            <v>36.909999999999997</v>
          </cell>
          <cell r="D574">
            <v>37.4</v>
          </cell>
          <cell r="I574">
            <v>33.164000000000009</v>
          </cell>
        </row>
        <row r="575">
          <cell r="B575">
            <v>42459</v>
          </cell>
          <cell r="C575">
            <v>36.909999999999997</v>
          </cell>
          <cell r="D575">
            <v>37.608499999999999</v>
          </cell>
          <cell r="I575">
            <v>33.277800000000013</v>
          </cell>
        </row>
        <row r="576">
          <cell r="B576">
            <v>42460</v>
          </cell>
          <cell r="C576">
            <v>36.94</v>
          </cell>
          <cell r="D576">
            <v>37.734499999999997</v>
          </cell>
          <cell r="I576">
            <v>33.427000000000007</v>
          </cell>
        </row>
        <row r="577">
          <cell r="B577">
            <v>42461</v>
          </cell>
          <cell r="C577">
            <v>35.36</v>
          </cell>
          <cell r="D577">
            <v>37.852999999999994</v>
          </cell>
          <cell r="I577">
            <v>33.59640000000001</v>
          </cell>
        </row>
        <row r="578">
          <cell r="B578">
            <v>42464</v>
          </cell>
          <cell r="C578">
            <v>34.299999999999997</v>
          </cell>
          <cell r="D578">
            <v>37.893000000000001</v>
          </cell>
          <cell r="I578">
            <v>33.77000000000001</v>
          </cell>
        </row>
        <row r="579">
          <cell r="B579">
            <v>42465</v>
          </cell>
          <cell r="C579">
            <v>34.520000000000003</v>
          </cell>
          <cell r="D579">
            <v>37.812499999999993</v>
          </cell>
          <cell r="I579">
            <v>33.865000000000002</v>
          </cell>
        </row>
        <row r="580">
          <cell r="B580">
            <v>42466</v>
          </cell>
          <cell r="C580">
            <v>37.74</v>
          </cell>
          <cell r="D580">
            <v>37.643499999999989</v>
          </cell>
          <cell r="I580">
            <v>33.914000000000009</v>
          </cell>
        </row>
        <row r="581">
          <cell r="B581">
            <v>42467</v>
          </cell>
          <cell r="C581">
            <v>37.299999999999997</v>
          </cell>
          <cell r="D581">
            <v>37.696999999999996</v>
          </cell>
          <cell r="I581">
            <v>34.062600000000003</v>
          </cell>
        </row>
        <row r="582">
          <cell r="B582">
            <v>42468</v>
          </cell>
          <cell r="C582">
            <v>39.74</v>
          </cell>
          <cell r="D582">
            <v>37.68099999999999</v>
          </cell>
          <cell r="I582">
            <v>34.217800000000004</v>
          </cell>
        </row>
        <row r="583">
          <cell r="B583">
            <v>42471</v>
          </cell>
          <cell r="C583">
            <v>40.46</v>
          </cell>
          <cell r="D583">
            <v>37.779499999999992</v>
          </cell>
          <cell r="I583">
            <v>34.366200000000006</v>
          </cell>
        </row>
        <row r="584">
          <cell r="B584">
            <v>42472</v>
          </cell>
          <cell r="C584">
            <v>42.12</v>
          </cell>
          <cell r="D584">
            <v>37.876999999999995</v>
          </cell>
          <cell r="I584">
            <v>34.511200000000009</v>
          </cell>
        </row>
        <row r="585">
          <cell r="B585">
            <v>42473</v>
          </cell>
          <cell r="C585">
            <v>41.7</v>
          </cell>
          <cell r="D585">
            <v>38.122999999999998</v>
          </cell>
          <cell r="I585">
            <v>34.680400000000006</v>
          </cell>
        </row>
        <row r="586">
          <cell r="B586">
            <v>42474</v>
          </cell>
          <cell r="C586">
            <v>41.45</v>
          </cell>
          <cell r="D586">
            <v>38.392000000000003</v>
          </cell>
          <cell r="I586">
            <v>34.882000000000005</v>
          </cell>
        </row>
        <row r="587">
          <cell r="B587">
            <v>42475</v>
          </cell>
          <cell r="C587">
            <v>40.4</v>
          </cell>
          <cell r="D587">
            <v>38.543000000000006</v>
          </cell>
          <cell r="I587">
            <v>35.113000000000007</v>
          </cell>
        </row>
        <row r="588">
          <cell r="B588">
            <v>42478</v>
          </cell>
          <cell r="C588">
            <v>39.74</v>
          </cell>
          <cell r="D588">
            <v>38.554500000000004</v>
          </cell>
          <cell r="I588">
            <v>35.275199999999998</v>
          </cell>
        </row>
        <row r="589">
          <cell r="B589">
            <v>42479</v>
          </cell>
          <cell r="C589">
            <v>40.880000000000003</v>
          </cell>
          <cell r="D589">
            <v>38.568000000000005</v>
          </cell>
          <cell r="I589">
            <v>35.437400000000004</v>
          </cell>
        </row>
        <row r="590">
          <cell r="B590">
            <v>42480</v>
          </cell>
          <cell r="C590">
            <v>42.72</v>
          </cell>
          <cell r="D590">
            <v>38.616500000000009</v>
          </cell>
          <cell r="I590">
            <v>35.637800000000006</v>
          </cell>
        </row>
        <row r="591">
          <cell r="B591">
            <v>42481</v>
          </cell>
          <cell r="C591">
            <v>43.18</v>
          </cell>
          <cell r="D591">
            <v>38.68</v>
          </cell>
          <cell r="I591">
            <v>35.898000000000003</v>
          </cell>
        </row>
        <row r="592">
          <cell r="B592">
            <v>42482</v>
          </cell>
          <cell r="C592">
            <v>42.76</v>
          </cell>
          <cell r="D592">
            <v>38.924999999999997</v>
          </cell>
          <cell r="I592">
            <v>36.202400000000004</v>
          </cell>
        </row>
        <row r="593">
          <cell r="B593">
            <v>42485</v>
          </cell>
          <cell r="C593">
            <v>41.67</v>
          </cell>
          <cell r="D593">
            <v>39.155999999999999</v>
          </cell>
          <cell r="I593">
            <v>36.506800000000005</v>
          </cell>
        </row>
        <row r="594">
          <cell r="B594">
            <v>42486</v>
          </cell>
          <cell r="C594">
            <v>42.52</v>
          </cell>
          <cell r="D594">
            <v>39.339999999999996</v>
          </cell>
          <cell r="I594">
            <v>36.816400000000002</v>
          </cell>
        </row>
        <row r="595">
          <cell r="B595">
            <v>42487</v>
          </cell>
          <cell r="C595">
            <v>45.29</v>
          </cell>
          <cell r="D595">
            <v>39.620499999999993</v>
          </cell>
          <cell r="I595">
            <v>37.080400000000004</v>
          </cell>
        </row>
        <row r="596">
          <cell r="B596">
            <v>42488</v>
          </cell>
          <cell r="C596">
            <v>46.03</v>
          </cell>
          <cell r="D596">
            <v>40.03949999999999</v>
          </cell>
          <cell r="I596">
            <v>37.405200000000008</v>
          </cell>
        </row>
        <row r="597">
          <cell r="B597">
            <v>42489</v>
          </cell>
          <cell r="C597">
            <v>45.98</v>
          </cell>
          <cell r="D597">
            <v>40.493999999999986</v>
          </cell>
          <cell r="I597">
            <v>37.712200000000003</v>
          </cell>
        </row>
        <row r="598">
          <cell r="B598">
            <v>42492</v>
          </cell>
          <cell r="C598">
            <v>44.75</v>
          </cell>
          <cell r="D598">
            <v>41.024999999999991</v>
          </cell>
          <cell r="I598">
            <v>38.016400000000004</v>
          </cell>
        </row>
        <row r="599">
          <cell r="B599">
            <v>42493</v>
          </cell>
          <cell r="C599">
            <v>43.65</v>
          </cell>
          <cell r="D599">
            <v>41.547499999999992</v>
          </cell>
          <cell r="I599">
            <v>38.319600000000001</v>
          </cell>
        </row>
        <row r="600">
          <cell r="B600">
            <v>42494</v>
          </cell>
          <cell r="C600">
            <v>43.77</v>
          </cell>
          <cell r="D600">
            <v>42.003999999999998</v>
          </cell>
          <cell r="I600">
            <v>38.565200000000004</v>
          </cell>
        </row>
        <row r="601">
          <cell r="B601">
            <v>42495</v>
          </cell>
          <cell r="C601">
            <v>44.33</v>
          </cell>
          <cell r="D601">
            <v>42.305499999999995</v>
          </cell>
          <cell r="I601">
            <v>38.803800000000003</v>
          </cell>
        </row>
        <row r="602">
          <cell r="B602">
            <v>42496</v>
          </cell>
          <cell r="C602">
            <v>44.58</v>
          </cell>
          <cell r="D602">
            <v>42.656999999999996</v>
          </cell>
          <cell r="I602">
            <v>39.083400000000005</v>
          </cell>
        </row>
        <row r="603">
          <cell r="B603">
            <v>42499</v>
          </cell>
          <cell r="C603">
            <v>43.45</v>
          </cell>
          <cell r="D603">
            <v>42.899000000000001</v>
          </cell>
          <cell r="I603">
            <v>39.347000000000001</v>
          </cell>
        </row>
        <row r="604">
          <cell r="B604">
            <v>42500</v>
          </cell>
          <cell r="C604">
            <v>44.68</v>
          </cell>
          <cell r="D604">
            <v>43.048500000000004</v>
          </cell>
          <cell r="I604">
            <v>39.583000000000006</v>
          </cell>
        </row>
        <row r="605">
          <cell r="B605">
            <v>42501</v>
          </cell>
          <cell r="C605">
            <v>46.21</v>
          </cell>
          <cell r="D605">
            <v>43.176500000000004</v>
          </cell>
          <cell r="I605">
            <v>39.821800000000003</v>
          </cell>
        </row>
        <row r="606">
          <cell r="B606">
            <v>42502</v>
          </cell>
          <cell r="C606">
            <v>46.64</v>
          </cell>
          <cell r="D606">
            <v>43.402000000000001</v>
          </cell>
          <cell r="I606">
            <v>40.058199999999999</v>
          </cell>
        </row>
        <row r="607">
          <cell r="B607">
            <v>42503</v>
          </cell>
          <cell r="C607">
            <v>46.22</v>
          </cell>
          <cell r="D607">
            <v>43.661500000000004</v>
          </cell>
          <cell r="I607">
            <v>40.299600000000012</v>
          </cell>
        </row>
        <row r="608">
          <cell r="B608">
            <v>42506</v>
          </cell>
          <cell r="C608">
            <v>47.72</v>
          </cell>
          <cell r="D608">
            <v>43.952500000000001</v>
          </cell>
          <cell r="I608">
            <v>40.532800000000009</v>
          </cell>
        </row>
        <row r="609">
          <cell r="B609">
            <v>42507</v>
          </cell>
          <cell r="C609">
            <v>48.29</v>
          </cell>
          <cell r="D609">
            <v>44.351500000000001</v>
          </cell>
          <cell r="I609">
            <v>40.769000000000013</v>
          </cell>
        </row>
        <row r="610">
          <cell r="B610">
            <v>42508</v>
          </cell>
          <cell r="C610">
            <v>48.12</v>
          </cell>
          <cell r="D610">
            <v>44.722000000000001</v>
          </cell>
          <cell r="I610">
            <v>40.976800000000011</v>
          </cell>
        </row>
        <row r="611">
          <cell r="B611">
            <v>42509</v>
          </cell>
          <cell r="C611">
            <v>48.16</v>
          </cell>
          <cell r="D611">
            <v>44.992000000000004</v>
          </cell>
          <cell r="I611">
            <v>41.205800000000011</v>
          </cell>
        </row>
        <row r="612">
          <cell r="B612">
            <v>42510</v>
          </cell>
          <cell r="C612">
            <v>47.67</v>
          </cell>
          <cell r="D612">
            <v>45.241</v>
          </cell>
          <cell r="I612">
            <v>41.416599999999995</v>
          </cell>
        </row>
        <row r="613">
          <cell r="B613">
            <v>42513</v>
          </cell>
          <cell r="C613">
            <v>48.12</v>
          </cell>
          <cell r="D613">
            <v>45.486499999999992</v>
          </cell>
          <cell r="I613">
            <v>41.614600000000003</v>
          </cell>
        </row>
        <row r="614">
          <cell r="B614">
            <v>42514</v>
          </cell>
          <cell r="C614">
            <v>48.04</v>
          </cell>
          <cell r="D614">
            <v>45.80899999999999</v>
          </cell>
          <cell r="I614">
            <v>41.806800000000003</v>
          </cell>
        </row>
        <row r="615">
          <cell r="B615">
            <v>42515</v>
          </cell>
          <cell r="C615">
            <v>49.1</v>
          </cell>
          <cell r="D615">
            <v>46.084999999999994</v>
          </cell>
          <cell r="I615">
            <v>42.023600000000009</v>
          </cell>
        </row>
        <row r="616">
          <cell r="B616">
            <v>42516</v>
          </cell>
          <cell r="C616">
            <v>49</v>
          </cell>
          <cell r="D616">
            <v>46.275499999999994</v>
          </cell>
          <cell r="I616">
            <v>42.279200000000003</v>
          </cell>
        </row>
        <row r="617">
          <cell r="B617">
            <v>42517</v>
          </cell>
          <cell r="C617">
            <v>49.36</v>
          </cell>
          <cell r="D617">
            <v>46.423999999999992</v>
          </cell>
          <cell r="I617">
            <v>42.490600000000001</v>
          </cell>
        </row>
        <row r="618">
          <cell r="B618">
            <v>42521</v>
          </cell>
          <cell r="C618">
            <v>49.1</v>
          </cell>
          <cell r="D618">
            <v>46.592999999999996</v>
          </cell>
          <cell r="I618">
            <v>42.674399999999999</v>
          </cell>
        </row>
        <row r="619">
          <cell r="B619">
            <v>42522</v>
          </cell>
          <cell r="C619">
            <v>49.07</v>
          </cell>
          <cell r="D619">
            <v>46.810499999999998</v>
          </cell>
          <cell r="I619">
            <v>42.866999999999997</v>
          </cell>
        </row>
        <row r="620">
          <cell r="B620">
            <v>42523</v>
          </cell>
          <cell r="C620">
            <v>49.14</v>
          </cell>
          <cell r="D620">
            <v>47.081500000000005</v>
          </cell>
          <cell r="I620">
            <v>43.050200000000004</v>
          </cell>
        </row>
        <row r="621">
          <cell r="B621">
            <v>42524</v>
          </cell>
          <cell r="C621">
            <v>48.69</v>
          </cell>
          <cell r="D621">
            <v>47.350000000000009</v>
          </cell>
          <cell r="I621">
            <v>43.203999999999994</v>
          </cell>
        </row>
        <row r="622">
          <cell r="B622">
            <v>42527</v>
          </cell>
          <cell r="C622">
            <v>49.71</v>
          </cell>
          <cell r="D622">
            <v>47.568000000000005</v>
          </cell>
          <cell r="I622">
            <v>43.412199999999991</v>
          </cell>
        </row>
        <row r="623">
          <cell r="B623">
            <v>42528</v>
          </cell>
          <cell r="C623">
            <v>50.37</v>
          </cell>
          <cell r="D623">
            <v>47.8245</v>
          </cell>
          <cell r="I623">
            <v>43.643599999999999</v>
          </cell>
        </row>
        <row r="624">
          <cell r="B624">
            <v>42529</v>
          </cell>
          <cell r="C624">
            <v>51.23</v>
          </cell>
          <cell r="D624">
            <v>48.170500000000011</v>
          </cell>
          <cell r="I624">
            <v>43.891199999999991</v>
          </cell>
        </row>
        <row r="625">
          <cell r="B625">
            <v>42530</v>
          </cell>
          <cell r="C625">
            <v>50.52</v>
          </cell>
          <cell r="D625">
            <v>48.498000000000005</v>
          </cell>
          <cell r="I625">
            <v>44.177599999999991</v>
          </cell>
        </row>
        <row r="626">
          <cell r="B626">
            <v>42531</v>
          </cell>
          <cell r="C626">
            <v>49.09</v>
          </cell>
          <cell r="D626">
            <v>48.713500000000003</v>
          </cell>
          <cell r="I626">
            <v>44.449799999999989</v>
          </cell>
        </row>
        <row r="627">
          <cell r="B627">
            <v>42534</v>
          </cell>
          <cell r="C627">
            <v>48.89</v>
          </cell>
          <cell r="D627">
            <v>48.836000000000013</v>
          </cell>
          <cell r="I627">
            <v>44.692799999999998</v>
          </cell>
        </row>
        <row r="628">
          <cell r="B628">
            <v>42535</v>
          </cell>
          <cell r="C628">
            <v>48.49</v>
          </cell>
          <cell r="D628">
            <v>48.969500000000011</v>
          </cell>
          <cell r="I628">
            <v>44.963399999999993</v>
          </cell>
        </row>
        <row r="629">
          <cell r="B629">
            <v>42536</v>
          </cell>
          <cell r="C629">
            <v>47.92</v>
          </cell>
          <cell r="D629">
            <v>49.00800000000001</v>
          </cell>
          <cell r="I629">
            <v>45.247199999999985</v>
          </cell>
        </row>
        <row r="630">
          <cell r="B630">
            <v>42537</v>
          </cell>
          <cell r="C630">
            <v>46.14</v>
          </cell>
          <cell r="D630">
            <v>48.9895</v>
          </cell>
          <cell r="I630">
            <v>45.515199999999993</v>
          </cell>
        </row>
        <row r="631">
          <cell r="B631">
            <v>42538</v>
          </cell>
          <cell r="C631">
            <v>48</v>
          </cell>
          <cell r="D631">
            <v>48.890500000000003</v>
          </cell>
          <cell r="I631">
            <v>45.683199999999985</v>
          </cell>
        </row>
        <row r="632">
          <cell r="B632">
            <v>42541</v>
          </cell>
          <cell r="C632">
            <v>49.4</v>
          </cell>
          <cell r="D632">
            <v>48.8825</v>
          </cell>
          <cell r="I632">
            <v>45.897199999999984</v>
          </cell>
        </row>
        <row r="633">
          <cell r="B633">
            <v>42542</v>
          </cell>
          <cell r="C633">
            <v>48.95</v>
          </cell>
          <cell r="D633">
            <v>48.968999999999994</v>
          </cell>
          <cell r="I633">
            <v>46.090399999999988</v>
          </cell>
        </row>
        <row r="634">
          <cell r="B634">
            <v>42543</v>
          </cell>
          <cell r="C634">
            <v>49.16</v>
          </cell>
          <cell r="D634">
            <v>49.010499999999993</v>
          </cell>
          <cell r="I634">
            <v>46.260199999999983</v>
          </cell>
        </row>
        <row r="635">
          <cell r="B635">
            <v>42544</v>
          </cell>
          <cell r="C635">
            <v>49.34</v>
          </cell>
          <cell r="D635">
            <v>49.066499999999998</v>
          </cell>
          <cell r="I635">
            <v>46.400999999999982</v>
          </cell>
        </row>
        <row r="636">
          <cell r="B636">
            <v>42545</v>
          </cell>
          <cell r="C636">
            <v>46.7</v>
          </cell>
          <cell r="D636">
            <v>49.078499999999998</v>
          </cell>
          <cell r="I636">
            <v>46.553799999999995</v>
          </cell>
        </row>
        <row r="637">
          <cell r="B637">
            <v>42548</v>
          </cell>
          <cell r="C637">
            <v>45.8</v>
          </cell>
          <cell r="D637">
            <v>48.963499999999996</v>
          </cell>
          <cell r="I637">
            <v>46.658799999999999</v>
          </cell>
        </row>
        <row r="638">
          <cell r="B638">
            <v>42549</v>
          </cell>
          <cell r="C638">
            <v>47.93</v>
          </cell>
          <cell r="D638">
            <v>48.785499999999999</v>
          </cell>
          <cell r="I638">
            <v>46.766799999999996</v>
          </cell>
        </row>
        <row r="639">
          <cell r="B639">
            <v>42550</v>
          </cell>
          <cell r="C639">
            <v>49.85</v>
          </cell>
          <cell r="D639">
            <v>48.726999999999997</v>
          </cell>
          <cell r="I639">
            <v>46.930599999999998</v>
          </cell>
        </row>
        <row r="640">
          <cell r="B640">
            <v>42551</v>
          </cell>
          <cell r="C640">
            <v>48.27</v>
          </cell>
          <cell r="D640">
            <v>48.766000000000005</v>
          </cell>
          <cell r="I640">
            <v>47.109999999999992</v>
          </cell>
        </row>
        <row r="641">
          <cell r="B641">
            <v>42552</v>
          </cell>
          <cell r="C641">
            <v>49.02</v>
          </cell>
          <cell r="D641">
            <v>48.722499999999997</v>
          </cell>
          <cell r="I641">
            <v>47.220999999999997</v>
          </cell>
        </row>
        <row r="642">
          <cell r="B642">
            <v>42556</v>
          </cell>
          <cell r="C642">
            <v>46.73</v>
          </cell>
          <cell r="D642">
            <v>48.738999999999997</v>
          </cell>
          <cell r="I642">
            <v>47.337799999999994</v>
          </cell>
        </row>
        <row r="643">
          <cell r="B643">
            <v>42557</v>
          </cell>
          <cell r="C643">
            <v>47.37</v>
          </cell>
          <cell r="D643">
            <v>48.589999999999996</v>
          </cell>
          <cell r="I643">
            <v>47.417199999999994</v>
          </cell>
        </row>
        <row r="644">
          <cell r="B644">
            <v>42558</v>
          </cell>
          <cell r="C644">
            <v>45.22</v>
          </cell>
          <cell r="D644">
            <v>48.44</v>
          </cell>
          <cell r="I644">
            <v>47.531199999999991</v>
          </cell>
        </row>
        <row r="645">
          <cell r="B645">
            <v>42559</v>
          </cell>
          <cell r="C645">
            <v>45.37</v>
          </cell>
          <cell r="D645">
            <v>48.139499999999998</v>
          </cell>
          <cell r="I645">
            <v>47.585199999999993</v>
          </cell>
        </row>
        <row r="646">
          <cell r="B646">
            <v>42562</v>
          </cell>
          <cell r="C646">
            <v>44.73</v>
          </cell>
          <cell r="D646">
            <v>47.881999999999998</v>
          </cell>
          <cell r="I646">
            <v>47.586799999999997</v>
          </cell>
        </row>
        <row r="647">
          <cell r="B647">
            <v>42563</v>
          </cell>
          <cell r="C647">
            <v>46.82</v>
          </cell>
          <cell r="D647">
            <v>47.664000000000001</v>
          </cell>
          <cell r="I647">
            <v>47.5608</v>
          </cell>
        </row>
        <row r="648">
          <cell r="B648">
            <v>42564</v>
          </cell>
          <cell r="C648">
            <v>44.87</v>
          </cell>
          <cell r="D648">
            <v>47.560500000000005</v>
          </cell>
          <cell r="I648">
            <v>47.577600000000004</v>
          </cell>
        </row>
        <row r="649">
          <cell r="B649">
            <v>42565</v>
          </cell>
          <cell r="C649">
            <v>45.64</v>
          </cell>
          <cell r="D649">
            <v>47.379500000000007</v>
          </cell>
          <cell r="I649">
            <v>47.58</v>
          </cell>
        </row>
        <row r="650">
          <cell r="B650">
            <v>42566</v>
          </cell>
          <cell r="C650">
            <v>45.93</v>
          </cell>
          <cell r="D650">
            <v>47.26550000000001</v>
          </cell>
          <cell r="I650">
            <v>47.619799999999998</v>
          </cell>
        </row>
        <row r="651">
          <cell r="B651">
            <v>42569</v>
          </cell>
          <cell r="C651">
            <v>45.23</v>
          </cell>
          <cell r="D651">
            <v>47.25500000000001</v>
          </cell>
          <cell r="I651">
            <v>47.66299999999999</v>
          </cell>
        </row>
        <row r="652">
          <cell r="B652">
            <v>42570</v>
          </cell>
          <cell r="C652">
            <v>44.64</v>
          </cell>
          <cell r="D652">
            <v>47.116500000000002</v>
          </cell>
          <cell r="I652">
            <v>47.680999999999997</v>
          </cell>
        </row>
        <row r="653">
          <cell r="B653">
            <v>42571</v>
          </cell>
          <cell r="C653">
            <v>44.96</v>
          </cell>
          <cell r="D653">
            <v>46.878500000000003</v>
          </cell>
          <cell r="I653">
            <v>47.682199999999995</v>
          </cell>
        </row>
        <row r="654">
          <cell r="B654">
            <v>42572</v>
          </cell>
          <cell r="C654">
            <v>43.96</v>
          </cell>
          <cell r="D654">
            <v>46.679000000000002</v>
          </cell>
          <cell r="I654">
            <v>47.712399999999995</v>
          </cell>
        </row>
        <row r="655">
          <cell r="B655">
            <v>42573</v>
          </cell>
          <cell r="C655">
            <v>43.41</v>
          </cell>
          <cell r="D655">
            <v>46.419000000000004</v>
          </cell>
          <cell r="I655">
            <v>47.698</v>
          </cell>
        </row>
        <row r="656">
          <cell r="B656">
            <v>42576</v>
          </cell>
          <cell r="C656">
            <v>42.4</v>
          </cell>
          <cell r="D656">
            <v>46.122500000000002</v>
          </cell>
          <cell r="I656">
            <v>47.641999999999996</v>
          </cell>
        </row>
        <row r="657">
          <cell r="B657">
            <v>42577</v>
          </cell>
          <cell r="C657">
            <v>42.16</v>
          </cell>
          <cell r="D657">
            <v>45.907500000000006</v>
          </cell>
          <cell r="I657">
            <v>47.557200000000002</v>
          </cell>
        </row>
        <row r="658">
          <cell r="B658">
            <v>42578</v>
          </cell>
          <cell r="C658">
            <v>41.9</v>
          </cell>
          <cell r="D658">
            <v>45.725499999999997</v>
          </cell>
          <cell r="I658">
            <v>47.475999999999992</v>
          </cell>
        </row>
        <row r="659">
          <cell r="B659">
            <v>42579</v>
          </cell>
          <cell r="C659">
            <v>41.13</v>
          </cell>
          <cell r="D659">
            <v>45.423999999999999</v>
          </cell>
          <cell r="I659">
            <v>47.3596</v>
          </cell>
        </row>
        <row r="660">
          <cell r="B660">
            <v>42580</v>
          </cell>
          <cell r="C660">
            <v>41.54</v>
          </cell>
          <cell r="D660">
            <v>44.988</v>
          </cell>
          <cell r="I660">
            <v>47.2164</v>
          </cell>
        </row>
        <row r="661">
          <cell r="B661">
            <v>42583</v>
          </cell>
          <cell r="C661">
            <v>40.049999999999997</v>
          </cell>
          <cell r="D661">
            <v>44.651499999999999</v>
          </cell>
          <cell r="I661">
            <v>47.084799999999994</v>
          </cell>
        </row>
        <row r="662">
          <cell r="B662">
            <v>42584</v>
          </cell>
          <cell r="C662">
            <v>39.5</v>
          </cell>
          <cell r="D662">
            <v>44.202999999999989</v>
          </cell>
          <cell r="I662">
            <v>46.922600000000003</v>
          </cell>
        </row>
        <row r="663">
          <cell r="B663">
            <v>42585</v>
          </cell>
          <cell r="C663">
            <v>40.799999999999997</v>
          </cell>
          <cell r="D663">
            <v>43.841499999999989</v>
          </cell>
          <cell r="I663">
            <v>46.7592</v>
          </cell>
        </row>
        <row r="664">
          <cell r="B664">
            <v>42586</v>
          </cell>
          <cell r="C664">
            <v>41.92</v>
          </cell>
          <cell r="D664">
            <v>43.512999999999991</v>
          </cell>
          <cell r="I664">
            <v>46.612800000000007</v>
          </cell>
        </row>
        <row r="665">
          <cell r="B665">
            <v>42587</v>
          </cell>
          <cell r="C665">
            <v>41.83</v>
          </cell>
          <cell r="D665">
            <v>43.347999999999985</v>
          </cell>
          <cell r="I665">
            <v>46.490400000000008</v>
          </cell>
        </row>
        <row r="666">
          <cell r="B666">
            <v>42590</v>
          </cell>
          <cell r="C666">
            <v>43.06</v>
          </cell>
          <cell r="D666">
            <v>43.170999999999985</v>
          </cell>
          <cell r="I666">
            <v>46.345000000000006</v>
          </cell>
        </row>
        <row r="667">
          <cell r="B667">
            <v>42591</v>
          </cell>
          <cell r="C667">
            <v>42.78</v>
          </cell>
          <cell r="D667">
            <v>43.087499999999991</v>
          </cell>
          <cell r="I667">
            <v>46.22620000000002</v>
          </cell>
        </row>
        <row r="668">
          <cell r="B668">
            <v>42592</v>
          </cell>
          <cell r="C668">
            <v>41.75</v>
          </cell>
          <cell r="D668">
            <v>42.885499999999993</v>
          </cell>
          <cell r="I668">
            <v>46.094600000000007</v>
          </cell>
        </row>
        <row r="669">
          <cell r="B669">
            <v>42593</v>
          </cell>
          <cell r="C669">
            <v>43.51</v>
          </cell>
          <cell r="D669">
            <v>42.729499999999987</v>
          </cell>
          <cell r="I669">
            <v>45.947600000000008</v>
          </cell>
        </row>
        <row r="670">
          <cell r="B670">
            <v>42594</v>
          </cell>
          <cell r="C670">
            <v>44.47</v>
          </cell>
          <cell r="D670">
            <v>42.62299999999999</v>
          </cell>
          <cell r="I670">
            <v>45.836400000000012</v>
          </cell>
        </row>
        <row r="671">
          <cell r="B671">
            <v>42597</v>
          </cell>
          <cell r="C671">
            <v>45.72</v>
          </cell>
          <cell r="D671">
            <v>42.55</v>
          </cell>
          <cell r="I671">
            <v>45.743000000000009</v>
          </cell>
        </row>
        <row r="672">
          <cell r="B672">
            <v>42598</v>
          </cell>
          <cell r="C672">
            <v>46.57</v>
          </cell>
          <cell r="D672">
            <v>42.5745</v>
          </cell>
          <cell r="I672">
            <v>45.683600000000006</v>
          </cell>
        </row>
        <row r="673">
          <cell r="B673">
            <v>42599</v>
          </cell>
          <cell r="C673">
            <v>46.81</v>
          </cell>
          <cell r="D673">
            <v>42.671000000000006</v>
          </cell>
          <cell r="I673">
            <v>45.62080000000001</v>
          </cell>
        </row>
        <row r="674">
          <cell r="B674">
            <v>42600</v>
          </cell>
          <cell r="C674">
            <v>48.2</v>
          </cell>
          <cell r="D674">
            <v>42.763500000000008</v>
          </cell>
          <cell r="I674">
            <v>45.549600000000012</v>
          </cell>
        </row>
        <row r="675">
          <cell r="B675">
            <v>42601</v>
          </cell>
          <cell r="C675">
            <v>48.48</v>
          </cell>
          <cell r="D675">
            <v>42.975500000000011</v>
          </cell>
          <cell r="I675">
            <v>45.488999999999997</v>
          </cell>
        </row>
        <row r="676">
          <cell r="B676">
            <v>42604</v>
          </cell>
          <cell r="C676">
            <v>46.8</v>
          </cell>
          <cell r="D676">
            <v>43.229000000000006</v>
          </cell>
          <cell r="I676">
            <v>45.448200000000007</v>
          </cell>
        </row>
        <row r="677">
          <cell r="B677">
            <v>42605</v>
          </cell>
          <cell r="C677">
            <v>47.54</v>
          </cell>
          <cell r="D677">
            <v>43.448999999999998</v>
          </cell>
          <cell r="I677">
            <v>45.402400000000014</v>
          </cell>
        </row>
        <row r="678">
          <cell r="B678">
            <v>42606</v>
          </cell>
          <cell r="C678">
            <v>46.29</v>
          </cell>
          <cell r="D678">
            <v>43.718000000000004</v>
          </cell>
          <cell r="I678">
            <v>45.37540000000002</v>
          </cell>
        </row>
        <row r="679">
          <cell r="B679">
            <v>42607</v>
          </cell>
          <cell r="C679">
            <v>46.97</v>
          </cell>
          <cell r="D679">
            <v>43.9375</v>
          </cell>
          <cell r="I679">
            <v>45.331400000000009</v>
          </cell>
        </row>
        <row r="680">
          <cell r="B680">
            <v>42608</v>
          </cell>
          <cell r="C680">
            <v>47.64</v>
          </cell>
          <cell r="D680">
            <v>44.229500000000009</v>
          </cell>
          <cell r="I680">
            <v>45.312400000000004</v>
          </cell>
        </row>
        <row r="681">
          <cell r="B681">
            <v>42611</v>
          </cell>
          <cell r="C681">
            <v>46.97</v>
          </cell>
          <cell r="D681">
            <v>44.534499999999994</v>
          </cell>
          <cell r="I681">
            <v>45.342400000000005</v>
          </cell>
        </row>
        <row r="682">
          <cell r="B682">
            <v>42612</v>
          </cell>
          <cell r="C682">
            <v>46.32</v>
          </cell>
          <cell r="D682">
            <v>44.880499999999998</v>
          </cell>
          <cell r="I682">
            <v>45.321799999999996</v>
          </cell>
        </row>
        <row r="683">
          <cell r="B683">
            <v>42613</v>
          </cell>
          <cell r="C683">
            <v>44.68</v>
          </cell>
          <cell r="D683">
            <v>45.221500000000006</v>
          </cell>
          <cell r="I683">
            <v>45.260199999999998</v>
          </cell>
        </row>
        <row r="684">
          <cell r="B684">
            <v>42614</v>
          </cell>
          <cell r="C684">
            <v>43.17</v>
          </cell>
          <cell r="D684">
            <v>45.415499999999994</v>
          </cell>
          <cell r="I684">
            <v>45.174799999999998</v>
          </cell>
        </row>
        <row r="685">
          <cell r="B685">
            <v>42615</v>
          </cell>
          <cell r="C685">
            <v>44.39</v>
          </cell>
          <cell r="D685">
            <v>45.477999999999994</v>
          </cell>
          <cell r="I685">
            <v>45.055</v>
          </cell>
        </row>
        <row r="686">
          <cell r="B686">
            <v>42618</v>
          </cell>
          <cell r="C686">
            <v>44.39</v>
          </cell>
          <cell r="D686">
            <v>45.605999999999995</v>
          </cell>
          <cell r="I686">
            <v>44.955999999999996</v>
          </cell>
        </row>
        <row r="687">
          <cell r="B687">
            <v>42619</v>
          </cell>
          <cell r="C687">
            <v>44.85</v>
          </cell>
          <cell r="D687">
            <v>45.672499999999999</v>
          </cell>
          <cell r="I687">
            <v>44.909799999999997</v>
          </cell>
        </row>
        <row r="688">
          <cell r="B688">
            <v>42620</v>
          </cell>
          <cell r="C688">
            <v>45.47</v>
          </cell>
          <cell r="D688">
            <v>45.775999999999996</v>
          </cell>
          <cell r="I688">
            <v>44.890799999999992</v>
          </cell>
        </row>
        <row r="689">
          <cell r="B689">
            <v>42621</v>
          </cell>
          <cell r="C689">
            <v>47.63</v>
          </cell>
          <cell r="D689">
            <v>45.962000000000003</v>
          </cell>
          <cell r="I689">
            <v>44.841599999999993</v>
          </cell>
        </row>
        <row r="690">
          <cell r="B690">
            <v>42622</v>
          </cell>
          <cell r="C690">
            <v>45.88</v>
          </cell>
          <cell r="D690">
            <v>46.167999999999999</v>
          </cell>
          <cell r="I690">
            <v>44.797199999999997</v>
          </cell>
        </row>
        <row r="691">
          <cell r="B691">
            <v>42625</v>
          </cell>
          <cell r="C691">
            <v>46.28</v>
          </cell>
          <cell r="D691">
            <v>46.238500000000002</v>
          </cell>
          <cell r="I691">
            <v>44.749399999999994</v>
          </cell>
        </row>
        <row r="692">
          <cell r="B692">
            <v>42626</v>
          </cell>
          <cell r="C692">
            <v>44.91</v>
          </cell>
          <cell r="D692">
            <v>46.266499999999994</v>
          </cell>
          <cell r="I692">
            <v>44.694600000000001</v>
          </cell>
        </row>
        <row r="693">
          <cell r="B693">
            <v>42627</v>
          </cell>
          <cell r="C693">
            <v>43.62</v>
          </cell>
          <cell r="D693">
            <v>46.183499999999995</v>
          </cell>
          <cell r="I693">
            <v>44.658200000000008</v>
          </cell>
        </row>
        <row r="694">
          <cell r="B694">
            <v>42628</v>
          </cell>
          <cell r="C694">
            <v>43.85</v>
          </cell>
          <cell r="D694">
            <v>46.023999999999994</v>
          </cell>
          <cell r="I694">
            <v>44.583199999999998</v>
          </cell>
        </row>
        <row r="695">
          <cell r="B695">
            <v>42629</v>
          </cell>
          <cell r="C695">
            <v>43.04</v>
          </cell>
          <cell r="D695">
            <v>45.8065</v>
          </cell>
          <cell r="I695">
            <v>44.555799999999998</v>
          </cell>
        </row>
        <row r="696">
          <cell r="B696">
            <v>42632</v>
          </cell>
          <cell r="C696">
            <v>43.34</v>
          </cell>
          <cell r="D696">
            <v>45.534499999999994</v>
          </cell>
          <cell r="I696">
            <v>44.5092</v>
          </cell>
        </row>
        <row r="697">
          <cell r="B697">
            <v>42633</v>
          </cell>
          <cell r="C697">
            <v>43.85</v>
          </cell>
          <cell r="D697">
            <v>45.361499999999999</v>
          </cell>
          <cell r="I697">
            <v>44.481400000000001</v>
          </cell>
        </row>
        <row r="698">
          <cell r="B698">
            <v>42634</v>
          </cell>
          <cell r="C698">
            <v>45.33</v>
          </cell>
          <cell r="D698">
            <v>45.177</v>
          </cell>
          <cell r="I698">
            <v>44.422000000000004</v>
          </cell>
        </row>
        <row r="699">
          <cell r="B699">
            <v>42635</v>
          </cell>
          <cell r="C699">
            <v>46.1</v>
          </cell>
          <cell r="D699">
            <v>45.129000000000005</v>
          </cell>
          <cell r="I699">
            <v>44.431199999999997</v>
          </cell>
        </row>
        <row r="700">
          <cell r="B700">
            <v>42636</v>
          </cell>
          <cell r="C700">
            <v>44.36</v>
          </cell>
          <cell r="D700">
            <v>45.085500000000003</v>
          </cell>
          <cell r="I700">
            <v>44.440399999999997</v>
          </cell>
        </row>
        <row r="701">
          <cell r="B701">
            <v>42639</v>
          </cell>
          <cell r="C701">
            <v>45.6</v>
          </cell>
          <cell r="D701">
            <v>44.921500000000002</v>
          </cell>
          <cell r="I701">
            <v>44.409000000000006</v>
          </cell>
        </row>
        <row r="702">
          <cell r="B702">
            <v>42640</v>
          </cell>
          <cell r="C702">
            <v>44.65</v>
          </cell>
          <cell r="D702">
            <v>44.853000000000002</v>
          </cell>
          <cell r="I702">
            <v>44.416400000000003</v>
          </cell>
        </row>
        <row r="703">
          <cell r="B703">
            <v>42641</v>
          </cell>
          <cell r="C703">
            <v>47.07</v>
          </cell>
          <cell r="D703">
            <v>44.769500000000008</v>
          </cell>
          <cell r="I703">
            <v>44.41660000000001</v>
          </cell>
        </row>
        <row r="704">
          <cell r="B704">
            <v>42642</v>
          </cell>
          <cell r="C704">
            <v>47.72</v>
          </cell>
          <cell r="D704">
            <v>44.889000000000003</v>
          </cell>
          <cell r="I704">
            <v>44.458800000000011</v>
          </cell>
        </row>
        <row r="705">
          <cell r="B705">
            <v>42643</v>
          </cell>
          <cell r="C705">
            <v>47.72</v>
          </cell>
          <cell r="D705">
            <v>45.116500000000009</v>
          </cell>
          <cell r="I705">
            <v>44.534000000000006</v>
          </cell>
        </row>
        <row r="706">
          <cell r="B706">
            <v>42646</v>
          </cell>
          <cell r="C706">
            <v>48.8</v>
          </cell>
          <cell r="D706">
            <v>45.283000000000008</v>
          </cell>
          <cell r="I706">
            <v>44.620199999999997</v>
          </cell>
        </row>
        <row r="707">
          <cell r="B707">
            <v>42647</v>
          </cell>
          <cell r="C707">
            <v>48.67</v>
          </cell>
          <cell r="D707">
            <v>45.50350000000001</v>
          </cell>
          <cell r="I707">
            <v>44.748199999999997</v>
          </cell>
        </row>
        <row r="708">
          <cell r="B708">
            <v>42648</v>
          </cell>
          <cell r="C708">
            <v>49.75</v>
          </cell>
          <cell r="D708">
            <v>45.694499999999998</v>
          </cell>
          <cell r="I708">
            <v>44.878399999999992</v>
          </cell>
        </row>
        <row r="709">
          <cell r="B709">
            <v>42649</v>
          </cell>
          <cell r="C709">
            <v>50.44</v>
          </cell>
          <cell r="D709">
            <v>45.908500000000004</v>
          </cell>
          <cell r="I709">
            <v>45.035400000000003</v>
          </cell>
        </row>
        <row r="710">
          <cell r="B710">
            <v>42650</v>
          </cell>
          <cell r="C710">
            <v>49.76</v>
          </cell>
          <cell r="D710">
            <v>46.048999999999999</v>
          </cell>
          <cell r="I710">
            <v>45.221600000000009</v>
          </cell>
        </row>
        <row r="711">
          <cell r="B711">
            <v>42653</v>
          </cell>
          <cell r="C711">
            <v>49.76</v>
          </cell>
          <cell r="D711">
            <v>46.243000000000009</v>
          </cell>
          <cell r="I711">
            <v>45.386000000000003</v>
          </cell>
        </row>
        <row r="712">
          <cell r="B712">
            <v>42654</v>
          </cell>
          <cell r="C712">
            <v>50.72</v>
          </cell>
          <cell r="D712">
            <v>46.416999999999994</v>
          </cell>
          <cell r="I712">
            <v>45.580200000000005</v>
          </cell>
        </row>
        <row r="713">
          <cell r="B713">
            <v>42655</v>
          </cell>
          <cell r="C713">
            <v>50.14</v>
          </cell>
          <cell r="D713">
            <v>46.707499999999996</v>
          </cell>
          <cell r="I713">
            <v>45.804600000000001</v>
          </cell>
        </row>
        <row r="714">
          <cell r="B714">
            <v>42656</v>
          </cell>
          <cell r="C714">
            <v>50.47</v>
          </cell>
          <cell r="D714">
            <v>47.033499999999997</v>
          </cell>
          <cell r="I714">
            <v>45.991399999999985</v>
          </cell>
        </row>
        <row r="715">
          <cell r="B715">
            <v>42657</v>
          </cell>
          <cell r="C715">
            <v>50.35</v>
          </cell>
          <cell r="D715">
            <v>47.364499999999992</v>
          </cell>
          <cell r="I715">
            <v>46.162399999999991</v>
          </cell>
        </row>
        <row r="716">
          <cell r="B716">
            <v>42660</v>
          </cell>
          <cell r="C716">
            <v>49.97</v>
          </cell>
          <cell r="D716">
            <v>47.730000000000004</v>
          </cell>
          <cell r="I716">
            <v>46.332799999999992</v>
          </cell>
        </row>
        <row r="717">
          <cell r="B717">
            <v>42661</v>
          </cell>
          <cell r="C717">
            <v>50.3</v>
          </cell>
          <cell r="D717">
            <v>48.061500000000002</v>
          </cell>
          <cell r="I717">
            <v>46.470999999999975</v>
          </cell>
        </row>
        <row r="718">
          <cell r="B718">
            <v>42662</v>
          </cell>
          <cell r="C718">
            <v>51.59</v>
          </cell>
          <cell r="D718">
            <v>48.384</v>
          </cell>
          <cell r="I718">
            <v>46.621399999999973</v>
          </cell>
        </row>
        <row r="719">
          <cell r="B719">
            <v>42663</v>
          </cell>
          <cell r="C719">
            <v>50.31</v>
          </cell>
          <cell r="D719">
            <v>48.69700000000001</v>
          </cell>
          <cell r="I719">
            <v>46.81819999999999</v>
          </cell>
        </row>
        <row r="720">
          <cell r="B720">
            <v>42664</v>
          </cell>
          <cell r="C720">
            <v>50.61</v>
          </cell>
          <cell r="D720">
            <v>48.907500000000006</v>
          </cell>
          <cell r="I720">
            <v>46.954199999999993</v>
          </cell>
        </row>
        <row r="721">
          <cell r="B721">
            <v>42667</v>
          </cell>
          <cell r="C721">
            <v>50.18</v>
          </cell>
          <cell r="D721">
            <v>49.220000000000013</v>
          </cell>
          <cell r="I721">
            <v>47.076999999999991</v>
          </cell>
        </row>
        <row r="722">
          <cell r="B722">
            <v>42668</v>
          </cell>
          <cell r="C722">
            <v>49.45</v>
          </cell>
          <cell r="D722">
            <v>49.448999999999998</v>
          </cell>
          <cell r="I722">
            <v>47.166199999999989</v>
          </cell>
        </row>
        <row r="723">
          <cell r="B723">
            <v>42669</v>
          </cell>
          <cell r="C723">
            <v>48.75</v>
          </cell>
          <cell r="D723">
            <v>49.689</v>
          </cell>
          <cell r="I723">
            <v>47.22379999999999</v>
          </cell>
        </row>
        <row r="724">
          <cell r="B724">
            <v>42670</v>
          </cell>
          <cell r="C724">
            <v>49.71</v>
          </cell>
          <cell r="D724">
            <v>49.773000000000003</v>
          </cell>
          <cell r="I724">
            <v>47.262599999999992</v>
          </cell>
        </row>
        <row r="725">
          <cell r="B725">
            <v>42671</v>
          </cell>
          <cell r="C725">
            <v>48.72</v>
          </cell>
          <cell r="D725">
            <v>49.872500000000002</v>
          </cell>
          <cell r="I725">
            <v>47.292799999999986</v>
          </cell>
        </row>
        <row r="726">
          <cell r="B726">
            <v>42674</v>
          </cell>
          <cell r="C726">
            <v>46.83</v>
          </cell>
          <cell r="D726">
            <v>49.922499999999999</v>
          </cell>
          <cell r="I726">
            <v>47.297599999999996</v>
          </cell>
        </row>
        <row r="727">
          <cell r="B727">
            <v>42675</v>
          </cell>
          <cell r="C727">
            <v>46.66</v>
          </cell>
          <cell r="D727">
            <v>49.824000000000005</v>
          </cell>
          <cell r="I727">
            <v>47.298199999999987</v>
          </cell>
        </row>
        <row r="728">
          <cell r="B728">
            <v>42676</v>
          </cell>
          <cell r="C728">
            <v>45.32</v>
          </cell>
          <cell r="D728">
            <v>49.723500000000001</v>
          </cell>
          <cell r="I728">
            <v>47.280599999999986</v>
          </cell>
        </row>
        <row r="729">
          <cell r="B729">
            <v>42677</v>
          </cell>
          <cell r="C729">
            <v>44.66</v>
          </cell>
          <cell r="D729">
            <v>49.502000000000002</v>
          </cell>
          <cell r="I729">
            <v>47.261200000000002</v>
          </cell>
        </row>
        <row r="730">
          <cell r="B730">
            <v>42678</v>
          </cell>
          <cell r="C730">
            <v>44.07</v>
          </cell>
          <cell r="D730">
            <v>49.213000000000001</v>
          </cell>
          <cell r="I730">
            <v>47.215000000000003</v>
          </cell>
        </row>
        <row r="731">
          <cell r="B731">
            <v>42681</v>
          </cell>
          <cell r="C731">
            <v>44.88</v>
          </cell>
          <cell r="D731">
            <v>48.928500000000007</v>
          </cell>
          <cell r="I731">
            <v>47.143599999999999</v>
          </cell>
        </row>
        <row r="732">
          <cell r="B732">
            <v>42682</v>
          </cell>
          <cell r="C732">
            <v>44.96</v>
          </cell>
          <cell r="D732">
            <v>48.684500000000007</v>
          </cell>
          <cell r="I732">
            <v>47.101800000000004</v>
          </cell>
        </row>
        <row r="733">
          <cell r="B733">
            <v>42683</v>
          </cell>
          <cell r="C733">
            <v>45.2</v>
          </cell>
          <cell r="D733">
            <v>48.396500000000017</v>
          </cell>
          <cell r="I733">
            <v>47.074600000000011</v>
          </cell>
        </row>
        <row r="734">
          <cell r="B734">
            <v>42684</v>
          </cell>
          <cell r="C734">
            <v>44.62</v>
          </cell>
          <cell r="D734">
            <v>48.14950000000001</v>
          </cell>
          <cell r="I734">
            <v>47.085000000000008</v>
          </cell>
        </row>
        <row r="735">
          <cell r="B735">
            <v>42685</v>
          </cell>
          <cell r="C735">
            <v>43.39</v>
          </cell>
          <cell r="D735">
            <v>47.857000000000006</v>
          </cell>
          <cell r="I735">
            <v>47.114000000000004</v>
          </cell>
        </row>
        <row r="736">
          <cell r="B736">
            <v>42688</v>
          </cell>
          <cell r="C736">
            <v>43.29</v>
          </cell>
          <cell r="D736">
            <v>47.509000000000007</v>
          </cell>
          <cell r="I736">
            <v>47.093999999999994</v>
          </cell>
        </row>
        <row r="737">
          <cell r="B737">
            <v>42689</v>
          </cell>
          <cell r="C737">
            <v>45.86</v>
          </cell>
          <cell r="D737">
            <v>47.175000000000004</v>
          </cell>
          <cell r="I737">
            <v>47.071999999999996</v>
          </cell>
        </row>
        <row r="738">
          <cell r="B738">
            <v>42690</v>
          </cell>
          <cell r="C738">
            <v>45.56</v>
          </cell>
          <cell r="D738">
            <v>46.953000000000003</v>
          </cell>
          <cell r="I738">
            <v>47.092199999999991</v>
          </cell>
        </row>
        <row r="739">
          <cell r="B739">
            <v>42691</v>
          </cell>
          <cell r="C739">
            <v>45.37</v>
          </cell>
          <cell r="D739">
            <v>46.651500000000013</v>
          </cell>
          <cell r="I739">
            <v>47.093999999999994</v>
          </cell>
        </row>
        <row r="740">
          <cell r="B740">
            <v>42692</v>
          </cell>
          <cell r="C740">
            <v>45.69</v>
          </cell>
          <cell r="D740">
            <v>46.404499999999999</v>
          </cell>
          <cell r="I740">
            <v>47.048799999999993</v>
          </cell>
        </row>
        <row r="741">
          <cell r="B741">
            <v>42695</v>
          </cell>
          <cell r="C741">
            <v>47.48</v>
          </cell>
          <cell r="D741">
            <v>46.158500000000004</v>
          </cell>
          <cell r="I741">
            <v>47.045000000000002</v>
          </cell>
        </row>
        <row r="742">
          <cell r="B742">
            <v>42696</v>
          </cell>
          <cell r="C742">
            <v>48.07</v>
          </cell>
          <cell r="D742">
            <v>46.023499999999999</v>
          </cell>
          <cell r="I742">
            <v>47.068999999999996</v>
          </cell>
        </row>
        <row r="743">
          <cell r="B743">
            <v>42697</v>
          </cell>
          <cell r="C743">
            <v>46.72</v>
          </cell>
          <cell r="D743">
            <v>45.954499999999989</v>
          </cell>
          <cell r="I743">
            <v>47.132200000000005</v>
          </cell>
        </row>
        <row r="744">
          <cell r="B744">
            <v>42698</v>
          </cell>
          <cell r="C744">
            <v>46.72</v>
          </cell>
          <cell r="D744">
            <v>45.853000000000002</v>
          </cell>
          <cell r="I744">
            <v>47.194200000000002</v>
          </cell>
        </row>
        <row r="745">
          <cell r="B745">
            <v>42699</v>
          </cell>
          <cell r="C745">
            <v>46.72</v>
          </cell>
          <cell r="D745">
            <v>45.703500000000005</v>
          </cell>
          <cell r="I745">
            <v>47.251599999999989</v>
          </cell>
        </row>
        <row r="746">
          <cell r="B746">
            <v>42702</v>
          </cell>
          <cell r="C746">
            <v>45.66</v>
          </cell>
          <cell r="D746">
            <v>45.603500000000004</v>
          </cell>
          <cell r="I746">
            <v>47.325199999999995</v>
          </cell>
        </row>
        <row r="747">
          <cell r="B747">
            <v>42703</v>
          </cell>
          <cell r="C747">
            <v>45.29</v>
          </cell>
          <cell r="D747">
            <v>45.545000000000002</v>
          </cell>
          <cell r="I747">
            <v>47.37159999999998</v>
          </cell>
        </row>
        <row r="748">
          <cell r="B748">
            <v>42704</v>
          </cell>
          <cell r="C748">
            <v>49.41</v>
          </cell>
          <cell r="D748">
            <v>45.476500000000001</v>
          </cell>
          <cell r="I748">
            <v>47.400399999999991</v>
          </cell>
        </row>
        <row r="749">
          <cell r="B749">
            <v>42705</v>
          </cell>
          <cell r="C749">
            <v>51.08</v>
          </cell>
          <cell r="D749">
            <v>45.680999999999997</v>
          </cell>
          <cell r="I749">
            <v>47.481999999999992</v>
          </cell>
        </row>
        <row r="750">
          <cell r="B750">
            <v>42706</v>
          </cell>
          <cell r="C750">
            <v>51.7</v>
          </cell>
          <cell r="D750">
            <v>46.002000000000002</v>
          </cell>
          <cell r="I750">
            <v>47.58159999999998</v>
          </cell>
        </row>
        <row r="751">
          <cell r="B751">
            <v>42709</v>
          </cell>
          <cell r="C751">
            <v>51.72</v>
          </cell>
          <cell r="D751">
            <v>46.383500000000012</v>
          </cell>
          <cell r="I751">
            <v>47.728399999999986</v>
          </cell>
        </row>
        <row r="752">
          <cell r="B752">
            <v>42710</v>
          </cell>
          <cell r="C752">
            <v>50.95</v>
          </cell>
          <cell r="D752">
            <v>46.725500000000004</v>
          </cell>
          <cell r="I752">
            <v>47.850799999999978</v>
          </cell>
        </row>
        <row r="753">
          <cell r="B753">
            <v>42711</v>
          </cell>
          <cell r="C753">
            <v>49.85</v>
          </cell>
          <cell r="D753">
            <v>47.025000000000006</v>
          </cell>
          <cell r="I753">
            <v>47.976799999999976</v>
          </cell>
        </row>
        <row r="754">
          <cell r="B754">
            <v>42712</v>
          </cell>
          <cell r="C754">
            <v>50.84</v>
          </cell>
          <cell r="D754">
            <v>47.257500000000007</v>
          </cell>
          <cell r="I754">
            <v>48.032399999999981</v>
          </cell>
        </row>
        <row r="755">
          <cell r="B755">
            <v>42713</v>
          </cell>
          <cell r="C755">
            <v>51.51</v>
          </cell>
          <cell r="D755">
            <v>47.568500000000014</v>
          </cell>
          <cell r="I755">
            <v>48.094799999999985</v>
          </cell>
        </row>
        <row r="756">
          <cell r="B756">
            <v>42716</v>
          </cell>
          <cell r="C756">
            <v>52.74</v>
          </cell>
          <cell r="D756">
            <v>47.974500000000006</v>
          </cell>
          <cell r="I756">
            <v>48.170599999999993</v>
          </cell>
        </row>
        <row r="757">
          <cell r="B757">
            <v>42717</v>
          </cell>
          <cell r="C757">
            <v>52.99</v>
          </cell>
          <cell r="D757">
            <v>48.447000000000017</v>
          </cell>
          <cell r="I757">
            <v>48.249399999999994</v>
          </cell>
        </row>
        <row r="758">
          <cell r="B758">
            <v>42718</v>
          </cell>
          <cell r="C758">
            <v>51.01</v>
          </cell>
          <cell r="D758">
            <v>48.803500000000014</v>
          </cell>
          <cell r="I758">
            <v>48.335799999999992</v>
          </cell>
        </row>
        <row r="759">
          <cell r="B759">
            <v>42719</v>
          </cell>
          <cell r="C759">
            <v>50.9</v>
          </cell>
          <cell r="D759">
            <v>49.076000000000008</v>
          </cell>
          <cell r="I759">
            <v>48.360999999999997</v>
          </cell>
        </row>
        <row r="760">
          <cell r="B760">
            <v>42720</v>
          </cell>
          <cell r="C760">
            <v>51.93</v>
          </cell>
          <cell r="D760">
            <v>49.352500000000006</v>
          </cell>
          <cell r="I760">
            <v>48.370200000000004</v>
          </cell>
        </row>
        <row r="761">
          <cell r="B761">
            <v>42723</v>
          </cell>
          <cell r="C761">
            <v>52.13</v>
          </cell>
          <cell r="D761">
            <v>49.664500000000004</v>
          </cell>
          <cell r="I761">
            <v>48.413600000000002</v>
          </cell>
        </row>
        <row r="762">
          <cell r="B762">
            <v>42724</v>
          </cell>
          <cell r="C762">
            <v>52.22</v>
          </cell>
          <cell r="D762">
            <v>49.897000000000006</v>
          </cell>
          <cell r="I762">
            <v>48.461000000000006</v>
          </cell>
        </row>
        <row r="763">
          <cell r="B763">
            <v>42725</v>
          </cell>
          <cell r="C763">
            <v>51.44</v>
          </cell>
          <cell r="D763">
            <v>50.104499999999994</v>
          </cell>
          <cell r="I763">
            <v>48.490999999999993</v>
          </cell>
        </row>
        <row r="764">
          <cell r="B764">
            <v>42726</v>
          </cell>
          <cell r="C764">
            <v>51.98</v>
          </cell>
          <cell r="D764">
            <v>50.340499999999999</v>
          </cell>
          <cell r="I764">
            <v>48.516999999999996</v>
          </cell>
        </row>
        <row r="765">
          <cell r="B765">
            <v>42727</v>
          </cell>
          <cell r="C765">
            <v>52.01</v>
          </cell>
          <cell r="D765">
            <v>50.603499999999997</v>
          </cell>
          <cell r="I765">
            <v>48.547200000000004</v>
          </cell>
        </row>
        <row r="766">
          <cell r="B766">
            <v>42731</v>
          </cell>
          <cell r="C766">
            <v>52.82</v>
          </cell>
          <cell r="D766">
            <v>50.867999999999995</v>
          </cell>
          <cell r="I766">
            <v>48.580400000000012</v>
          </cell>
        </row>
        <row r="767">
          <cell r="B767">
            <v>42732</v>
          </cell>
          <cell r="C767">
            <v>54.01</v>
          </cell>
          <cell r="D767">
            <v>51.225999999999999</v>
          </cell>
          <cell r="I767">
            <v>48.637400000000007</v>
          </cell>
        </row>
        <row r="768">
          <cell r="B768">
            <v>42733</v>
          </cell>
          <cell r="C768">
            <v>53.8</v>
          </cell>
          <cell r="D768">
            <v>51.662000000000013</v>
          </cell>
          <cell r="I768">
            <v>48.711600000000018</v>
          </cell>
        </row>
        <row r="769">
          <cell r="B769">
            <v>42734</v>
          </cell>
          <cell r="C769">
            <v>53.75</v>
          </cell>
          <cell r="D769">
            <v>51.881500000000003</v>
          </cell>
          <cell r="I769">
            <v>48.755800000000015</v>
          </cell>
        </row>
        <row r="770">
          <cell r="B770">
            <v>42738</v>
          </cell>
          <cell r="C770">
            <v>52.36</v>
          </cell>
          <cell r="D770">
            <v>52.015000000000008</v>
          </cell>
          <cell r="I770">
            <v>48.824600000000018</v>
          </cell>
        </row>
        <row r="771">
          <cell r="B771">
            <v>42739</v>
          </cell>
          <cell r="C771">
            <v>53.26</v>
          </cell>
          <cell r="D771">
            <v>52.048000000000002</v>
          </cell>
          <cell r="I771">
            <v>48.859600000000029</v>
          </cell>
        </row>
        <row r="772">
          <cell r="B772">
            <v>42740</v>
          </cell>
          <cell r="C772">
            <v>53.77</v>
          </cell>
          <cell r="D772">
            <v>52.125</v>
          </cell>
          <cell r="I772">
            <v>48.921200000000027</v>
          </cell>
        </row>
        <row r="773">
          <cell r="B773">
            <v>42741</v>
          </cell>
          <cell r="C773">
            <v>53.98</v>
          </cell>
          <cell r="D773">
            <v>52.265999999999998</v>
          </cell>
          <cell r="I773">
            <v>49.007600000000018</v>
          </cell>
        </row>
        <row r="774">
          <cell r="B774">
            <v>42744</v>
          </cell>
          <cell r="C774">
            <v>51.95</v>
          </cell>
          <cell r="D774">
            <v>52.472500000000004</v>
          </cell>
          <cell r="I774">
            <v>49.112200000000023</v>
          </cell>
        </row>
        <row r="775">
          <cell r="B775">
            <v>42745</v>
          </cell>
          <cell r="C775">
            <v>50.82</v>
          </cell>
          <cell r="D775">
            <v>52.527999999999999</v>
          </cell>
          <cell r="I775">
            <v>49.157000000000018</v>
          </cell>
        </row>
        <row r="776">
          <cell r="B776">
            <v>42746</v>
          </cell>
          <cell r="C776">
            <v>52.19</v>
          </cell>
          <cell r="D776">
            <v>52.493500000000004</v>
          </cell>
          <cell r="I776">
            <v>49.199000000000012</v>
          </cell>
        </row>
        <row r="777">
          <cell r="B777">
            <v>42747</v>
          </cell>
          <cell r="C777">
            <v>53.01</v>
          </cell>
          <cell r="D777">
            <v>52.466000000000008</v>
          </cell>
          <cell r="I777">
            <v>49.306200000000018</v>
          </cell>
        </row>
        <row r="778">
          <cell r="B778">
            <v>42748</v>
          </cell>
          <cell r="C778">
            <v>52.36</v>
          </cell>
          <cell r="D778">
            <v>52.467000000000006</v>
          </cell>
          <cell r="I778">
            <v>49.433200000000014</v>
          </cell>
        </row>
        <row r="779">
          <cell r="B779">
            <v>42752</v>
          </cell>
          <cell r="C779">
            <v>52.45</v>
          </cell>
          <cell r="D779">
            <v>52.534500000000001</v>
          </cell>
          <cell r="I779">
            <v>49.574000000000012</v>
          </cell>
        </row>
        <row r="780">
          <cell r="B780">
            <v>42753</v>
          </cell>
          <cell r="C780">
            <v>51.12</v>
          </cell>
          <cell r="D780">
            <v>52.612000000000002</v>
          </cell>
          <cell r="I780">
            <v>49.729800000000004</v>
          </cell>
        </row>
        <row r="781">
          <cell r="B781">
            <v>42754</v>
          </cell>
          <cell r="C781">
            <v>51.39</v>
          </cell>
          <cell r="D781">
            <v>52.5715</v>
          </cell>
          <cell r="I781">
            <v>49.87080000000001</v>
          </cell>
        </row>
        <row r="782">
          <cell r="B782">
            <v>42755</v>
          </cell>
          <cell r="C782">
            <v>52.33</v>
          </cell>
          <cell r="D782">
            <v>52.534500000000016</v>
          </cell>
          <cell r="I782">
            <v>50.001000000000005</v>
          </cell>
        </row>
        <row r="783">
          <cell r="B783">
            <v>42758</v>
          </cell>
          <cell r="C783">
            <v>52.77</v>
          </cell>
          <cell r="D783">
            <v>52.540000000000006</v>
          </cell>
          <cell r="I783">
            <v>50.148400000000002</v>
          </cell>
        </row>
        <row r="784">
          <cell r="B784">
            <v>42759</v>
          </cell>
          <cell r="C784">
            <v>52.38</v>
          </cell>
          <cell r="D784">
            <v>52.606500000000004</v>
          </cell>
          <cell r="I784">
            <v>50.299800000000005</v>
          </cell>
        </row>
        <row r="785">
          <cell r="B785">
            <v>42760</v>
          </cell>
          <cell r="C785">
            <v>52.14</v>
          </cell>
          <cell r="D785">
            <v>52.626500000000007</v>
          </cell>
          <cell r="I785">
            <v>50.455000000000013</v>
          </cell>
        </row>
        <row r="786">
          <cell r="B786">
            <v>42761</v>
          </cell>
          <cell r="C786">
            <v>53.24</v>
          </cell>
          <cell r="D786">
            <v>52.633000000000003</v>
          </cell>
          <cell r="I786">
            <v>50.63</v>
          </cell>
        </row>
        <row r="787">
          <cell r="B787">
            <v>42762</v>
          </cell>
          <cell r="C787">
            <v>53.18</v>
          </cell>
          <cell r="D787">
            <v>52.653999999999996</v>
          </cell>
          <cell r="I787">
            <v>50.828999999999994</v>
          </cell>
        </row>
        <row r="788">
          <cell r="B788">
            <v>42765</v>
          </cell>
          <cell r="C788">
            <v>52.63</v>
          </cell>
          <cell r="D788">
            <v>52.612499999999997</v>
          </cell>
          <cell r="I788">
            <v>50.975399999999993</v>
          </cell>
        </row>
        <row r="789">
          <cell r="B789">
            <v>42766</v>
          </cell>
          <cell r="C789">
            <v>52.75</v>
          </cell>
          <cell r="D789">
            <v>52.553999999999995</v>
          </cell>
          <cell r="I789">
            <v>51.116799999999991</v>
          </cell>
        </row>
        <row r="790">
          <cell r="B790">
            <v>42767</v>
          </cell>
          <cell r="C790">
            <v>53.9</v>
          </cell>
          <cell r="D790">
            <v>52.503999999999998</v>
          </cell>
          <cell r="I790">
            <v>51.264399999999988</v>
          </cell>
        </row>
        <row r="791">
          <cell r="B791">
            <v>42768</v>
          </cell>
          <cell r="C791">
            <v>53.55</v>
          </cell>
          <cell r="D791">
            <v>52.580999999999996</v>
          </cell>
          <cell r="I791">
            <v>51.428599999999989</v>
          </cell>
        </row>
        <row r="792">
          <cell r="B792">
            <v>42769</v>
          </cell>
          <cell r="C792">
            <v>53.81</v>
          </cell>
          <cell r="D792">
            <v>52.595499999999994</v>
          </cell>
          <cell r="I792">
            <v>51.54999999999999</v>
          </cell>
        </row>
        <row r="793">
          <cell r="B793">
            <v>42772</v>
          </cell>
          <cell r="C793">
            <v>53.01</v>
          </cell>
          <cell r="D793">
            <v>52.597499999999989</v>
          </cell>
          <cell r="I793">
            <v>51.664799999999993</v>
          </cell>
        </row>
        <row r="794">
          <cell r="B794">
            <v>42773</v>
          </cell>
          <cell r="C794">
            <v>52.19</v>
          </cell>
          <cell r="D794">
            <v>52.548999999999992</v>
          </cell>
          <cell r="I794">
            <v>51.790599999999998</v>
          </cell>
        </row>
        <row r="795">
          <cell r="B795">
            <v>42774</v>
          </cell>
          <cell r="C795">
            <v>52.37</v>
          </cell>
          <cell r="D795">
            <v>52.560999999999993</v>
          </cell>
          <cell r="I795">
            <v>51.899999999999991</v>
          </cell>
        </row>
        <row r="796">
          <cell r="B796">
            <v>42775</v>
          </cell>
          <cell r="C796">
            <v>52.99</v>
          </cell>
          <cell r="D796">
            <v>52.638499999999986</v>
          </cell>
          <cell r="I796">
            <v>52.012999999999991</v>
          </cell>
        </row>
        <row r="797">
          <cell r="B797">
            <v>42776</v>
          </cell>
          <cell r="C797">
            <v>53.84</v>
          </cell>
          <cell r="D797">
            <v>52.678499999999985</v>
          </cell>
          <cell r="I797">
            <v>52.159599999999998</v>
          </cell>
        </row>
        <row r="798">
          <cell r="B798">
            <v>42779</v>
          </cell>
          <cell r="C798">
            <v>52.96</v>
          </cell>
          <cell r="D798">
            <v>52.719999999999992</v>
          </cell>
          <cell r="I798">
            <v>52.330600000000011</v>
          </cell>
        </row>
        <row r="799">
          <cell r="B799">
            <v>42780</v>
          </cell>
          <cell r="C799">
            <v>53.21</v>
          </cell>
          <cell r="D799">
            <v>52.75</v>
          </cell>
          <cell r="I799">
            <v>52.401600000000009</v>
          </cell>
        </row>
        <row r="800">
          <cell r="B800">
            <v>42781</v>
          </cell>
          <cell r="C800">
            <v>53.11</v>
          </cell>
          <cell r="D800">
            <v>52.788000000000011</v>
          </cell>
          <cell r="I800">
            <v>52.444200000000009</v>
          </cell>
        </row>
        <row r="801">
          <cell r="B801">
            <v>42782</v>
          </cell>
          <cell r="C801">
            <v>53.41</v>
          </cell>
          <cell r="D801">
            <v>52.887500000000003</v>
          </cell>
          <cell r="I801">
            <v>52.472400000000015</v>
          </cell>
        </row>
        <row r="802">
          <cell r="B802">
            <v>42783</v>
          </cell>
          <cell r="C802">
            <v>53.41</v>
          </cell>
          <cell r="D802">
            <v>52.988500000000009</v>
          </cell>
          <cell r="I802">
            <v>52.506200000000007</v>
          </cell>
        </row>
        <row r="803">
          <cell r="B803">
            <v>42787</v>
          </cell>
          <cell r="C803">
            <v>54.02</v>
          </cell>
          <cell r="D803">
            <v>53.042500000000004</v>
          </cell>
          <cell r="I803">
            <v>52.555400000000006</v>
          </cell>
        </row>
        <row r="804">
          <cell r="B804">
            <v>42788</v>
          </cell>
          <cell r="C804">
            <v>53.61</v>
          </cell>
          <cell r="D804">
            <v>53.105000000000004</v>
          </cell>
          <cell r="I804">
            <v>52.638800000000003</v>
          </cell>
        </row>
        <row r="805">
          <cell r="B805">
            <v>42789</v>
          </cell>
          <cell r="C805">
            <v>54.48</v>
          </cell>
          <cell r="D805">
            <v>53.166499999999999</v>
          </cell>
          <cell r="I805">
            <v>52.694200000000002</v>
          </cell>
        </row>
        <row r="806">
          <cell r="B806">
            <v>42790</v>
          </cell>
          <cell r="C806">
            <v>53.99</v>
          </cell>
          <cell r="D806">
            <v>53.283500000000004</v>
          </cell>
          <cell r="I806">
            <v>52.753600000000006</v>
          </cell>
        </row>
        <row r="807">
          <cell r="B807">
            <v>42793</v>
          </cell>
          <cell r="C807">
            <v>54.04</v>
          </cell>
          <cell r="D807">
            <v>53.321000000000005</v>
          </cell>
          <cell r="I807">
            <v>52.778600000000004</v>
          </cell>
        </row>
        <row r="808">
          <cell r="B808">
            <v>42794</v>
          </cell>
          <cell r="C808">
            <v>54</v>
          </cell>
          <cell r="D808">
            <v>53.363999999999997</v>
          </cell>
          <cell r="I808">
            <v>52.799599999999998</v>
          </cell>
        </row>
        <row r="809">
          <cell r="B809">
            <v>42795</v>
          </cell>
          <cell r="C809">
            <v>53.82</v>
          </cell>
          <cell r="D809">
            <v>53.432500000000005</v>
          </cell>
          <cell r="I809">
            <v>52.859400000000008</v>
          </cell>
        </row>
        <row r="810">
          <cell r="B810">
            <v>42796</v>
          </cell>
          <cell r="C810">
            <v>52.63</v>
          </cell>
          <cell r="D810">
            <v>53.48599999999999</v>
          </cell>
          <cell r="I810">
            <v>52.9178</v>
          </cell>
        </row>
        <row r="811">
          <cell r="B811">
            <v>42797</v>
          </cell>
          <cell r="C811">
            <v>53.33</v>
          </cell>
          <cell r="D811">
            <v>53.422499999999999</v>
          </cell>
          <cell r="I811">
            <v>52.931800000000003</v>
          </cell>
        </row>
        <row r="812">
          <cell r="B812">
            <v>42800</v>
          </cell>
          <cell r="C812">
            <v>53.19</v>
          </cell>
          <cell r="D812">
            <v>53.411500000000004</v>
          </cell>
          <cell r="I812">
            <v>52.955800000000011</v>
          </cell>
        </row>
        <row r="813">
          <cell r="B813">
            <v>42801</v>
          </cell>
          <cell r="C813">
            <v>52.68</v>
          </cell>
          <cell r="D813">
            <v>53.380499999999998</v>
          </cell>
          <cell r="I813">
            <v>52.975200000000001</v>
          </cell>
        </row>
        <row r="814">
          <cell r="B814">
            <v>42802</v>
          </cell>
          <cell r="C814">
            <v>49.83</v>
          </cell>
          <cell r="D814">
            <v>53.364000000000011</v>
          </cell>
          <cell r="I814">
            <v>53.000000000000007</v>
          </cell>
        </row>
        <row r="815">
          <cell r="B815">
            <v>42803</v>
          </cell>
          <cell r="C815">
            <v>48.75</v>
          </cell>
          <cell r="D815">
            <v>53.246000000000002</v>
          </cell>
          <cell r="I815">
            <v>52.957000000000008</v>
          </cell>
        </row>
        <row r="816">
          <cell r="B816">
            <v>42804</v>
          </cell>
          <cell r="C816">
            <v>48.05</v>
          </cell>
          <cell r="D816">
            <v>53.064999999999998</v>
          </cell>
          <cell r="I816">
            <v>52.891800000000003</v>
          </cell>
        </row>
        <row r="817">
          <cell r="B817">
            <v>42807</v>
          </cell>
          <cell r="C817">
            <v>47.95</v>
          </cell>
          <cell r="D817">
            <v>52.817999999999998</v>
          </cell>
          <cell r="I817">
            <v>52.796399999999991</v>
          </cell>
        </row>
        <row r="818">
          <cell r="B818">
            <v>42808</v>
          </cell>
          <cell r="C818">
            <v>47.24</v>
          </cell>
          <cell r="D818">
            <v>52.523499999999999</v>
          </cell>
          <cell r="I818">
            <v>52.675199999999997</v>
          </cell>
        </row>
        <row r="819">
          <cell r="B819">
            <v>42809</v>
          </cell>
          <cell r="C819">
            <v>48.34</v>
          </cell>
          <cell r="D819">
            <v>52.237499999999997</v>
          </cell>
          <cell r="I819">
            <v>52.543999999999997</v>
          </cell>
        </row>
        <row r="820">
          <cell r="B820">
            <v>42810</v>
          </cell>
          <cell r="C820">
            <v>48.3</v>
          </cell>
          <cell r="D820">
            <v>51.994000000000007</v>
          </cell>
          <cell r="I820">
            <v>52.435799999999993</v>
          </cell>
        </row>
        <row r="821">
          <cell r="B821">
            <v>42811</v>
          </cell>
          <cell r="C821">
            <v>48.34</v>
          </cell>
          <cell r="D821">
            <v>51.75350000000001</v>
          </cell>
          <cell r="I821">
            <v>52.354599999999991</v>
          </cell>
        </row>
        <row r="822">
          <cell r="B822">
            <v>42814</v>
          </cell>
          <cell r="C822">
            <v>47.79</v>
          </cell>
          <cell r="D822">
            <v>51.5</v>
          </cell>
          <cell r="I822">
            <v>52.256199999999993</v>
          </cell>
        </row>
        <row r="823">
          <cell r="B823">
            <v>42815</v>
          </cell>
          <cell r="C823">
            <v>47.02</v>
          </cell>
          <cell r="D823">
            <v>51.218999999999994</v>
          </cell>
          <cell r="I823">
            <v>52.136600000000001</v>
          </cell>
        </row>
        <row r="824">
          <cell r="B824">
            <v>42816</v>
          </cell>
          <cell r="C824">
            <v>47.29</v>
          </cell>
          <cell r="D824">
            <v>50.869</v>
          </cell>
          <cell r="I824">
            <v>51.997399999999992</v>
          </cell>
        </row>
        <row r="825">
          <cell r="B825">
            <v>42817</v>
          </cell>
          <cell r="C825">
            <v>47</v>
          </cell>
          <cell r="D825">
            <v>50.552999999999997</v>
          </cell>
          <cell r="I825">
            <v>51.904199999999989</v>
          </cell>
        </row>
        <row r="826">
          <cell r="B826">
            <v>42818</v>
          </cell>
          <cell r="C826">
            <v>47.3</v>
          </cell>
          <cell r="D826">
            <v>50.178999999999995</v>
          </cell>
          <cell r="I826">
            <v>51.827799999999996</v>
          </cell>
        </row>
        <row r="827">
          <cell r="B827">
            <v>42821</v>
          </cell>
          <cell r="C827">
            <v>47.02</v>
          </cell>
          <cell r="D827">
            <v>49.844499999999996</v>
          </cell>
          <cell r="I827">
            <v>51.73</v>
          </cell>
        </row>
        <row r="828">
          <cell r="B828">
            <v>42822</v>
          </cell>
          <cell r="C828">
            <v>48.36</v>
          </cell>
          <cell r="D828">
            <v>49.493499999999997</v>
          </cell>
          <cell r="I828">
            <v>51.610200000000006</v>
          </cell>
        </row>
        <row r="829">
          <cell r="B829">
            <v>42823</v>
          </cell>
          <cell r="C829">
            <v>49.47</v>
          </cell>
          <cell r="D829">
            <v>49.211499999999987</v>
          </cell>
          <cell r="I829">
            <v>51.530200000000008</v>
          </cell>
        </row>
        <row r="830">
          <cell r="B830">
            <v>42824</v>
          </cell>
          <cell r="C830">
            <v>50.3</v>
          </cell>
          <cell r="D830">
            <v>48.993999999999993</v>
          </cell>
          <cell r="I830">
            <v>51.470600000000012</v>
          </cell>
        </row>
        <row r="831">
          <cell r="B831">
            <v>42825</v>
          </cell>
          <cell r="C831">
            <v>50.54</v>
          </cell>
          <cell r="D831">
            <v>48.877499999999991</v>
          </cell>
          <cell r="I831">
            <v>51.454200000000007</v>
          </cell>
        </row>
        <row r="832">
          <cell r="B832">
            <v>42828</v>
          </cell>
          <cell r="C832">
            <v>50.25</v>
          </cell>
          <cell r="D832">
            <v>48.737999999999985</v>
          </cell>
          <cell r="I832">
            <v>51.437200000000004</v>
          </cell>
        </row>
        <row r="833">
          <cell r="B833">
            <v>42829</v>
          </cell>
          <cell r="C833">
            <v>50.99</v>
          </cell>
          <cell r="D833">
            <v>48.590999999999994</v>
          </cell>
          <cell r="I833">
            <v>51.395600000000002</v>
          </cell>
        </row>
        <row r="834">
          <cell r="B834">
            <v>42830</v>
          </cell>
          <cell r="C834">
            <v>51.14</v>
          </cell>
          <cell r="D834">
            <v>48.506499999999996</v>
          </cell>
          <cell r="I834">
            <v>51.36</v>
          </cell>
        </row>
        <row r="835">
          <cell r="B835">
            <v>42831</v>
          </cell>
          <cell r="C835">
            <v>51.69</v>
          </cell>
          <cell r="D835">
            <v>48.571999999999996</v>
          </cell>
          <cell r="I835">
            <v>51.335199999999993</v>
          </cell>
        </row>
        <row r="836">
          <cell r="B836">
            <v>42832</v>
          </cell>
          <cell r="C836">
            <v>52.25</v>
          </cell>
          <cell r="D836">
            <v>48.718999999999994</v>
          </cell>
          <cell r="I836">
            <v>51.3262</v>
          </cell>
        </row>
        <row r="837">
          <cell r="B837">
            <v>42835</v>
          </cell>
          <cell r="C837">
            <v>53.06</v>
          </cell>
          <cell r="D837">
            <v>48.928999999999995</v>
          </cell>
          <cell r="I837">
            <v>51.306399999999996</v>
          </cell>
        </row>
        <row r="838">
          <cell r="B838">
            <v>42836</v>
          </cell>
          <cell r="C838">
            <v>53.38</v>
          </cell>
          <cell r="D838">
            <v>49.184499999999993</v>
          </cell>
          <cell r="I838">
            <v>51.303999999999988</v>
          </cell>
        </row>
        <row r="839">
          <cell r="B839">
            <v>42837</v>
          </cell>
          <cell r="C839">
            <v>53.12</v>
          </cell>
          <cell r="D839">
            <v>49.491499999999988</v>
          </cell>
          <cell r="I839">
            <v>51.318999999999988</v>
          </cell>
        </row>
        <row r="840">
          <cell r="B840">
            <v>42838</v>
          </cell>
          <cell r="C840">
            <v>53.19</v>
          </cell>
          <cell r="D840">
            <v>49.730499999999992</v>
          </cell>
          <cell r="I840">
            <v>51.326399999999985</v>
          </cell>
        </row>
        <row r="841">
          <cell r="B841">
            <v>42842</v>
          </cell>
          <cell r="C841">
            <v>52.62</v>
          </cell>
          <cell r="D841">
            <v>49.975000000000001</v>
          </cell>
          <cell r="I841">
            <v>51.312199999999983</v>
          </cell>
        </row>
        <row r="842">
          <cell r="B842">
            <v>42843</v>
          </cell>
          <cell r="C842">
            <v>52.46</v>
          </cell>
          <cell r="D842">
            <v>50.189000000000007</v>
          </cell>
          <cell r="I842">
            <v>51.293599999999991</v>
          </cell>
        </row>
        <row r="843">
          <cell r="B843">
            <v>42844</v>
          </cell>
          <cell r="C843">
            <v>50.49</v>
          </cell>
          <cell r="D843">
            <v>50.422500000000007</v>
          </cell>
          <cell r="I843">
            <v>51.266599999999983</v>
          </cell>
        </row>
        <row r="844">
          <cell r="B844">
            <v>42845</v>
          </cell>
          <cell r="C844">
            <v>50.26</v>
          </cell>
          <cell r="D844">
            <v>50.595999999999997</v>
          </cell>
          <cell r="I844">
            <v>51.216199999999986</v>
          </cell>
        </row>
        <row r="845">
          <cell r="B845">
            <v>42846</v>
          </cell>
          <cell r="C845">
            <v>49.64</v>
          </cell>
          <cell r="D845">
            <v>50.744500000000002</v>
          </cell>
          <cell r="I845">
            <v>51.177599999999991</v>
          </cell>
        </row>
        <row r="846">
          <cell r="B846">
            <v>42849</v>
          </cell>
          <cell r="C846">
            <v>48.9</v>
          </cell>
          <cell r="D846">
            <v>50.8765</v>
          </cell>
          <cell r="I846">
            <v>51.122999999999983</v>
          </cell>
        </row>
        <row r="847">
          <cell r="B847">
            <v>42850</v>
          </cell>
          <cell r="C847">
            <v>49.22</v>
          </cell>
          <cell r="D847">
            <v>50.956499999999998</v>
          </cell>
          <cell r="I847">
            <v>51.041199999999989</v>
          </cell>
        </row>
        <row r="848">
          <cell r="B848">
            <v>42851</v>
          </cell>
          <cell r="C848">
            <v>49.22</v>
          </cell>
          <cell r="D848">
            <v>51.066500000000005</v>
          </cell>
          <cell r="I848">
            <v>50.948799999999984</v>
          </cell>
        </row>
        <row r="849">
          <cell r="B849">
            <v>42852</v>
          </cell>
          <cell r="C849">
            <v>48.96</v>
          </cell>
          <cell r="D849">
            <v>51.109500000000011</v>
          </cell>
          <cell r="I849">
            <v>50.873999999999988</v>
          </cell>
        </row>
        <row r="850">
          <cell r="B850">
            <v>42853</v>
          </cell>
          <cell r="C850">
            <v>49.31</v>
          </cell>
          <cell r="D850">
            <v>51.08400000000001</v>
          </cell>
          <cell r="I850">
            <v>50.788999999999987</v>
          </cell>
        </row>
        <row r="851">
          <cell r="B851">
            <v>42856</v>
          </cell>
          <cell r="C851">
            <v>48.83</v>
          </cell>
          <cell r="D851">
            <v>51.034500000000001</v>
          </cell>
          <cell r="I851">
            <v>50.712999999999994</v>
          </cell>
        </row>
        <row r="852">
          <cell r="B852">
            <v>42857</v>
          </cell>
          <cell r="C852">
            <v>47.65</v>
          </cell>
          <cell r="D852">
            <v>50.949000000000005</v>
          </cell>
          <cell r="I852">
            <v>50.621399999999987</v>
          </cell>
        </row>
        <row r="853">
          <cell r="B853">
            <v>42858</v>
          </cell>
          <cell r="C853">
            <v>47.79</v>
          </cell>
          <cell r="D853">
            <v>50.819000000000003</v>
          </cell>
          <cell r="I853">
            <v>50.506199999999993</v>
          </cell>
        </row>
        <row r="854">
          <cell r="B854">
            <v>42859</v>
          </cell>
          <cell r="C854">
            <v>45.55</v>
          </cell>
          <cell r="D854">
            <v>50.659000000000006</v>
          </cell>
          <cell r="I854">
            <v>50.381599999999992</v>
          </cell>
        </row>
        <row r="855">
          <cell r="B855">
            <v>42860</v>
          </cell>
          <cell r="C855">
            <v>46.23</v>
          </cell>
          <cell r="D855">
            <v>50.379499999999993</v>
          </cell>
          <cell r="I855">
            <v>50.220399999999991</v>
          </cell>
        </row>
        <row r="856">
          <cell r="B856">
            <v>42863</v>
          </cell>
          <cell r="C856">
            <v>46.46</v>
          </cell>
          <cell r="D856">
            <v>50.106500000000004</v>
          </cell>
          <cell r="I856">
            <v>50.055399999999992</v>
          </cell>
        </row>
        <row r="857">
          <cell r="B857">
            <v>42864</v>
          </cell>
          <cell r="C857">
            <v>45.84</v>
          </cell>
          <cell r="D857">
            <v>49.817000000000007</v>
          </cell>
          <cell r="I857">
            <v>49.904799999999994</v>
          </cell>
        </row>
        <row r="858">
          <cell r="B858">
            <v>42865</v>
          </cell>
          <cell r="C858">
            <v>47.28</v>
          </cell>
          <cell r="D858">
            <v>49.456000000000003</v>
          </cell>
          <cell r="I858">
            <v>49.740800000000007</v>
          </cell>
        </row>
        <row r="859">
          <cell r="B859">
            <v>42866</v>
          </cell>
          <cell r="C859">
            <v>47.81</v>
          </cell>
          <cell r="D859">
            <v>49.151000000000003</v>
          </cell>
          <cell r="I859">
            <v>49.606400000000015</v>
          </cell>
        </row>
        <row r="860">
          <cell r="B860">
            <v>42867</v>
          </cell>
          <cell r="C860">
            <v>47.83</v>
          </cell>
          <cell r="D860">
            <v>48.8855</v>
          </cell>
          <cell r="I860">
            <v>49.486200000000018</v>
          </cell>
        </row>
        <row r="861">
          <cell r="B861">
            <v>42870</v>
          </cell>
          <cell r="C861">
            <v>48.86</v>
          </cell>
          <cell r="D861">
            <v>48.6175</v>
          </cell>
          <cell r="I861">
            <v>49.390200000000014</v>
          </cell>
        </row>
        <row r="862">
          <cell r="B862">
            <v>42871</v>
          </cell>
          <cell r="C862">
            <v>48.64</v>
          </cell>
          <cell r="D862">
            <v>48.429500000000004</v>
          </cell>
          <cell r="I862">
            <v>49.300800000000017</v>
          </cell>
        </row>
        <row r="863">
          <cell r="B863">
            <v>42872</v>
          </cell>
          <cell r="C863">
            <v>49.04</v>
          </cell>
          <cell r="D863">
            <v>48.238500000000002</v>
          </cell>
          <cell r="I863">
            <v>49.209800000000016</v>
          </cell>
        </row>
        <row r="864">
          <cell r="B864">
            <v>42873</v>
          </cell>
          <cell r="C864">
            <v>49.36</v>
          </cell>
          <cell r="D864">
            <v>48.166000000000004</v>
          </cell>
          <cell r="I864">
            <v>49.137</v>
          </cell>
        </row>
        <row r="865">
          <cell r="B865">
            <v>42874</v>
          </cell>
          <cell r="C865">
            <v>50.32</v>
          </cell>
          <cell r="D865">
            <v>48.121000000000002</v>
          </cell>
          <cell r="I865">
            <v>49.127600000000001</v>
          </cell>
        </row>
        <row r="866">
          <cell r="B866">
            <v>42877</v>
          </cell>
          <cell r="C866">
            <v>50.81</v>
          </cell>
          <cell r="D866">
            <v>48.155000000000001</v>
          </cell>
          <cell r="I866">
            <v>49.159000000000006</v>
          </cell>
        </row>
        <row r="867">
          <cell r="B867">
            <v>42878</v>
          </cell>
          <cell r="C867">
            <v>51.12</v>
          </cell>
          <cell r="D867">
            <v>48.250500000000009</v>
          </cell>
          <cell r="I867">
            <v>49.214199999999998</v>
          </cell>
        </row>
        <row r="868">
          <cell r="B868">
            <v>42879</v>
          </cell>
          <cell r="C868">
            <v>50.99</v>
          </cell>
          <cell r="D868">
            <v>48.345500000000008</v>
          </cell>
          <cell r="I868">
            <v>49.2776</v>
          </cell>
        </row>
        <row r="869">
          <cell r="B869">
            <v>42880</v>
          </cell>
          <cell r="C869">
            <v>48.57</v>
          </cell>
          <cell r="D869">
            <v>48.434000000000012</v>
          </cell>
          <cell r="I869">
            <v>49.352599999999995</v>
          </cell>
        </row>
        <row r="870">
          <cell r="B870">
            <v>42881</v>
          </cell>
          <cell r="C870">
            <v>49.58</v>
          </cell>
          <cell r="D870">
            <v>48.414499999999997</v>
          </cell>
          <cell r="I870">
            <v>49.357199999999992</v>
          </cell>
        </row>
        <row r="871">
          <cell r="B871">
            <v>42885</v>
          </cell>
          <cell r="C871">
            <v>49.63</v>
          </cell>
          <cell r="D871">
            <v>48.428000000000004</v>
          </cell>
          <cell r="I871">
            <v>49.382799999999996</v>
          </cell>
        </row>
        <row r="872">
          <cell r="B872">
            <v>42886</v>
          </cell>
          <cell r="C872">
            <v>48.29</v>
          </cell>
          <cell r="D872">
            <v>48.468000000000004</v>
          </cell>
          <cell r="I872">
            <v>49.408600000000007</v>
          </cell>
        </row>
        <row r="873">
          <cell r="B873">
            <v>42887</v>
          </cell>
          <cell r="C873">
            <v>48.32</v>
          </cell>
          <cell r="D873">
            <v>48.5</v>
          </cell>
          <cell r="I873">
            <v>49.418599999999998</v>
          </cell>
        </row>
        <row r="874">
          <cell r="B874">
            <v>42888</v>
          </cell>
          <cell r="C874">
            <v>47.68</v>
          </cell>
          <cell r="D874">
            <v>48.526500000000006</v>
          </cell>
          <cell r="I874">
            <v>49.444600000000001</v>
          </cell>
        </row>
        <row r="875">
          <cell r="B875">
            <v>42891</v>
          </cell>
          <cell r="C875">
            <v>47.4</v>
          </cell>
          <cell r="D875">
            <v>48.633000000000003</v>
          </cell>
          <cell r="I875">
            <v>49.45239999999999</v>
          </cell>
        </row>
        <row r="876">
          <cell r="B876">
            <v>42892</v>
          </cell>
          <cell r="C876">
            <v>48.13</v>
          </cell>
          <cell r="D876">
            <v>48.691500000000005</v>
          </cell>
          <cell r="I876">
            <v>49.460399999999993</v>
          </cell>
        </row>
        <row r="877">
          <cell r="B877">
            <v>42893</v>
          </cell>
          <cell r="C877">
            <v>45.8</v>
          </cell>
          <cell r="D877">
            <v>48.774999999999999</v>
          </cell>
          <cell r="I877">
            <v>49.47699999999999</v>
          </cell>
        </row>
        <row r="878">
          <cell r="B878">
            <v>42894</v>
          </cell>
          <cell r="C878">
            <v>45.68</v>
          </cell>
          <cell r="D878">
            <v>48.773000000000003</v>
          </cell>
          <cell r="I878">
            <v>49.45259999999999</v>
          </cell>
        </row>
        <row r="879">
          <cell r="B879">
            <v>42895</v>
          </cell>
          <cell r="C879">
            <v>45.82</v>
          </cell>
          <cell r="D879">
            <v>48.692999999999998</v>
          </cell>
          <cell r="I879">
            <v>49.398999999999994</v>
          </cell>
        </row>
        <row r="880">
          <cell r="B880">
            <v>42898</v>
          </cell>
          <cell r="C880">
            <v>46.1</v>
          </cell>
          <cell r="D880">
            <v>48.593499999999992</v>
          </cell>
          <cell r="I880">
            <v>49.325999999999993</v>
          </cell>
        </row>
        <row r="881">
          <cell r="B881">
            <v>42899</v>
          </cell>
          <cell r="C881">
            <v>46.41</v>
          </cell>
          <cell r="D881">
            <v>48.506999999999991</v>
          </cell>
          <cell r="I881">
            <v>49.241999999999997</v>
          </cell>
        </row>
        <row r="882">
          <cell r="B882">
            <v>42900</v>
          </cell>
          <cell r="C882">
            <v>44.79</v>
          </cell>
          <cell r="D882">
            <v>48.384499999999996</v>
          </cell>
          <cell r="I882">
            <v>49.159399999999984</v>
          </cell>
        </row>
        <row r="883">
          <cell r="B883">
            <v>42901</v>
          </cell>
          <cell r="C883">
            <v>44.47</v>
          </cell>
          <cell r="D883">
            <v>48.191999999999993</v>
          </cell>
          <cell r="I883">
            <v>49.05019999999999</v>
          </cell>
        </row>
        <row r="884">
          <cell r="B884">
            <v>42902</v>
          </cell>
          <cell r="C884">
            <v>44.73</v>
          </cell>
          <cell r="D884">
            <v>47.963499999999996</v>
          </cell>
          <cell r="I884">
            <v>48.919799999999988</v>
          </cell>
        </row>
        <row r="885">
          <cell r="B885">
            <v>42905</v>
          </cell>
          <cell r="C885">
            <v>44.24</v>
          </cell>
          <cell r="D885">
            <v>47.731999999999999</v>
          </cell>
          <cell r="I885">
            <v>48.791599999999981</v>
          </cell>
        </row>
        <row r="886">
          <cell r="B886">
            <v>42906</v>
          </cell>
          <cell r="C886">
            <v>43.34</v>
          </cell>
          <cell r="D886">
            <v>47.427999999999997</v>
          </cell>
          <cell r="I886">
            <v>48.642599999999987</v>
          </cell>
        </row>
        <row r="887">
          <cell r="B887">
            <v>42907</v>
          </cell>
          <cell r="C887">
            <v>42.48</v>
          </cell>
          <cell r="D887">
            <v>47.054500000000004</v>
          </cell>
          <cell r="I887">
            <v>48.464399999999983</v>
          </cell>
        </row>
        <row r="888">
          <cell r="B888">
            <v>42908</v>
          </cell>
          <cell r="C888">
            <v>42.53</v>
          </cell>
          <cell r="D888">
            <v>46.622500000000002</v>
          </cell>
          <cell r="I888">
            <v>48.252799999999986</v>
          </cell>
        </row>
        <row r="889">
          <cell r="B889">
            <v>42909</v>
          </cell>
          <cell r="C889">
            <v>42.86</v>
          </cell>
          <cell r="D889">
            <v>46.1995</v>
          </cell>
          <cell r="I889">
            <v>48.035799999999988</v>
          </cell>
        </row>
        <row r="890">
          <cell r="B890">
            <v>42912</v>
          </cell>
          <cell r="C890">
            <v>43.24</v>
          </cell>
          <cell r="D890">
            <v>45.914000000000001</v>
          </cell>
          <cell r="I890">
            <v>47.830599999999997</v>
          </cell>
        </row>
        <row r="891">
          <cell r="B891">
            <v>42913</v>
          </cell>
          <cell r="C891">
            <v>44.25</v>
          </cell>
          <cell r="D891">
            <v>45.597000000000008</v>
          </cell>
          <cell r="I891">
            <v>47.631599999999999</v>
          </cell>
        </row>
        <row r="892">
          <cell r="B892">
            <v>42914</v>
          </cell>
          <cell r="C892">
            <v>44.74</v>
          </cell>
          <cell r="D892">
            <v>45.328000000000003</v>
          </cell>
          <cell r="I892">
            <v>47.464199999999998</v>
          </cell>
        </row>
        <row r="893">
          <cell r="B893">
            <v>42915</v>
          </cell>
          <cell r="C893">
            <v>44.88</v>
          </cell>
          <cell r="D893">
            <v>45.150500000000008</v>
          </cell>
          <cell r="I893">
            <v>47.309799999999996</v>
          </cell>
        </row>
        <row r="894">
          <cell r="B894">
            <v>42916</v>
          </cell>
          <cell r="C894">
            <v>46.02</v>
          </cell>
          <cell r="D894">
            <v>44.978500000000004</v>
          </cell>
          <cell r="I894">
            <v>47.197600000000001</v>
          </cell>
        </row>
        <row r="895">
          <cell r="B895">
            <v>42919</v>
          </cell>
          <cell r="C895">
            <v>46.02</v>
          </cell>
          <cell r="D895">
            <v>44.895500000000006</v>
          </cell>
          <cell r="I895">
            <v>47.1128</v>
          </cell>
        </row>
        <row r="896">
          <cell r="B896">
            <v>42921</v>
          </cell>
          <cell r="C896">
            <v>45.11</v>
          </cell>
          <cell r="D896">
            <v>44.826500000000003</v>
          </cell>
          <cell r="I896">
            <v>47.040399999999991</v>
          </cell>
        </row>
        <row r="897">
          <cell r="B897">
            <v>42922</v>
          </cell>
          <cell r="C897">
            <v>45.52</v>
          </cell>
          <cell r="D897">
            <v>44.6755</v>
          </cell>
          <cell r="I897">
            <v>46.964599999999997</v>
          </cell>
        </row>
        <row r="898">
          <cell r="B898">
            <v>42923</v>
          </cell>
          <cell r="C898">
            <v>44.25</v>
          </cell>
          <cell r="D898">
            <v>44.661500000000004</v>
          </cell>
          <cell r="I898">
            <v>46.890600000000006</v>
          </cell>
        </row>
        <row r="899">
          <cell r="B899">
            <v>42926</v>
          </cell>
          <cell r="C899">
            <v>44.4</v>
          </cell>
          <cell r="D899">
            <v>44.589999999999996</v>
          </cell>
          <cell r="I899">
            <v>46.791200000000011</v>
          </cell>
        </row>
        <row r="900">
          <cell r="B900">
            <v>42927</v>
          </cell>
          <cell r="C900">
            <v>45.06</v>
          </cell>
          <cell r="D900">
            <v>44.518999999999991</v>
          </cell>
          <cell r="I900">
            <v>46.7</v>
          </cell>
        </row>
        <row r="901">
          <cell r="B901">
            <v>42928</v>
          </cell>
          <cell r="C901">
            <v>45.48</v>
          </cell>
          <cell r="D901">
            <v>44.466999999999999</v>
          </cell>
          <cell r="I901">
            <v>46.615000000000009</v>
          </cell>
        </row>
        <row r="902">
          <cell r="B902">
            <v>42929</v>
          </cell>
          <cell r="C902">
            <v>46.06</v>
          </cell>
          <cell r="D902">
            <v>44.420500000000004</v>
          </cell>
          <cell r="I902">
            <v>46.548000000000009</v>
          </cell>
        </row>
        <row r="903">
          <cell r="B903">
            <v>42930</v>
          </cell>
          <cell r="C903">
            <v>46.53</v>
          </cell>
          <cell r="D903">
            <v>44.483999999999995</v>
          </cell>
          <cell r="I903">
            <v>46.516199999999998</v>
          </cell>
        </row>
        <row r="904">
          <cell r="B904">
            <v>42933</v>
          </cell>
          <cell r="C904">
            <v>46.02</v>
          </cell>
          <cell r="D904">
            <v>44.587000000000003</v>
          </cell>
          <cell r="I904">
            <v>46.491000000000007</v>
          </cell>
        </row>
        <row r="905">
          <cell r="B905">
            <v>42934</v>
          </cell>
          <cell r="C905">
            <v>46.4</v>
          </cell>
          <cell r="D905">
            <v>44.651499999999984</v>
          </cell>
          <cell r="I905">
            <v>46.500399999999999</v>
          </cell>
        </row>
        <row r="906">
          <cell r="B906">
            <v>42935</v>
          </cell>
          <cell r="C906">
            <v>47.1</v>
          </cell>
          <cell r="D906">
            <v>44.759499999999996</v>
          </cell>
          <cell r="I906">
            <v>46.503799999999998</v>
          </cell>
        </row>
        <row r="907">
          <cell r="B907">
            <v>42936</v>
          </cell>
          <cell r="C907">
            <v>46.73</v>
          </cell>
          <cell r="D907">
            <v>44.947499999999991</v>
          </cell>
          <cell r="I907">
            <v>46.516599999999997</v>
          </cell>
        </row>
        <row r="908">
          <cell r="B908">
            <v>42937</v>
          </cell>
          <cell r="C908">
            <v>45.78</v>
          </cell>
          <cell r="D908">
            <v>45.159999999999989</v>
          </cell>
          <cell r="I908">
            <v>46.534400000000005</v>
          </cell>
        </row>
        <row r="909">
          <cell r="B909">
            <v>42940</v>
          </cell>
          <cell r="C909">
            <v>46.21</v>
          </cell>
          <cell r="D909">
            <v>45.322499999999991</v>
          </cell>
          <cell r="I909">
            <v>46.504400000000004</v>
          </cell>
        </row>
        <row r="910">
          <cell r="B910">
            <v>42941</v>
          </cell>
          <cell r="C910">
            <v>47.77</v>
          </cell>
          <cell r="D910">
            <v>45.489999999999995</v>
          </cell>
          <cell r="I910">
            <v>46.4724</v>
          </cell>
        </row>
        <row r="911">
          <cell r="B911">
            <v>42942</v>
          </cell>
          <cell r="C911">
            <v>48.58</v>
          </cell>
          <cell r="D911">
            <v>45.716499999999996</v>
          </cell>
          <cell r="I911">
            <v>46.471199999999996</v>
          </cell>
        </row>
        <row r="912">
          <cell r="B912">
            <v>42943</v>
          </cell>
          <cell r="C912">
            <v>49.05</v>
          </cell>
          <cell r="D912">
            <v>45.933000000000007</v>
          </cell>
          <cell r="I912">
            <v>46.465599999999995</v>
          </cell>
        </row>
        <row r="913">
          <cell r="B913">
            <v>42944</v>
          </cell>
          <cell r="C913">
            <v>49.72</v>
          </cell>
          <cell r="D913">
            <v>46.148499999999999</v>
          </cell>
          <cell r="I913">
            <v>46.47379999999999</v>
          </cell>
        </row>
        <row r="914">
          <cell r="B914">
            <v>42947</v>
          </cell>
          <cell r="C914">
            <v>50.21</v>
          </cell>
          <cell r="D914">
            <v>46.390500000000003</v>
          </cell>
          <cell r="I914">
            <v>46.487399999999987</v>
          </cell>
        </row>
        <row r="915">
          <cell r="B915">
            <v>42948</v>
          </cell>
          <cell r="C915">
            <v>49.19</v>
          </cell>
          <cell r="D915">
            <v>46.600000000000009</v>
          </cell>
          <cell r="I915">
            <v>46.504399999999997</v>
          </cell>
        </row>
        <row r="916">
          <cell r="B916">
            <v>42949</v>
          </cell>
          <cell r="C916">
            <v>49.6</v>
          </cell>
          <cell r="D916">
            <v>46.758500000000005</v>
          </cell>
          <cell r="I916">
            <v>46.481799999999993</v>
          </cell>
        </row>
        <row r="917">
          <cell r="B917">
            <v>42950</v>
          </cell>
          <cell r="C917">
            <v>49.03</v>
          </cell>
          <cell r="D917">
            <v>46.982999999999997</v>
          </cell>
          <cell r="I917">
            <v>46.457599999999999</v>
          </cell>
        </row>
        <row r="918">
          <cell r="B918">
            <v>42951</v>
          </cell>
          <cell r="C918">
            <v>49.57</v>
          </cell>
          <cell r="D918">
            <v>47.158499999999997</v>
          </cell>
          <cell r="I918">
            <v>46.415799999999997</v>
          </cell>
        </row>
        <row r="919">
          <cell r="B919">
            <v>42954</v>
          </cell>
          <cell r="C919">
            <v>49.37</v>
          </cell>
          <cell r="D919">
            <v>47.424500000000009</v>
          </cell>
          <cell r="I919">
            <v>46.387400000000007</v>
          </cell>
        </row>
        <row r="920">
          <cell r="B920">
            <v>42955</v>
          </cell>
          <cell r="C920">
            <v>49.07</v>
          </cell>
          <cell r="D920">
            <v>47.673000000000009</v>
          </cell>
          <cell r="I920">
            <v>46.403400000000005</v>
          </cell>
        </row>
        <row r="921">
          <cell r="B921">
            <v>42956</v>
          </cell>
          <cell r="C921">
            <v>49.59</v>
          </cell>
          <cell r="D921">
            <v>47.8735</v>
          </cell>
          <cell r="I921">
            <v>46.393200000000007</v>
          </cell>
        </row>
        <row r="922">
          <cell r="B922">
            <v>42957</v>
          </cell>
          <cell r="C922">
            <v>48.54</v>
          </cell>
          <cell r="D922">
            <v>48.079000000000001</v>
          </cell>
          <cell r="I922">
            <v>46.392400000000009</v>
          </cell>
        </row>
        <row r="923">
          <cell r="B923">
            <v>42958</v>
          </cell>
          <cell r="C923">
            <v>48.81</v>
          </cell>
          <cell r="D923">
            <v>48.203000000000003</v>
          </cell>
          <cell r="I923">
            <v>46.397400000000005</v>
          </cell>
        </row>
        <row r="924">
          <cell r="B924">
            <v>42961</v>
          </cell>
          <cell r="C924">
            <v>47.59</v>
          </cell>
          <cell r="D924">
            <v>48.317000000000007</v>
          </cell>
          <cell r="I924">
            <v>46.407200000000003</v>
          </cell>
        </row>
        <row r="925">
          <cell r="B925">
            <v>42962</v>
          </cell>
          <cell r="C925">
            <v>47.57</v>
          </cell>
          <cell r="D925">
            <v>48.395500000000013</v>
          </cell>
          <cell r="I925">
            <v>46.405400000000007</v>
          </cell>
        </row>
        <row r="926">
          <cell r="B926">
            <v>42963</v>
          </cell>
          <cell r="C926">
            <v>46.8</v>
          </cell>
          <cell r="D926">
            <v>48.454000000000008</v>
          </cell>
          <cell r="I926">
            <v>46.408799999999999</v>
          </cell>
        </row>
        <row r="927">
          <cell r="B927">
            <v>42964</v>
          </cell>
          <cell r="C927">
            <v>47.07</v>
          </cell>
          <cell r="D927">
            <v>48.439000000000007</v>
          </cell>
          <cell r="I927">
            <v>46.382200000000005</v>
          </cell>
        </row>
        <row r="928">
          <cell r="B928">
            <v>42965</v>
          </cell>
          <cell r="C928">
            <v>48.59</v>
          </cell>
          <cell r="D928">
            <v>48.45600000000001</v>
          </cell>
          <cell r="I928">
            <v>46.407600000000002</v>
          </cell>
        </row>
        <row r="929">
          <cell r="B929">
            <v>42968</v>
          </cell>
          <cell r="C929">
            <v>47.39</v>
          </cell>
          <cell r="D929">
            <v>48.596500000000006</v>
          </cell>
          <cell r="I929">
            <v>46.465800000000009</v>
          </cell>
        </row>
        <row r="930">
          <cell r="B930">
            <v>42969</v>
          </cell>
          <cell r="C930">
            <v>47.65</v>
          </cell>
          <cell r="D930">
            <v>48.655500000000004</v>
          </cell>
          <cell r="I930">
            <v>46.497199999999992</v>
          </cell>
        </row>
        <row r="931">
          <cell r="B931">
            <v>42970</v>
          </cell>
          <cell r="C931">
            <v>48.45</v>
          </cell>
          <cell r="D931">
            <v>48.649500000000003</v>
          </cell>
          <cell r="I931">
            <v>46.528199999999998</v>
          </cell>
        </row>
        <row r="932">
          <cell r="B932">
            <v>42971</v>
          </cell>
          <cell r="C932">
            <v>47.24</v>
          </cell>
          <cell r="D932">
            <v>48.643000000000008</v>
          </cell>
          <cell r="I932">
            <v>46.568999999999988</v>
          </cell>
        </row>
        <row r="933">
          <cell r="B933">
            <v>42972</v>
          </cell>
          <cell r="C933">
            <v>47.65</v>
          </cell>
          <cell r="D933">
            <v>48.552500000000009</v>
          </cell>
          <cell r="I933">
            <v>46.617999999999974</v>
          </cell>
        </row>
        <row r="934">
          <cell r="B934">
            <v>42975</v>
          </cell>
          <cell r="C934">
            <v>46.4</v>
          </cell>
          <cell r="D934">
            <v>48.449000000000005</v>
          </cell>
          <cell r="I934">
            <v>46.681599999999982</v>
          </cell>
        </row>
        <row r="935">
          <cell r="B935">
            <v>42976</v>
          </cell>
          <cell r="C935">
            <v>46.46</v>
          </cell>
          <cell r="D935">
            <v>48.258500000000005</v>
          </cell>
          <cell r="I935">
            <v>46.714999999999975</v>
          </cell>
        </row>
        <row r="936">
          <cell r="B936">
            <v>42977</v>
          </cell>
          <cell r="C936">
            <v>45.96</v>
          </cell>
          <cell r="D936">
            <v>48.122000000000007</v>
          </cell>
          <cell r="I936">
            <v>46.759399999999978</v>
          </cell>
        </row>
        <row r="937">
          <cell r="B937">
            <v>42978</v>
          </cell>
          <cell r="C937">
            <v>47.26</v>
          </cell>
          <cell r="D937">
            <v>47.940000000000012</v>
          </cell>
          <cell r="I937">
            <v>46.811799999999977</v>
          </cell>
        </row>
        <row r="938">
          <cell r="B938">
            <v>42979</v>
          </cell>
          <cell r="C938">
            <v>47.32</v>
          </cell>
          <cell r="D938">
            <v>47.851500000000001</v>
          </cell>
          <cell r="I938">
            <v>46.907399999999988</v>
          </cell>
        </row>
        <row r="939">
          <cell r="B939">
            <v>42983</v>
          </cell>
          <cell r="C939">
            <v>48.63</v>
          </cell>
          <cell r="D939">
            <v>47.739000000000004</v>
          </cell>
          <cell r="I939">
            <v>47.0032</v>
          </cell>
        </row>
        <row r="940">
          <cell r="B940">
            <v>42984</v>
          </cell>
          <cell r="C940">
            <v>49.13</v>
          </cell>
          <cell r="D940">
            <v>47.702000000000005</v>
          </cell>
          <cell r="I940">
            <v>47.118600000000008</v>
          </cell>
        </row>
        <row r="941">
          <cell r="B941">
            <v>42985</v>
          </cell>
          <cell r="C941">
            <v>49.1</v>
          </cell>
          <cell r="D941">
            <v>47.704999999999998</v>
          </cell>
          <cell r="I941">
            <v>47.236400000000003</v>
          </cell>
        </row>
        <row r="942">
          <cell r="B942">
            <v>42986</v>
          </cell>
          <cell r="C942">
            <v>47.44</v>
          </cell>
          <cell r="D942">
            <v>47.680500000000002</v>
          </cell>
          <cell r="I942">
            <v>47.333400000000005</v>
          </cell>
        </row>
        <row r="943">
          <cell r="B943">
            <v>42989</v>
          </cell>
          <cell r="C943">
            <v>48.06</v>
          </cell>
          <cell r="D943">
            <v>47.625500000000002</v>
          </cell>
          <cell r="I943">
            <v>47.387400000000007</v>
          </cell>
        </row>
        <row r="944">
          <cell r="B944">
            <v>42990</v>
          </cell>
          <cell r="C944">
            <v>48.21</v>
          </cell>
          <cell r="D944">
            <v>47.588000000000001</v>
          </cell>
          <cell r="I944">
            <v>47.451000000000001</v>
          </cell>
        </row>
        <row r="945">
          <cell r="B945">
            <v>42991</v>
          </cell>
          <cell r="C945">
            <v>49.3</v>
          </cell>
          <cell r="D945">
            <v>47.619000000000007</v>
          </cell>
          <cell r="I945">
            <v>47.494799999999998</v>
          </cell>
        </row>
        <row r="946">
          <cell r="B946">
            <v>42992</v>
          </cell>
          <cell r="C946">
            <v>49.86</v>
          </cell>
          <cell r="D946">
            <v>47.705499999999994</v>
          </cell>
          <cell r="I946">
            <v>47.560400000000001</v>
          </cell>
        </row>
        <row r="947">
          <cell r="B947">
            <v>42993</v>
          </cell>
          <cell r="C947">
            <v>49.9</v>
          </cell>
          <cell r="D947">
            <v>47.858499999999999</v>
          </cell>
          <cell r="I947">
            <v>47.6554</v>
          </cell>
        </row>
        <row r="948">
          <cell r="B948">
            <v>42996</v>
          </cell>
          <cell r="C948">
            <v>49.88</v>
          </cell>
          <cell r="D948">
            <v>47.999999999999986</v>
          </cell>
          <cell r="I948">
            <v>47.743000000000009</v>
          </cell>
        </row>
        <row r="949">
          <cell r="B949">
            <v>42997</v>
          </cell>
          <cell r="C949">
            <v>49.54</v>
          </cell>
          <cell r="D949">
            <v>48.064499999999995</v>
          </cell>
          <cell r="I949">
            <v>47.855600000000024</v>
          </cell>
        </row>
        <row r="950">
          <cell r="B950">
            <v>42998</v>
          </cell>
          <cell r="C950">
            <v>50.29</v>
          </cell>
          <cell r="D950">
            <v>48.171999999999997</v>
          </cell>
          <cell r="I950">
            <v>47.958400000000012</v>
          </cell>
        </row>
        <row r="951">
          <cell r="B951">
            <v>42999</v>
          </cell>
          <cell r="C951">
            <v>50.58</v>
          </cell>
          <cell r="D951">
            <v>48.303999999999988</v>
          </cell>
          <cell r="I951">
            <v>48.063000000000017</v>
          </cell>
        </row>
        <row r="952">
          <cell r="B952">
            <v>43000</v>
          </cell>
          <cell r="C952">
            <v>50.33</v>
          </cell>
          <cell r="D952">
            <v>48.410499999999999</v>
          </cell>
          <cell r="I952">
            <v>48.165000000000006</v>
          </cell>
        </row>
        <row r="953">
          <cell r="B953">
            <v>43003</v>
          </cell>
          <cell r="C953">
            <v>51.85</v>
          </cell>
          <cell r="D953">
            <v>48.565000000000005</v>
          </cell>
          <cell r="I953">
            <v>48.250400000000006</v>
          </cell>
        </row>
        <row r="954">
          <cell r="B954">
            <v>43004</v>
          </cell>
          <cell r="C954">
            <v>51.59</v>
          </cell>
          <cell r="D954">
            <v>48.774999999999999</v>
          </cell>
          <cell r="I954">
            <v>48.356800000000014</v>
          </cell>
        </row>
        <row r="955">
          <cell r="B955">
            <v>43005</v>
          </cell>
          <cell r="C955">
            <v>52.14</v>
          </cell>
          <cell r="D955">
            <v>49.034500000000001</v>
          </cell>
          <cell r="I955">
            <v>48.468200000000003</v>
          </cell>
        </row>
        <row r="956">
          <cell r="B956">
            <v>43006</v>
          </cell>
          <cell r="C956">
            <v>51.62</v>
          </cell>
          <cell r="D956">
            <v>49.3185</v>
          </cell>
          <cell r="I956">
            <v>48.582999999999998</v>
          </cell>
        </row>
        <row r="957">
          <cell r="B957">
            <v>43007</v>
          </cell>
          <cell r="C957">
            <v>51.67</v>
          </cell>
          <cell r="D957">
            <v>49.601500000000001</v>
          </cell>
          <cell r="I957">
            <v>48.673400000000008</v>
          </cell>
        </row>
        <row r="958">
          <cell r="B958">
            <v>43010</v>
          </cell>
          <cell r="C958">
            <v>50.59</v>
          </cell>
          <cell r="D958">
            <v>49.822000000000003</v>
          </cell>
          <cell r="I958">
            <v>48.772200000000012</v>
          </cell>
        </row>
        <row r="959">
          <cell r="B959">
            <v>43011</v>
          </cell>
          <cell r="C959">
            <v>50.44</v>
          </cell>
          <cell r="D959">
            <v>49.985500000000002</v>
          </cell>
          <cell r="I959">
            <v>48.868400000000008</v>
          </cell>
        </row>
        <row r="960">
          <cell r="B960">
            <v>43012</v>
          </cell>
          <cell r="C960">
            <v>50</v>
          </cell>
          <cell r="D960">
            <v>50.076000000000008</v>
          </cell>
          <cell r="I960">
            <v>48.95300000000001</v>
          </cell>
        </row>
        <row r="961">
          <cell r="B961">
            <v>43013</v>
          </cell>
          <cell r="C961">
            <v>50.79</v>
          </cell>
          <cell r="D961">
            <v>50.119500000000002</v>
          </cell>
          <cell r="I961">
            <v>48.997600000000013</v>
          </cell>
        </row>
        <row r="962">
          <cell r="B962">
            <v>43014</v>
          </cell>
          <cell r="C962">
            <v>49.34</v>
          </cell>
          <cell r="D962">
            <v>50.203999999999994</v>
          </cell>
          <cell r="I962">
            <v>49.041800000000002</v>
          </cell>
        </row>
        <row r="963">
          <cell r="B963">
            <v>43017</v>
          </cell>
          <cell r="C963">
            <v>49.58</v>
          </cell>
          <cell r="D963">
            <v>50.299000000000007</v>
          </cell>
          <cell r="I963">
            <v>49.047600000000003</v>
          </cell>
        </row>
        <row r="964">
          <cell r="B964">
            <v>43018</v>
          </cell>
          <cell r="C964">
            <v>50.93</v>
          </cell>
          <cell r="D964">
            <v>50.375</v>
          </cell>
          <cell r="I964">
            <v>49.044800000000002</v>
          </cell>
        </row>
        <row r="965">
          <cell r="B965">
            <v>43019</v>
          </cell>
          <cell r="C965">
            <v>51.3</v>
          </cell>
          <cell r="D965">
            <v>50.510999999999996</v>
          </cell>
          <cell r="I965">
            <v>49.059200000000004</v>
          </cell>
        </row>
        <row r="966">
          <cell r="B966">
            <v>43020</v>
          </cell>
          <cell r="C966">
            <v>50.61</v>
          </cell>
          <cell r="D966">
            <v>50.610999999999997</v>
          </cell>
          <cell r="I966">
            <v>49.101400000000005</v>
          </cell>
        </row>
        <row r="967">
          <cell r="B967">
            <v>43021</v>
          </cell>
          <cell r="C967">
            <v>51.43</v>
          </cell>
          <cell r="D967">
            <v>50.648499999999999</v>
          </cell>
          <cell r="I967">
            <v>49.121600000000008</v>
          </cell>
        </row>
        <row r="968">
          <cell r="B968">
            <v>43024</v>
          </cell>
          <cell r="C968">
            <v>51.86</v>
          </cell>
          <cell r="D968">
            <v>50.724999999999994</v>
          </cell>
          <cell r="I968">
            <v>49.169599999999988</v>
          </cell>
        </row>
        <row r="969">
          <cell r="B969">
            <v>43025</v>
          </cell>
          <cell r="C969">
            <v>51.87</v>
          </cell>
          <cell r="D969">
            <v>50.823999999999998</v>
          </cell>
          <cell r="I969">
            <v>49.215400000000002</v>
          </cell>
        </row>
        <row r="970">
          <cell r="B970">
            <v>43026</v>
          </cell>
          <cell r="C970">
            <v>52.05</v>
          </cell>
          <cell r="D970">
            <v>50.940499999999993</v>
          </cell>
          <cell r="I970">
            <v>49.2654</v>
          </cell>
        </row>
        <row r="971">
          <cell r="B971">
            <v>43027</v>
          </cell>
          <cell r="C971">
            <v>51.29</v>
          </cell>
          <cell r="D971">
            <v>51.028499999999994</v>
          </cell>
          <cell r="I971">
            <v>49.325000000000003</v>
          </cell>
        </row>
        <row r="972">
          <cell r="B972">
            <v>43028</v>
          </cell>
          <cell r="C972">
            <v>51.63</v>
          </cell>
          <cell r="D972">
            <v>51.064</v>
          </cell>
          <cell r="I972">
            <v>49.358999999999995</v>
          </cell>
        </row>
        <row r="973">
          <cell r="B973">
            <v>43031</v>
          </cell>
          <cell r="C973">
            <v>51.91</v>
          </cell>
          <cell r="D973">
            <v>51.128999999999998</v>
          </cell>
          <cell r="I973">
            <v>49.4208</v>
          </cell>
        </row>
        <row r="974">
          <cell r="B974">
            <v>43032</v>
          </cell>
          <cell r="C974">
            <v>52.32</v>
          </cell>
          <cell r="D974">
            <v>51.131999999999991</v>
          </cell>
          <cell r="I974">
            <v>49.482799999999997</v>
          </cell>
        </row>
        <row r="975">
          <cell r="B975">
            <v>43033</v>
          </cell>
          <cell r="C975">
            <v>51.97</v>
          </cell>
          <cell r="D975">
            <v>51.168499999999995</v>
          </cell>
          <cell r="I975">
            <v>49.577399999999997</v>
          </cell>
        </row>
        <row r="976">
          <cell r="B976">
            <v>43034</v>
          </cell>
          <cell r="C976">
            <v>52.41</v>
          </cell>
          <cell r="D976">
            <v>51.16</v>
          </cell>
          <cell r="I976">
            <v>49.665399999999991</v>
          </cell>
        </row>
        <row r="977">
          <cell r="B977">
            <v>43035</v>
          </cell>
          <cell r="C977">
            <v>53.92</v>
          </cell>
          <cell r="D977">
            <v>51.199499999999993</v>
          </cell>
          <cell r="I977">
            <v>49.777599999999985</v>
          </cell>
        </row>
        <row r="978">
          <cell r="B978">
            <v>43038</v>
          </cell>
          <cell r="C978">
            <v>54.11</v>
          </cell>
          <cell r="D978">
            <v>51.311999999999998</v>
          </cell>
          <cell r="I978">
            <v>49.914599999999979</v>
          </cell>
        </row>
        <row r="979">
          <cell r="B979">
            <v>43039</v>
          </cell>
          <cell r="C979">
            <v>54.36</v>
          </cell>
          <cell r="D979">
            <v>51.487999999999985</v>
          </cell>
          <cell r="I979">
            <v>50.024999999999984</v>
          </cell>
        </row>
        <row r="980">
          <cell r="B980">
            <v>43040</v>
          </cell>
          <cell r="C980">
            <v>54.32</v>
          </cell>
          <cell r="D980">
            <v>51.68399999999999</v>
          </cell>
          <cell r="I980">
            <v>50.164399999999986</v>
          </cell>
        </row>
        <row r="981">
          <cell r="B981">
            <v>43041</v>
          </cell>
          <cell r="C981">
            <v>54.55</v>
          </cell>
          <cell r="D981">
            <v>51.9</v>
          </cell>
          <cell r="I981">
            <v>50.297799999999988</v>
          </cell>
        </row>
        <row r="982">
          <cell r="B982">
            <v>43042</v>
          </cell>
          <cell r="C982">
            <v>55.63</v>
          </cell>
          <cell r="D982">
            <v>52.088000000000008</v>
          </cell>
          <cell r="I982">
            <v>50.419800000000002</v>
          </cell>
        </row>
        <row r="983">
          <cell r="B983">
            <v>43045</v>
          </cell>
          <cell r="C983">
            <v>57.34</v>
          </cell>
          <cell r="D983">
            <v>52.402500000000011</v>
          </cell>
          <cell r="I983">
            <v>50.587600000000002</v>
          </cell>
        </row>
        <row r="984">
          <cell r="B984">
            <v>43046</v>
          </cell>
          <cell r="C984">
            <v>57.19</v>
          </cell>
          <cell r="D984">
            <v>52.790499999999994</v>
          </cell>
          <cell r="I984">
            <v>50.781400000000005</v>
          </cell>
        </row>
        <row r="985">
          <cell r="B985">
            <v>43047</v>
          </cell>
          <cell r="C985">
            <v>56.82</v>
          </cell>
          <cell r="D985">
            <v>53.103500000000011</v>
          </cell>
          <cell r="I985">
            <v>50.997200000000014</v>
          </cell>
        </row>
        <row r="986">
          <cell r="B986">
            <v>43048</v>
          </cell>
          <cell r="C986">
            <v>57.16</v>
          </cell>
          <cell r="D986">
            <v>53.379499999999993</v>
          </cell>
          <cell r="I986">
            <v>51.204400000000014</v>
          </cell>
        </row>
        <row r="987">
          <cell r="B987">
            <v>43049</v>
          </cell>
          <cell r="C987">
            <v>56.75</v>
          </cell>
          <cell r="D987">
            <v>53.706999999999994</v>
          </cell>
          <cell r="I987">
            <v>51.428400000000011</v>
          </cell>
        </row>
        <row r="988">
          <cell r="B988">
            <v>43052</v>
          </cell>
          <cell r="C988">
            <v>56.77</v>
          </cell>
          <cell r="D988">
            <v>53.972999999999999</v>
          </cell>
          <cell r="I988">
            <v>51.618200000000016</v>
          </cell>
        </row>
        <row r="989">
          <cell r="B989">
            <v>43053</v>
          </cell>
          <cell r="C989">
            <v>55.67</v>
          </cell>
          <cell r="D989">
            <v>54.218499999999992</v>
          </cell>
          <cell r="I989">
            <v>51.807200000000009</v>
          </cell>
        </row>
        <row r="990">
          <cell r="B990">
            <v>43054</v>
          </cell>
          <cell r="C990">
            <v>55.28</v>
          </cell>
          <cell r="D990">
            <v>54.408500000000004</v>
          </cell>
          <cell r="I990">
            <v>51.948000000000008</v>
          </cell>
        </row>
        <row r="991">
          <cell r="B991">
            <v>43055</v>
          </cell>
          <cell r="C991">
            <v>55.14</v>
          </cell>
          <cell r="D991">
            <v>54.570000000000007</v>
          </cell>
          <cell r="I991">
            <v>52.071000000000005</v>
          </cell>
        </row>
        <row r="992">
          <cell r="B992">
            <v>43056</v>
          </cell>
          <cell r="C992">
            <v>56.21</v>
          </cell>
          <cell r="D992">
            <v>54.76250000000001</v>
          </cell>
          <cell r="I992">
            <v>52.191799999999994</v>
          </cell>
        </row>
        <row r="993">
          <cell r="B993">
            <v>43059</v>
          </cell>
          <cell r="C993">
            <v>56.21</v>
          </cell>
          <cell r="D993">
            <v>54.991499999999995</v>
          </cell>
          <cell r="I993">
            <v>52.367200000000004</v>
          </cell>
        </row>
        <row r="994">
          <cell r="B994">
            <v>43060</v>
          </cell>
          <cell r="C994">
            <v>56.84</v>
          </cell>
          <cell r="D994">
            <v>55.206500000000005</v>
          </cell>
          <cell r="I994">
            <v>52.530200000000008</v>
          </cell>
        </row>
        <row r="995">
          <cell r="B995">
            <v>43061</v>
          </cell>
          <cell r="C995">
            <v>57.88</v>
          </cell>
          <cell r="D995">
            <v>55.43249999999999</v>
          </cell>
          <cell r="I995">
            <v>52.702799999999996</v>
          </cell>
        </row>
        <row r="996">
          <cell r="B996">
            <v>43063</v>
          </cell>
          <cell r="C996">
            <v>58.94</v>
          </cell>
          <cell r="D996">
            <v>55.727999999999994</v>
          </cell>
          <cell r="I996">
            <v>52.874400000000009</v>
          </cell>
        </row>
        <row r="997">
          <cell r="B997">
            <v>43066</v>
          </cell>
          <cell r="C997">
            <v>58.1</v>
          </cell>
          <cell r="D997">
            <v>56.054500000000004</v>
          </cell>
          <cell r="I997">
            <v>53.056000000000004</v>
          </cell>
        </row>
        <row r="998">
          <cell r="B998">
            <v>43067</v>
          </cell>
          <cell r="C998">
            <v>57.96</v>
          </cell>
          <cell r="D998">
            <v>56.263499999999986</v>
          </cell>
          <cell r="I998">
            <v>53.220000000000006</v>
          </cell>
        </row>
        <row r="999">
          <cell r="B999">
            <v>43068</v>
          </cell>
          <cell r="C999">
            <v>57.25</v>
          </cell>
          <cell r="D999">
            <v>56.455999999999996</v>
          </cell>
          <cell r="I999">
            <v>53.381600000000006</v>
          </cell>
        </row>
        <row r="1000">
          <cell r="B1000">
            <v>43069</v>
          </cell>
          <cell r="C1000">
            <v>57.4</v>
          </cell>
          <cell r="D1000">
            <v>56.600499999999997</v>
          </cell>
          <cell r="I1000">
            <v>53.535800000000009</v>
          </cell>
        </row>
        <row r="1001">
          <cell r="B1001">
            <v>43070</v>
          </cell>
          <cell r="C1001">
            <v>58.35</v>
          </cell>
          <cell r="D1001">
            <v>56.754500000000007</v>
          </cell>
          <cell r="I1001">
            <v>53.678000000000011</v>
          </cell>
        </row>
        <row r="1002">
          <cell r="B1002">
            <v>43073</v>
          </cell>
          <cell r="C1002">
            <v>57.48</v>
          </cell>
          <cell r="D1002">
            <v>56.944500000000005</v>
          </cell>
          <cell r="I1002">
            <v>53.833400000000012</v>
          </cell>
        </row>
        <row r="1003">
          <cell r="B1003">
            <v>43074</v>
          </cell>
          <cell r="C1003">
            <v>57.66</v>
          </cell>
          <cell r="D1003">
            <v>57.036999999999999</v>
          </cell>
          <cell r="I1003">
            <v>53.976400000000005</v>
          </cell>
        </row>
        <row r="1004">
          <cell r="B1004">
            <v>43075</v>
          </cell>
          <cell r="C1004">
            <v>55.79</v>
          </cell>
          <cell r="D1004">
            <v>57.052999999999997</v>
          </cell>
          <cell r="I1004">
            <v>54.092600000000004</v>
          </cell>
        </row>
        <row r="1005">
          <cell r="B1005">
            <v>43076</v>
          </cell>
          <cell r="C1005">
            <v>56.5</v>
          </cell>
          <cell r="D1005">
            <v>56.983000000000004</v>
          </cell>
          <cell r="I1005">
            <v>54.176600000000001</v>
          </cell>
        </row>
        <row r="1006">
          <cell r="B1006">
            <v>43077</v>
          </cell>
          <cell r="C1006">
            <v>57.15</v>
          </cell>
          <cell r="D1006">
            <v>56.966999999999999</v>
          </cell>
          <cell r="I1006">
            <v>54.263800000000003</v>
          </cell>
        </row>
        <row r="1007">
          <cell r="B1007">
            <v>43080</v>
          </cell>
          <cell r="C1007">
            <v>57.84</v>
          </cell>
          <cell r="D1007">
            <v>56.966500000000011</v>
          </cell>
          <cell r="I1007">
            <v>54.374399999999994</v>
          </cell>
        </row>
        <row r="1008">
          <cell r="B1008">
            <v>43081</v>
          </cell>
          <cell r="C1008">
            <v>57.12</v>
          </cell>
          <cell r="D1008">
            <v>57.020999999999994</v>
          </cell>
          <cell r="I1008">
            <v>54.497799999999998</v>
          </cell>
        </row>
        <row r="1009">
          <cell r="B1009">
            <v>43082</v>
          </cell>
          <cell r="C1009">
            <v>56.59</v>
          </cell>
          <cell r="D1009">
            <v>57.038499999999985</v>
          </cell>
          <cell r="I1009">
            <v>54.628399999999999</v>
          </cell>
        </row>
        <row r="1010">
          <cell r="B1010">
            <v>43083</v>
          </cell>
          <cell r="C1010">
            <v>57</v>
          </cell>
          <cell r="D1010">
            <v>57.084499999999991</v>
          </cell>
          <cell r="I1010">
            <v>54.751400000000004</v>
          </cell>
        </row>
        <row r="1011">
          <cell r="B1011">
            <v>43084</v>
          </cell>
          <cell r="C1011">
            <v>57.29</v>
          </cell>
          <cell r="D1011">
            <v>57.17049999999999</v>
          </cell>
          <cell r="I1011">
            <v>54.891400000000004</v>
          </cell>
        </row>
        <row r="1012">
          <cell r="B1012">
            <v>43087</v>
          </cell>
          <cell r="C1012">
            <v>57.17</v>
          </cell>
          <cell r="D1012">
            <v>57.277999999999999</v>
          </cell>
          <cell r="I1012">
            <v>55.021400000000014</v>
          </cell>
        </row>
        <row r="1013">
          <cell r="B1013">
            <v>43088</v>
          </cell>
          <cell r="C1013">
            <v>57.49</v>
          </cell>
          <cell r="D1013">
            <v>57.326000000000001</v>
          </cell>
          <cell r="I1013">
            <v>55.178000000000011</v>
          </cell>
        </row>
        <row r="1014">
          <cell r="B1014">
            <v>43089</v>
          </cell>
          <cell r="C1014">
            <v>58.09</v>
          </cell>
          <cell r="D1014">
            <v>57.39</v>
          </cell>
          <cell r="I1014">
            <v>55.336200000000005</v>
          </cell>
        </row>
        <row r="1015">
          <cell r="B1015">
            <v>43090</v>
          </cell>
          <cell r="C1015">
            <v>58.34</v>
          </cell>
          <cell r="D1015">
            <v>57.452500000000001</v>
          </cell>
          <cell r="I1015">
            <v>55.479400000000005</v>
          </cell>
        </row>
        <row r="1016">
          <cell r="B1016">
            <v>43091</v>
          </cell>
          <cell r="C1016">
            <v>58.25</v>
          </cell>
          <cell r="D1016">
            <v>57.47549999999999</v>
          </cell>
          <cell r="I1016">
            <v>55.620200000000011</v>
          </cell>
        </row>
        <row r="1017">
          <cell r="B1017">
            <v>43095</v>
          </cell>
          <cell r="C1017">
            <v>59.55</v>
          </cell>
          <cell r="D1017">
            <v>57.440999999999995</v>
          </cell>
          <cell r="I1017">
            <v>55.77300000000001</v>
          </cell>
        </row>
        <row r="1018">
          <cell r="B1018">
            <v>43096</v>
          </cell>
          <cell r="C1018">
            <v>59.67</v>
          </cell>
          <cell r="D1018">
            <v>57.513500000000001</v>
          </cell>
          <cell r="I1018">
            <v>55.935400000000016</v>
          </cell>
        </row>
        <row r="1019">
          <cell r="B1019">
            <v>43097</v>
          </cell>
          <cell r="C1019">
            <v>59.84</v>
          </cell>
          <cell r="D1019">
            <v>57.599000000000004</v>
          </cell>
          <cell r="I1019">
            <v>56.091600000000014</v>
          </cell>
        </row>
        <row r="1020">
          <cell r="B1020">
            <v>43098</v>
          </cell>
          <cell r="C1020">
            <v>60.46</v>
          </cell>
          <cell r="D1020">
            <v>57.728499999999997</v>
          </cell>
          <cell r="I1020">
            <v>56.251000000000019</v>
          </cell>
        </row>
        <row r="1021">
          <cell r="B1021">
            <v>43102</v>
          </cell>
          <cell r="C1021">
            <v>60.37</v>
          </cell>
          <cell r="D1021">
            <v>57.881499999999996</v>
          </cell>
          <cell r="I1021">
            <v>56.419200000000018</v>
          </cell>
        </row>
        <row r="1022">
          <cell r="B1022">
            <v>43103</v>
          </cell>
          <cell r="C1022">
            <v>61.61</v>
          </cell>
          <cell r="D1022">
            <v>57.982499999999995</v>
          </cell>
          <cell r="I1022">
            <v>56.600800000000021</v>
          </cell>
        </row>
        <row r="1023">
          <cell r="B1023">
            <v>43104</v>
          </cell>
          <cell r="C1023">
            <v>61.98</v>
          </cell>
          <cell r="D1023">
            <v>58.188999999999986</v>
          </cell>
          <cell r="I1023">
            <v>56.80040000000001</v>
          </cell>
        </row>
        <row r="1024">
          <cell r="B1024">
            <v>43105</v>
          </cell>
          <cell r="C1024">
            <v>61.49</v>
          </cell>
          <cell r="D1024">
            <v>58.404999999999994</v>
          </cell>
          <cell r="I1024">
            <v>57.00180000000001</v>
          </cell>
        </row>
        <row r="1025">
          <cell r="B1025">
            <v>43108</v>
          </cell>
          <cell r="C1025">
            <v>61.73</v>
          </cell>
          <cell r="D1025">
            <v>58.690000000000012</v>
          </cell>
          <cell r="I1025">
            <v>57.185200000000002</v>
          </cell>
        </row>
        <row r="1026">
          <cell r="B1026">
            <v>43109</v>
          </cell>
          <cell r="C1026">
            <v>62.92</v>
          </cell>
          <cell r="D1026">
            <v>58.95150000000001</v>
          </cell>
          <cell r="I1026">
            <v>57.380400000000002</v>
          </cell>
        </row>
        <row r="1027">
          <cell r="B1027">
            <v>43110</v>
          </cell>
          <cell r="C1027">
            <v>63.6</v>
          </cell>
          <cell r="D1027">
            <v>59.240000000000009</v>
          </cell>
          <cell r="I1027">
            <v>57.590600000000016</v>
          </cell>
        </row>
        <row r="1028">
          <cell r="B1028">
            <v>43111</v>
          </cell>
          <cell r="C1028">
            <v>63.81</v>
          </cell>
          <cell r="D1028">
            <v>59.527999999999999</v>
          </cell>
          <cell r="I1028">
            <v>57.784199999999998</v>
          </cell>
        </row>
        <row r="1029">
          <cell r="B1029">
            <v>43112</v>
          </cell>
          <cell r="C1029">
            <v>64.22</v>
          </cell>
          <cell r="D1029">
            <v>59.862499999999997</v>
          </cell>
          <cell r="I1029">
            <v>57.978199999999994</v>
          </cell>
        </row>
        <row r="1030">
          <cell r="B1030">
            <v>43116</v>
          </cell>
          <cell r="C1030">
            <v>63.82</v>
          </cell>
          <cell r="D1030">
            <v>60.244000000000007</v>
          </cell>
          <cell r="I1030">
            <v>58.175399999999996</v>
          </cell>
        </row>
        <row r="1031">
          <cell r="B1031">
            <v>43117</v>
          </cell>
          <cell r="C1031">
            <v>63.92</v>
          </cell>
          <cell r="D1031">
            <v>60.585000000000001</v>
          </cell>
          <cell r="I1031">
            <v>58.365400000000001</v>
          </cell>
        </row>
        <row r="1032">
          <cell r="B1032">
            <v>43118</v>
          </cell>
          <cell r="C1032">
            <v>63.96</v>
          </cell>
          <cell r="D1032">
            <v>60.916500000000006</v>
          </cell>
          <cell r="I1032">
            <v>58.552799999999998</v>
          </cell>
        </row>
        <row r="1033">
          <cell r="B1033">
            <v>43119</v>
          </cell>
          <cell r="C1033">
            <v>63.38</v>
          </cell>
          <cell r="D1033">
            <v>61.256000000000007</v>
          </cell>
          <cell r="I1033">
            <v>58.719399999999993</v>
          </cell>
        </row>
        <row r="1034">
          <cell r="B1034">
            <v>43122</v>
          </cell>
          <cell r="C1034">
            <v>63.66</v>
          </cell>
          <cell r="D1034">
            <v>61.550500000000014</v>
          </cell>
          <cell r="I1034">
            <v>58.840199999999996</v>
          </cell>
        </row>
        <row r="1035">
          <cell r="B1035">
            <v>43123</v>
          </cell>
          <cell r="C1035">
            <v>64.45</v>
          </cell>
          <cell r="D1035">
            <v>61.829000000000008</v>
          </cell>
          <cell r="I1035">
            <v>58.969599999999993</v>
          </cell>
        </row>
        <row r="1036">
          <cell r="B1036">
            <v>43124</v>
          </cell>
          <cell r="C1036">
            <v>65.69</v>
          </cell>
          <cell r="D1036">
            <v>62.134500000000017</v>
          </cell>
          <cell r="I1036">
            <v>59.122199999999985</v>
          </cell>
        </row>
        <row r="1037">
          <cell r="B1037">
            <v>43125</v>
          </cell>
          <cell r="C1037">
            <v>65.62</v>
          </cell>
          <cell r="D1037">
            <v>62.506500000000017</v>
          </cell>
          <cell r="I1037">
            <v>59.292799999999986</v>
          </cell>
        </row>
        <row r="1038">
          <cell r="B1038">
            <v>43126</v>
          </cell>
          <cell r="C1038">
            <v>66.27</v>
          </cell>
          <cell r="D1038">
            <v>62.810000000000016</v>
          </cell>
          <cell r="I1038">
            <v>59.470199999999977</v>
          </cell>
        </row>
        <row r="1039">
          <cell r="B1039">
            <v>43129</v>
          </cell>
          <cell r="C1039">
            <v>65.709999999999994</v>
          </cell>
          <cell r="D1039">
            <v>63.140000000000008</v>
          </cell>
          <cell r="I1039">
            <v>59.660199999999975</v>
          </cell>
        </row>
        <row r="1040">
          <cell r="B1040">
            <v>43130</v>
          </cell>
          <cell r="C1040">
            <v>64.64</v>
          </cell>
          <cell r="D1040">
            <v>63.433500000000002</v>
          </cell>
          <cell r="I1040">
            <v>59.860999999999983</v>
          </cell>
        </row>
        <row r="1041">
          <cell r="B1041">
            <v>43131</v>
          </cell>
          <cell r="C1041">
            <v>64.819999999999993</v>
          </cell>
          <cell r="D1041">
            <v>63.642500000000005</v>
          </cell>
          <cell r="I1041">
            <v>60.04819999999998</v>
          </cell>
        </row>
        <row r="1042">
          <cell r="B1042">
            <v>43132</v>
          </cell>
          <cell r="C1042">
            <v>65.92</v>
          </cell>
          <cell r="D1042">
            <v>63.865000000000009</v>
          </cell>
          <cell r="I1042">
            <v>60.241799999999991</v>
          </cell>
        </row>
        <row r="1043">
          <cell r="B1043">
            <v>43133</v>
          </cell>
          <cell r="C1043">
            <v>65.5</v>
          </cell>
          <cell r="D1043">
            <v>64.080500000000001</v>
          </cell>
          <cell r="I1043">
            <v>60.435999999999993</v>
          </cell>
        </row>
        <row r="1044">
          <cell r="B1044">
            <v>43136</v>
          </cell>
          <cell r="C1044">
            <v>64.180000000000007</v>
          </cell>
          <cell r="D1044">
            <v>64.256500000000003</v>
          </cell>
          <cell r="I1044">
            <v>60.621799999999993</v>
          </cell>
        </row>
        <row r="1045">
          <cell r="B1045">
            <v>43137</v>
          </cell>
          <cell r="C1045">
            <v>63.48</v>
          </cell>
          <cell r="D1045">
            <v>64.391000000000005</v>
          </cell>
          <cell r="I1045">
            <v>60.768599999999985</v>
          </cell>
        </row>
        <row r="1046">
          <cell r="B1046">
            <v>43138</v>
          </cell>
          <cell r="C1046">
            <v>61.91</v>
          </cell>
          <cell r="D1046">
            <v>64.478500000000011</v>
          </cell>
          <cell r="I1046">
            <v>60.880599999999987</v>
          </cell>
        </row>
        <row r="1047">
          <cell r="B1047">
            <v>43139</v>
          </cell>
          <cell r="C1047">
            <v>61.3</v>
          </cell>
          <cell r="D1047">
            <v>64.428000000000011</v>
          </cell>
          <cell r="I1047">
            <v>60.939999999999984</v>
          </cell>
        </row>
        <row r="1048">
          <cell r="B1048">
            <v>43140</v>
          </cell>
          <cell r="C1048">
            <v>59.2</v>
          </cell>
          <cell r="D1048">
            <v>64.313000000000002</v>
          </cell>
          <cell r="I1048">
            <v>61.003999999999991</v>
          </cell>
        </row>
        <row r="1049">
          <cell r="B1049">
            <v>43143</v>
          </cell>
          <cell r="C1049">
            <v>59.41</v>
          </cell>
          <cell r="D1049">
            <v>64.08250000000001</v>
          </cell>
          <cell r="I1049">
            <v>61.028799999999983</v>
          </cell>
        </row>
        <row r="1050">
          <cell r="B1050">
            <v>43144</v>
          </cell>
          <cell r="C1050">
            <v>59.33</v>
          </cell>
          <cell r="D1050">
            <v>63.842000000000006</v>
          </cell>
          <cell r="I1050">
            <v>61.071999999999989</v>
          </cell>
        </row>
        <row r="1051">
          <cell r="B1051">
            <v>43145</v>
          </cell>
          <cell r="C1051">
            <v>60.7</v>
          </cell>
          <cell r="D1051">
            <v>63.617500000000007</v>
          </cell>
          <cell r="I1051">
            <v>61.110599999999984</v>
          </cell>
        </row>
        <row r="1052">
          <cell r="B1052">
            <v>43146</v>
          </cell>
          <cell r="C1052">
            <v>61.48</v>
          </cell>
          <cell r="D1052">
            <v>63.456500000000005</v>
          </cell>
          <cell r="I1052">
            <v>61.157599999999981</v>
          </cell>
        </row>
        <row r="1053">
          <cell r="B1053">
            <v>43147</v>
          </cell>
          <cell r="C1053">
            <v>61.89</v>
          </cell>
          <cell r="D1053">
            <v>63.332499999999996</v>
          </cell>
          <cell r="I1053">
            <v>61.237599999999986</v>
          </cell>
        </row>
        <row r="1054">
          <cell r="B1054">
            <v>43151</v>
          </cell>
          <cell r="C1054">
            <v>61.91</v>
          </cell>
          <cell r="D1054">
            <v>63.257999999999996</v>
          </cell>
          <cell r="I1054">
            <v>61.322199999999995</v>
          </cell>
        </row>
        <row r="1055">
          <cell r="B1055">
            <v>43152</v>
          </cell>
          <cell r="C1055">
            <v>61.73</v>
          </cell>
          <cell r="D1055">
            <v>63.170500000000004</v>
          </cell>
          <cell r="I1055">
            <v>61.444599999999994</v>
          </cell>
        </row>
        <row r="1056">
          <cell r="B1056">
            <v>43153</v>
          </cell>
          <cell r="C1056">
            <v>62.72</v>
          </cell>
          <cell r="D1056">
            <v>63.034500000000001</v>
          </cell>
          <cell r="I1056">
            <v>61.549199999999992</v>
          </cell>
        </row>
        <row r="1057">
          <cell r="B1057">
            <v>43154</v>
          </cell>
          <cell r="C1057">
            <v>63.52</v>
          </cell>
          <cell r="D1057">
            <v>62.88600000000001</v>
          </cell>
          <cell r="I1057">
            <v>61.660599999999988</v>
          </cell>
        </row>
        <row r="1058">
          <cell r="B1058">
            <v>43157</v>
          </cell>
          <cell r="C1058">
            <v>63.81</v>
          </cell>
          <cell r="D1058">
            <v>62.781000000000006</v>
          </cell>
          <cell r="I1058">
            <v>61.774199999999979</v>
          </cell>
        </row>
        <row r="1059">
          <cell r="B1059">
            <v>43158</v>
          </cell>
          <cell r="C1059">
            <v>62.94</v>
          </cell>
          <cell r="D1059">
            <v>62.657999999999994</v>
          </cell>
          <cell r="I1059">
            <v>61.907999999999987</v>
          </cell>
        </row>
        <row r="1060">
          <cell r="B1060">
            <v>43159</v>
          </cell>
          <cell r="C1060">
            <v>61.43</v>
          </cell>
          <cell r="D1060">
            <v>62.519500000000008</v>
          </cell>
          <cell r="I1060">
            <v>62.034999999999989</v>
          </cell>
        </row>
        <row r="1061">
          <cell r="B1061">
            <v>43160</v>
          </cell>
          <cell r="C1061">
            <v>60.98</v>
          </cell>
          <cell r="D1061">
            <v>62.359000000000016</v>
          </cell>
          <cell r="I1061">
            <v>62.123599999999989</v>
          </cell>
        </row>
        <row r="1062">
          <cell r="B1062">
            <v>43161</v>
          </cell>
          <cell r="C1062">
            <v>61.19</v>
          </cell>
          <cell r="D1062">
            <v>62.167000000000009</v>
          </cell>
          <cell r="I1062">
            <v>62.197399999999988</v>
          </cell>
        </row>
        <row r="1063">
          <cell r="B1063">
            <v>43164</v>
          </cell>
          <cell r="C1063">
            <v>62.49</v>
          </cell>
          <cell r="D1063">
            <v>61.930500000000009</v>
          </cell>
          <cell r="I1063">
            <v>62.277799999999985</v>
          </cell>
        </row>
        <row r="1064">
          <cell r="B1064">
            <v>43165</v>
          </cell>
          <cell r="C1064">
            <v>62.54</v>
          </cell>
          <cell r="D1064">
            <v>61.780000000000008</v>
          </cell>
          <cell r="I1064">
            <v>62.377799999999986</v>
          </cell>
        </row>
        <row r="1065">
          <cell r="B1065">
            <v>43166</v>
          </cell>
          <cell r="C1065">
            <v>61.09</v>
          </cell>
          <cell r="D1065">
            <v>61.697999999999993</v>
          </cell>
          <cell r="I1065">
            <v>62.466799999999985</v>
          </cell>
        </row>
        <row r="1066">
          <cell r="B1066">
            <v>43167</v>
          </cell>
          <cell r="C1066">
            <v>60.13</v>
          </cell>
          <cell r="D1066">
            <v>61.578499999999998</v>
          </cell>
          <cell r="I1066">
            <v>62.521799999999992</v>
          </cell>
        </row>
        <row r="1067">
          <cell r="B1067">
            <v>43168</v>
          </cell>
          <cell r="C1067">
            <v>62.02</v>
          </cell>
          <cell r="D1067">
            <v>61.4895</v>
          </cell>
          <cell r="I1067">
            <v>62.559399999999997</v>
          </cell>
        </row>
        <row r="1068">
          <cell r="B1068">
            <v>43171</v>
          </cell>
          <cell r="C1068">
            <v>61.35</v>
          </cell>
          <cell r="D1068">
            <v>61.525500000000001</v>
          </cell>
          <cell r="I1068">
            <v>62.608800000000002</v>
          </cell>
        </row>
        <row r="1069">
          <cell r="B1069">
            <v>43172</v>
          </cell>
          <cell r="C1069">
            <v>60.69</v>
          </cell>
          <cell r="D1069">
            <v>61.632999999999996</v>
          </cell>
          <cell r="I1069">
            <v>62.642399999999995</v>
          </cell>
        </row>
        <row r="1070">
          <cell r="B1070">
            <v>43173</v>
          </cell>
          <cell r="C1070">
            <v>60.89</v>
          </cell>
          <cell r="D1070">
            <v>61.696999999999989</v>
          </cell>
          <cell r="I1070">
            <v>62.659399999999998</v>
          </cell>
        </row>
        <row r="1071">
          <cell r="B1071">
            <v>43174</v>
          </cell>
          <cell r="C1071">
            <v>61.16</v>
          </cell>
          <cell r="D1071">
            <v>61.774999999999999</v>
          </cell>
          <cell r="I1071">
            <v>62.667999999999992</v>
          </cell>
        </row>
        <row r="1072">
          <cell r="B1072">
            <v>43175</v>
          </cell>
          <cell r="C1072">
            <v>62.29</v>
          </cell>
          <cell r="D1072">
            <v>61.798000000000002</v>
          </cell>
          <cell r="I1072">
            <v>62.683799999999998</v>
          </cell>
        </row>
        <row r="1073">
          <cell r="B1073">
            <v>43178</v>
          </cell>
          <cell r="C1073">
            <v>62.01</v>
          </cell>
          <cell r="D1073">
            <v>61.838499999999996</v>
          </cell>
          <cell r="I1073">
            <v>62.697399999999995</v>
          </cell>
        </row>
        <row r="1074">
          <cell r="B1074">
            <v>43179</v>
          </cell>
          <cell r="C1074">
            <v>63.37</v>
          </cell>
          <cell r="D1074">
            <v>61.844500000000004</v>
          </cell>
          <cell r="I1074">
            <v>62.698</v>
          </cell>
        </row>
        <row r="1075">
          <cell r="B1075">
            <v>43180</v>
          </cell>
          <cell r="C1075">
            <v>65.099999999999994</v>
          </cell>
          <cell r="D1075">
            <v>61.917499999999997</v>
          </cell>
          <cell r="I1075">
            <v>62.735600000000005</v>
          </cell>
        </row>
        <row r="1076">
          <cell r="B1076">
            <v>43181</v>
          </cell>
          <cell r="C1076">
            <v>64.25</v>
          </cell>
          <cell r="D1076">
            <v>62.085999999999991</v>
          </cell>
          <cell r="I1076">
            <v>62.803000000000004</v>
          </cell>
        </row>
        <row r="1077">
          <cell r="B1077">
            <v>43182</v>
          </cell>
          <cell r="C1077">
            <v>65.8</v>
          </cell>
          <cell r="D1077">
            <v>62.162499999999987</v>
          </cell>
          <cell r="I1077">
            <v>62.829599999999999</v>
          </cell>
        </row>
        <row r="1078">
          <cell r="B1078">
            <v>43185</v>
          </cell>
          <cell r="C1078">
            <v>65.489999999999995</v>
          </cell>
          <cell r="D1078">
            <v>62.276499999999984</v>
          </cell>
          <cell r="I1078">
            <v>62.873600000000003</v>
          </cell>
        </row>
        <row r="1079">
          <cell r="B1079">
            <v>43186</v>
          </cell>
          <cell r="C1079">
            <v>65.209999999999994</v>
          </cell>
          <cell r="D1079">
            <v>62.360499999999988</v>
          </cell>
          <cell r="I1079">
            <v>62.907200000000003</v>
          </cell>
        </row>
        <row r="1080">
          <cell r="B1080">
            <v>43187</v>
          </cell>
          <cell r="C1080">
            <v>64.3</v>
          </cell>
          <cell r="D1080">
            <v>62.474000000000004</v>
          </cell>
          <cell r="I1080">
            <v>62.927</v>
          </cell>
        </row>
        <row r="1081">
          <cell r="B1081">
            <v>43188</v>
          </cell>
          <cell r="C1081">
            <v>64.87</v>
          </cell>
          <cell r="D1081">
            <v>62.617499999999993</v>
          </cell>
          <cell r="I1081">
            <v>62.936600000000006</v>
          </cell>
        </row>
        <row r="1082">
          <cell r="B1082">
            <v>43192</v>
          </cell>
          <cell r="C1082">
            <v>63.05</v>
          </cell>
          <cell r="D1082">
            <v>62.811999999999991</v>
          </cell>
          <cell r="I1082">
            <v>62.955600000000011</v>
          </cell>
        </row>
      </sheetData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e8" displayName="Table8" ref="A2:B7" totalsRowShown="0" dataDxfId="38">
  <autoFilter ref="A2:B7" xr:uid="{00000000-0009-0000-0100-000008000000}"/>
  <tableColumns count="2">
    <tableColumn id="1" xr3:uid="{00000000-0010-0000-0000-000001000000}" name="Input Parameters" dataDxfId="37"/>
    <tableColumn id="2" xr3:uid="{00000000-0010-0000-0000-000002000000}" name="Value" dataDxfId="3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A9:B17" totalsRowShown="0" headerRowDxfId="35" dataDxfId="34">
  <autoFilter ref="A9:B17" xr:uid="{00000000-0009-0000-0100-000009000000}"/>
  <tableColumns count="2">
    <tableColumn id="1" xr3:uid="{00000000-0010-0000-0100-000001000000}" name="Calculated Parameters" dataDxfId="33"/>
    <tableColumn id="2" xr3:uid="{00000000-0010-0000-0100-000002000000}" name="Value" dataDxfId="3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le10" displayName="Table10" ref="A19:B21" totalsRowShown="0">
  <autoFilter ref="A19:B21" xr:uid="{00000000-0009-0000-0100-00000A000000}"/>
  <tableColumns count="2">
    <tableColumn id="1" xr3:uid="{00000000-0010-0000-0200-000001000000}" name="Calculated Parameters (VBA)" dataDxfId="31"/>
    <tableColumn id="2" xr3:uid="{00000000-0010-0000-0200-000002000000}" name="Value" dataDxfId="30">
      <calculatedColumnFormula>BSP(B2, B3, B6, 0, B5, B4)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e11" displayName="Table11" ref="A2:B8" totalsRowShown="0" dataDxfId="29">
  <autoFilter ref="A2:B8" xr:uid="{00000000-0009-0000-0100-00000B000000}"/>
  <tableColumns count="2">
    <tableColumn id="1" xr3:uid="{00000000-0010-0000-0300-000001000000}" name="Input Parameters" dataDxfId="28"/>
    <tableColumn id="2" xr3:uid="{00000000-0010-0000-0300-000002000000}" name="Value" dataDxfId="27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Table12" displayName="Table12" ref="A10:B16" totalsRowShown="0">
  <autoFilter ref="A10:B16" xr:uid="{00000000-0009-0000-0100-00000C000000}"/>
  <tableColumns count="2">
    <tableColumn id="1" xr3:uid="{00000000-0010-0000-0400-000001000000}" name="Calculated Parameters" dataDxfId="26"/>
    <tableColumn id="2" xr3:uid="{00000000-0010-0000-0400-000002000000}" name="Value" dataDxfId="25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Table1014" displayName="Table1014" ref="A18:B20" totalsRowShown="0">
  <autoFilter ref="A18:B20" xr:uid="{00000000-0009-0000-0100-00000D000000}"/>
  <tableColumns count="2">
    <tableColumn id="1" xr3:uid="{00000000-0010-0000-0500-000001000000}" name="Calculated Parameters (VBA)" dataDxfId="24"/>
    <tableColumn id="2" xr3:uid="{00000000-0010-0000-0500-000002000000}" name="Value" dataDxfId="23">
      <calculatedColumnFormula>BSP(#REF!, B1, B6, 0, B3, B2)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14" displayName="Table14" ref="A1:H252" totalsRowShown="0">
  <autoFilter ref="A1:H252" xr:uid="{00000000-0009-0000-0100-000003000000}"/>
  <tableColumns count="8">
    <tableColumn id="1" xr3:uid="{00000000-0010-0000-0600-000001000000}" name="Date" dataDxfId="22"/>
    <tableColumn id="2" xr3:uid="{00000000-0010-0000-0600-000002000000}" name="Open"/>
    <tableColumn id="3" xr3:uid="{00000000-0010-0000-0600-000003000000}" name="High"/>
    <tableColumn id="4" xr3:uid="{00000000-0010-0000-0600-000004000000}" name="Low"/>
    <tableColumn id="5" xr3:uid="{00000000-0010-0000-0600-000005000000}" name="Close"/>
    <tableColumn id="6" xr3:uid="{00000000-0010-0000-0600-000006000000}" name="Adj Close"/>
    <tableColumn id="7" xr3:uid="{00000000-0010-0000-0600-000007000000}" name="Volume"/>
    <tableColumn id="8" xr3:uid="{00000000-0010-0000-0600-000008000000}" name="%Chang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le25" displayName="Table25" ref="J3:K10" totalsRowShown="0" headerRowDxfId="21" headerRowBorderDxfId="20" tableBorderDxfId="19" totalsRowBorderDxfId="18">
  <autoFilter ref="J3:K10" xr:uid="{00000000-0009-0000-0100-000004000000}"/>
  <tableColumns count="2">
    <tableColumn id="1" xr3:uid="{00000000-0010-0000-0700-000001000000}" name="Parameters" dataDxfId="17"/>
    <tableColumn id="2" xr3:uid="{00000000-0010-0000-0700-000002000000}" name="Value" dataDxfId="16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M4:N14" totalsRowShown="0">
  <autoFilter ref="M4:N14" xr:uid="{00000000-0009-0000-0100-000005000000}"/>
  <tableColumns count="2">
    <tableColumn id="1" xr3:uid="{00000000-0010-0000-0800-000001000000}" name="Parameters" dataDxfId="15"/>
    <tableColumn id="2" xr3:uid="{00000000-0010-0000-0800-000002000000}" name="Values" dataDxfId="14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e6" displayName="Table6" ref="S4:T13" totalsRowShown="0">
  <autoFilter ref="S4:T13" xr:uid="{00000000-0009-0000-0100-000006000000}"/>
  <tableColumns count="2">
    <tableColumn id="1" xr3:uid="{00000000-0010-0000-0900-000001000000}" name="Parameter" dataDxfId="13"/>
    <tableColumn id="2" xr3:uid="{00000000-0010-0000-0900-000002000000}" name="Value" dataDxfId="12">
      <calculatedColumnFormula>EXP(K6*SQRT(1/6))</calculatedColumnFormula>
    </tableColumn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le68" displayName="Table68" ref="P4:Q13" totalsRowShown="0">
  <autoFilter ref="P4:Q13" xr:uid="{00000000-0009-0000-0100-000007000000}"/>
  <tableColumns count="2">
    <tableColumn id="1" xr3:uid="{00000000-0010-0000-0A00-000001000000}" name="Parameter" dataDxfId="11"/>
    <tableColumn id="2" xr3:uid="{00000000-0010-0000-0A00-000002000000}" name="Value" dataDxfId="10">
      <calculatedColumnFormula>EXP(K18*SQRT(1/6))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B000000}" name="Table1" displayName="Table1" ref="A1:C1080" totalsRowShown="0">
  <autoFilter ref="A1:C1080" xr:uid="{00000000-0009-0000-0100-000001000000}"/>
  <sortState ref="A2:C1080">
    <sortCondition ref="A1:A1080"/>
  </sortState>
  <tableColumns count="3">
    <tableColumn id="1" xr3:uid="{00000000-0010-0000-0B00-000001000000}" name="Date" dataDxfId="9"/>
    <tableColumn id="2" xr3:uid="{00000000-0010-0000-0B00-000002000000}" name="Value" dataDxfId="8"/>
    <tableColumn id="3" xr3:uid="{00000000-0010-0000-0B00-000003000000}" name="%Change" dataDxfId="7"/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e2" displayName="Table2" ref="E3:F9" totalsRowShown="0" headerRowDxfId="6" headerRowBorderDxfId="5" tableBorderDxfId="4" totalsRowBorderDxfId="3">
  <autoFilter ref="E3:F9" xr:uid="{00000000-0009-0000-0100-000002000000}"/>
  <tableColumns count="2">
    <tableColumn id="1" xr3:uid="{00000000-0010-0000-0C00-000001000000}" name="Variables" dataDxfId="2"/>
    <tableColumn id="2" xr3:uid="{00000000-0010-0000-0C00-000002000000}" name="Value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3A5EFA3-3DE4-4E70-A223-D7F8811B322A}" name="Table115" displayName="Table115" ref="A1:B1080" totalsRowShown="0">
  <autoFilter ref="A1:B1080" xr:uid="{70AE75F7-FE83-44E4-B86C-5F2A4AAFCCC7}"/>
  <sortState ref="A2:B1080">
    <sortCondition ref="A1:A1080"/>
  </sortState>
  <tableColumns count="2">
    <tableColumn id="1" xr3:uid="{45A76F44-E614-440B-A8D5-FB1143540D0F}" name="Date" dataDxfId="0"/>
    <tableColumn id="2" xr3:uid="{CE96D954-E8A0-45EF-A4E5-DE6A44EEC020}" name="Value" dataDxfId="1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24"/>
  <sheetViews>
    <sheetView workbookViewId="0">
      <selection activeCell="A6" sqref="A6"/>
    </sheetView>
  </sheetViews>
  <sheetFormatPr defaultRowHeight="15"/>
  <cols>
    <col min="1" max="1" width="28.5703125" customWidth="1"/>
    <col min="2" max="2" width="10.28515625" bestFit="1" customWidth="1"/>
    <col min="3" max="3" width="9.5703125" bestFit="1" customWidth="1"/>
  </cols>
  <sheetData>
    <row r="1" spans="1:6" ht="30">
      <c r="A1" s="89" t="s">
        <v>64</v>
      </c>
      <c r="B1" s="89"/>
      <c r="C1" s="89"/>
    </row>
    <row r="2" spans="1:6">
      <c r="A2" s="82" t="s">
        <v>56</v>
      </c>
      <c r="B2" s="30" t="s">
        <v>1</v>
      </c>
    </row>
    <row r="3" spans="1:6">
      <c r="A3" s="6" t="s">
        <v>66</v>
      </c>
      <c r="B3" s="6">
        <v>90.77</v>
      </c>
    </row>
    <row r="4" spans="1:6">
      <c r="A4" s="6" t="s">
        <v>69</v>
      </c>
      <c r="B4" s="6">
        <v>90.77</v>
      </c>
      <c r="F4" s="81"/>
    </row>
    <row r="5" spans="1:6">
      <c r="A5" s="6" t="s">
        <v>68</v>
      </c>
      <c r="B5" s="6">
        <v>1</v>
      </c>
    </row>
    <row r="6" spans="1:6">
      <c r="A6" s="29" t="s">
        <v>67</v>
      </c>
      <c r="B6" s="7">
        <v>0.21709999999999999</v>
      </c>
    </row>
    <row r="7" spans="1:6">
      <c r="A7" s="6" t="s">
        <v>28</v>
      </c>
      <c r="B7" s="84">
        <v>1E-3</v>
      </c>
    </row>
    <row r="8" spans="1:6">
      <c r="A8" s="6"/>
      <c r="B8" s="6"/>
    </row>
    <row r="9" spans="1:6">
      <c r="A9" s="6" t="s">
        <v>57</v>
      </c>
      <c r="B9" s="6" t="s">
        <v>1</v>
      </c>
    </row>
    <row r="10" spans="1:6">
      <c r="A10" s="6" t="s">
        <v>17</v>
      </c>
      <c r="B10" s="18">
        <f>(LN(B3/B4)+(B7+(B6*B6)/2)*B5)/(B6*SQRT(B5))</f>
        <v>0.11315617227084292</v>
      </c>
      <c r="C10" s="19"/>
    </row>
    <row r="11" spans="1:6">
      <c r="A11" s="6" t="s">
        <v>18</v>
      </c>
      <c r="B11" s="18">
        <f>B10-B6*SQRT(B5)</f>
        <v>-0.10394382772915707</v>
      </c>
      <c r="C11" s="19"/>
    </row>
    <row r="12" spans="1:6">
      <c r="A12" s="6" t="s">
        <v>19</v>
      </c>
      <c r="B12" s="6">
        <f>_xlfn.NORM.S.DIST(B10, TRUE)</f>
        <v>0.54504662905713364</v>
      </c>
      <c r="C12" s="6"/>
    </row>
    <row r="13" spans="1:6">
      <c r="A13" s="6" t="s">
        <v>21</v>
      </c>
      <c r="B13" s="6">
        <f>_xlfn.NORM.S.DIST(B11, TRUE)</f>
        <v>0.45860696298112852</v>
      </c>
      <c r="C13" s="6"/>
    </row>
    <row r="14" spans="1:6">
      <c r="A14" s="6" t="s">
        <v>20</v>
      </c>
      <c r="B14" s="6">
        <f>_xlfn.NORM.S.DIST(-B10, TRUE)</f>
        <v>0.45495337094286631</v>
      </c>
      <c r="C14" s="6"/>
    </row>
    <row r="15" spans="1:6">
      <c r="A15" s="6" t="s">
        <v>22</v>
      </c>
      <c r="B15" s="6">
        <f>_xlfn.NORM.S.DIST(-B11, TRUE)</f>
        <v>0.54139303701887154</v>
      </c>
      <c r="C15" s="6"/>
    </row>
    <row r="16" spans="1:6">
      <c r="A16" s="6" t="s">
        <v>23</v>
      </c>
      <c r="B16" s="20">
        <f>(B3*B12)-(B4*EXP(-B5*B7)*B13)</f>
        <v>7.8877354368079935</v>
      </c>
    </row>
    <row r="17" spans="1:2">
      <c r="A17" s="6" t="s">
        <v>24</v>
      </c>
      <c r="B17" s="20">
        <f>(B4*EXP(-B7*B5)*B15)-(B3*B14)</f>
        <v>7.7970108066834456</v>
      </c>
    </row>
    <row r="18" spans="1:2">
      <c r="B18" s="6"/>
    </row>
    <row r="19" spans="1:2">
      <c r="A19" t="s">
        <v>58</v>
      </c>
      <c r="B19" s="6" t="s">
        <v>1</v>
      </c>
    </row>
    <row r="20" spans="1:2">
      <c r="A20" s="6" t="s">
        <v>23</v>
      </c>
      <c r="B20" s="20">
        <f>BSC(B3, B4, B7, 0, B6, B5)</f>
        <v>7.8877354368079935</v>
      </c>
    </row>
    <row r="21" spans="1:2">
      <c r="A21" s="6" t="s">
        <v>59</v>
      </c>
      <c r="B21" s="20">
        <f>BSP(B3, B4, B7, 0, B6, B5)</f>
        <v>7.7970108066834456</v>
      </c>
    </row>
    <row r="24" spans="1:2">
      <c r="B24" s="21"/>
    </row>
  </sheetData>
  <mergeCells count="1">
    <mergeCell ref="A1:C1"/>
  </mergeCells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20"/>
  <sheetViews>
    <sheetView topLeftCell="A4" workbookViewId="0">
      <selection activeCell="D20" sqref="D20"/>
    </sheetView>
  </sheetViews>
  <sheetFormatPr defaultRowHeight="15"/>
  <cols>
    <col min="1" max="1" width="28.28515625" customWidth="1"/>
  </cols>
  <sheetData>
    <row r="1" spans="1:8" ht="30">
      <c r="A1" s="89" t="s">
        <v>63</v>
      </c>
      <c r="B1" s="89"/>
      <c r="C1" s="89"/>
      <c r="D1" s="89"/>
      <c r="E1" s="89"/>
      <c r="F1" s="89"/>
      <c r="G1" s="89"/>
      <c r="H1" s="89"/>
    </row>
    <row r="2" spans="1:8" ht="15.75" thickBot="1">
      <c r="A2" t="s">
        <v>56</v>
      </c>
      <c r="B2" t="s">
        <v>1</v>
      </c>
      <c r="D2" s="47"/>
      <c r="E2" s="48">
        <f>D5*$B$11</f>
        <v>112.7814358242756</v>
      </c>
      <c r="G2" s="47"/>
      <c r="H2" s="48">
        <f>G5*$B$11</f>
        <v>112.7814358242756</v>
      </c>
    </row>
    <row r="3" spans="1:8">
      <c r="A3" s="6" t="s">
        <v>66</v>
      </c>
      <c r="B3" s="6">
        <v>90.77</v>
      </c>
      <c r="D3" s="47"/>
      <c r="E3" s="51">
        <f>MAX(0,(E2-B4))</f>
        <v>22.011435824275608</v>
      </c>
      <c r="G3" s="47"/>
      <c r="H3" s="51">
        <f>MAX(0,(B4-H2))</f>
        <v>0</v>
      </c>
    </row>
    <row r="4" spans="1:8">
      <c r="A4" s="6" t="s">
        <v>69</v>
      </c>
      <c r="B4" s="6">
        <v>90.77</v>
      </c>
      <c r="D4" s="47"/>
      <c r="E4" s="52"/>
      <c r="G4" s="47"/>
      <c r="H4" s="52"/>
    </row>
    <row r="5" spans="1:8" ht="15.75" thickBot="1">
      <c r="A5" s="6" t="s">
        <v>68</v>
      </c>
      <c r="B5" s="6">
        <v>1</v>
      </c>
      <c r="D5" s="53">
        <f>B3</f>
        <v>90.77</v>
      </c>
      <c r="E5" s="52"/>
      <c r="G5" s="53">
        <f>B3</f>
        <v>90.77</v>
      </c>
      <c r="H5" s="52"/>
    </row>
    <row r="6" spans="1:8">
      <c r="A6" s="29" t="s">
        <v>67</v>
      </c>
      <c r="B6" s="85">
        <f>'MSFT Black_Scholes &amp; Binomial'!K6</f>
        <v>0.21712291495537708</v>
      </c>
      <c r="D6" s="54">
        <f>((E3*B13)+(E9*B14))/POWER(1.001,1)</f>
        <v>9.8560548038404328</v>
      </c>
      <c r="E6" s="52"/>
      <c r="G6" s="54">
        <f>((H3*B13)+(H9*B14))/POWER(1.001,1)</f>
        <v>9.7653301283837664</v>
      </c>
      <c r="H6" s="52"/>
    </row>
    <row r="7" spans="1:8">
      <c r="A7" s="6" t="s">
        <v>28</v>
      </c>
      <c r="B7" s="84">
        <v>1E-3</v>
      </c>
      <c r="D7" s="47"/>
      <c r="E7" s="52"/>
      <c r="G7" s="47"/>
      <c r="H7" s="52"/>
    </row>
    <row r="8" spans="1:8" ht="15.75" thickBot="1">
      <c r="A8" s="6" t="s">
        <v>65</v>
      </c>
      <c r="B8" s="86">
        <v>1</v>
      </c>
      <c r="D8" s="47"/>
      <c r="E8" s="55">
        <f>D5*$B$12</f>
        <v>73.054513269696798</v>
      </c>
      <c r="G8" s="47"/>
      <c r="H8" s="55">
        <f>G5*$B$12</f>
        <v>73.054513269696798</v>
      </c>
    </row>
    <row r="9" spans="1:8">
      <c r="D9" s="47"/>
      <c r="E9" s="56">
        <f>MAX(0,(E8-B4))</f>
        <v>0</v>
      </c>
      <c r="G9" s="47"/>
      <c r="H9" s="56">
        <f>MAX(0,(B4-H8))</f>
        <v>17.715486730303198</v>
      </c>
    </row>
    <row r="10" spans="1:8">
      <c r="A10" t="s">
        <v>57</v>
      </c>
      <c r="B10" s="46" t="s">
        <v>1</v>
      </c>
      <c r="H10" s="14"/>
    </row>
    <row r="11" spans="1:8">
      <c r="A11" s="6" t="s">
        <v>34</v>
      </c>
      <c r="B11" s="20">
        <f>EXP(B6*SQRT(B5))</f>
        <v>1.2424968141927466</v>
      </c>
      <c r="D11" s="90" t="s">
        <v>62</v>
      </c>
      <c r="E11" s="90"/>
      <c r="G11" s="90" t="s">
        <v>61</v>
      </c>
      <c r="H11" s="90"/>
    </row>
    <row r="12" spans="1:8">
      <c r="A12" s="6" t="s">
        <v>35</v>
      </c>
      <c r="B12" s="20">
        <f>1/B11</f>
        <v>0.80483103745396933</v>
      </c>
      <c r="H12" s="14"/>
    </row>
    <row r="13" spans="1:8">
      <c r="A13" s="6" t="s">
        <v>36</v>
      </c>
      <c r="B13" s="20">
        <f>(EXP(B7*B5)-B12)/(B11-B12)</f>
        <v>0.44821750554607254</v>
      </c>
      <c r="H13" s="14"/>
    </row>
    <row r="14" spans="1:8">
      <c r="A14" s="6" t="s">
        <v>37</v>
      </c>
      <c r="B14" s="20">
        <f>1-B13</f>
        <v>0.55178249445392746</v>
      </c>
      <c r="H14" s="14"/>
    </row>
    <row r="15" spans="1:8">
      <c r="A15" s="6" t="s">
        <v>38</v>
      </c>
      <c r="B15" s="20">
        <f>D6</f>
        <v>9.8560548038404328</v>
      </c>
    </row>
    <row r="16" spans="1:8">
      <c r="A16" s="6" t="s">
        <v>60</v>
      </c>
      <c r="B16" s="20">
        <f>G6</f>
        <v>9.7653301283837664</v>
      </c>
    </row>
    <row r="18" spans="1:2">
      <c r="A18" t="s">
        <v>58</v>
      </c>
      <c r="B18" s="6" t="s">
        <v>1</v>
      </c>
    </row>
    <row r="19" spans="1:2">
      <c r="A19" s="6" t="s">
        <v>23</v>
      </c>
      <c r="B19" s="20">
        <f>Bi_Call_Eur(B3, B4, B5, B7, B6, B8)</f>
        <v>9.8560485981405197</v>
      </c>
    </row>
    <row r="20" spans="1:2">
      <c r="A20" s="6" t="s">
        <v>59</v>
      </c>
      <c r="B20" s="20">
        <f>Bi_Put_Eur(B3, B4, B5, B7, B6, B8)</f>
        <v>9.7653247768847997</v>
      </c>
    </row>
  </sheetData>
  <mergeCells count="3">
    <mergeCell ref="D11:E11"/>
    <mergeCell ref="G11:H11"/>
    <mergeCell ref="A1:H1"/>
  </mergeCells>
  <pageMargins left="0.7" right="0.7" top="0.75" bottom="0.75" header="0.3" footer="0.3"/>
  <ignoredErrors>
    <ignoredError sqref="B19:B20" calculatedColumn="1"/>
  </ignoredErrors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252"/>
  <sheetViews>
    <sheetView topLeftCell="K10" workbookViewId="0">
      <selection activeCell="N13" sqref="N13"/>
    </sheetView>
  </sheetViews>
  <sheetFormatPr defaultRowHeight="15"/>
  <cols>
    <col min="1" max="1" width="10.7109375" bestFit="1" customWidth="1"/>
    <col min="2" max="4" width="0" hidden="1" customWidth="1"/>
    <col min="6" max="6" width="11.42578125" customWidth="1"/>
    <col min="7" max="7" width="10.140625" hidden="1" customWidth="1"/>
    <col min="10" max="10" width="20.7109375" bestFit="1" customWidth="1"/>
    <col min="13" max="13" width="20.28515625" customWidth="1"/>
    <col min="14" max="14" width="9.28515625" bestFit="1" customWidth="1"/>
    <col min="16" max="16" width="26.140625" bestFit="1" customWidth="1"/>
    <col min="19" max="19" width="26.140625" bestFit="1" customWidth="1"/>
  </cols>
  <sheetData>
    <row r="1" spans="1:20">
      <c r="A1" t="s">
        <v>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2</v>
      </c>
    </row>
    <row r="2" spans="1:20">
      <c r="A2" s="1">
        <v>42835</v>
      </c>
      <c r="B2">
        <v>65.610000999999997</v>
      </c>
      <c r="C2">
        <v>65.819999999999993</v>
      </c>
      <c r="D2">
        <v>65.360000999999997</v>
      </c>
      <c r="E2">
        <v>65.529999000000004</v>
      </c>
      <c r="F2">
        <v>64.185844000000003</v>
      </c>
      <c r="G2">
        <v>17952700</v>
      </c>
      <c r="H2" s="2" t="s">
        <v>3</v>
      </c>
    </row>
    <row r="3" spans="1:20">
      <c r="A3" s="1">
        <v>42836</v>
      </c>
      <c r="B3">
        <v>65.599997999999999</v>
      </c>
      <c r="C3">
        <v>65.610000999999997</v>
      </c>
      <c r="D3">
        <v>64.849997999999999</v>
      </c>
      <c r="E3">
        <v>65.480002999999996</v>
      </c>
      <c r="F3">
        <v>64.136870999999999</v>
      </c>
      <c r="G3">
        <v>18791500</v>
      </c>
      <c r="H3" s="5">
        <f>(F3-F2)/F2</f>
        <v>-7.6298755220861013E-4</v>
      </c>
      <c r="J3" s="10" t="s">
        <v>25</v>
      </c>
      <c r="K3" s="11" t="s">
        <v>1</v>
      </c>
      <c r="M3" s="91" t="s">
        <v>31</v>
      </c>
      <c r="N3" s="91"/>
      <c r="P3" s="91" t="s">
        <v>50</v>
      </c>
      <c r="Q3" s="91"/>
      <c r="S3" s="91" t="s">
        <v>49</v>
      </c>
      <c r="T3" s="91"/>
    </row>
    <row r="4" spans="1:20">
      <c r="A4" s="1">
        <v>42837</v>
      </c>
      <c r="B4">
        <v>65.419998000000007</v>
      </c>
      <c r="C4">
        <v>65.510002</v>
      </c>
      <c r="D4">
        <v>65.110000999999997</v>
      </c>
      <c r="E4">
        <v>65.230002999999996</v>
      </c>
      <c r="F4">
        <v>63.892001999999998</v>
      </c>
      <c r="G4">
        <v>17108500</v>
      </c>
      <c r="H4" s="5">
        <f t="shared" ref="H4:H67" si="0">(F4-F3)/F3</f>
        <v>-3.8179131002508892E-3</v>
      </c>
      <c r="J4" s="8" t="s">
        <v>4</v>
      </c>
      <c r="K4" s="22">
        <f>STDEV(H3:H252)</f>
        <v>1.3596764349627222E-2</v>
      </c>
      <c r="M4" t="s">
        <v>25</v>
      </c>
      <c r="N4" t="s">
        <v>32</v>
      </c>
      <c r="P4" t="s">
        <v>33</v>
      </c>
      <c r="Q4" t="s">
        <v>1</v>
      </c>
      <c r="S4" t="s">
        <v>33</v>
      </c>
      <c r="T4" t="s">
        <v>1</v>
      </c>
    </row>
    <row r="5" spans="1:20">
      <c r="A5" s="1">
        <v>42838</v>
      </c>
      <c r="B5">
        <v>65.290001000000004</v>
      </c>
      <c r="C5">
        <v>65.860000999999997</v>
      </c>
      <c r="D5">
        <v>64.949996999999996</v>
      </c>
      <c r="E5">
        <v>64.949996999999996</v>
      </c>
      <c r="F5">
        <v>63.617741000000002</v>
      </c>
      <c r="G5">
        <v>17896500</v>
      </c>
      <c r="H5" s="5">
        <f t="shared" si="0"/>
        <v>-4.292571705610284E-3</v>
      </c>
      <c r="J5" s="8" t="s">
        <v>5</v>
      </c>
      <c r="K5" s="23">
        <v>255</v>
      </c>
      <c r="M5" s="6" t="s">
        <v>17</v>
      </c>
      <c r="N5" s="6">
        <f>(LN(K9/K10)+(K8+(K6*K6)/2)*K7)/(K6*SQRT(K7))</f>
        <v>0.11316714361729072</v>
      </c>
      <c r="P5" s="6" t="s">
        <v>34</v>
      </c>
      <c r="Q5" s="6">
        <f>EXP($K$6*SQRT(1/Q9))</f>
        <v>1.2424968141927466</v>
      </c>
      <c r="S5" s="6" t="s">
        <v>34</v>
      </c>
      <c r="T5" s="6">
        <f>EXP($K$6*SQRT(1/T9))</f>
        <v>1.0926872824189868</v>
      </c>
    </row>
    <row r="6" spans="1:20">
      <c r="A6" s="1">
        <v>42842</v>
      </c>
      <c r="B6">
        <v>65.040001000000004</v>
      </c>
      <c r="C6">
        <v>65.489998</v>
      </c>
      <c r="D6">
        <v>65.010002</v>
      </c>
      <c r="E6">
        <v>65.480002999999996</v>
      </c>
      <c r="F6">
        <v>64.136870999999999</v>
      </c>
      <c r="G6">
        <v>16689300</v>
      </c>
      <c r="H6" s="5">
        <f t="shared" si="0"/>
        <v>8.1601451393880364E-3</v>
      </c>
      <c r="J6" s="12" t="s">
        <v>27</v>
      </c>
      <c r="K6" s="24">
        <f>K4*SQRT(K5)</f>
        <v>0.21712291495537708</v>
      </c>
      <c r="M6" s="6" t="s">
        <v>18</v>
      </c>
      <c r="N6" s="6">
        <f>N5-(K6*SQRT(K7))</f>
        <v>-0.10395577133808637</v>
      </c>
      <c r="P6" s="6" t="s">
        <v>35</v>
      </c>
      <c r="Q6" s="6">
        <f>1/Q5</f>
        <v>0.80483103745396933</v>
      </c>
      <c r="S6" s="6" t="s">
        <v>35</v>
      </c>
      <c r="T6" s="6">
        <f>1/T5</f>
        <v>0.91517492341102746</v>
      </c>
    </row>
    <row r="7" spans="1:20">
      <c r="A7" s="1">
        <v>42843</v>
      </c>
      <c r="B7">
        <v>65.330001999999993</v>
      </c>
      <c r="C7">
        <v>65.709998999999996</v>
      </c>
      <c r="D7">
        <v>65.160004000000001</v>
      </c>
      <c r="E7">
        <v>65.389999000000003</v>
      </c>
      <c r="F7">
        <v>64.048721</v>
      </c>
      <c r="G7">
        <v>15155600</v>
      </c>
      <c r="H7" s="5">
        <f t="shared" si="0"/>
        <v>-1.3744044357885629E-3</v>
      </c>
      <c r="J7" s="12" t="s">
        <v>26</v>
      </c>
      <c r="K7" s="25">
        <v>1</v>
      </c>
      <c r="M7" s="6" t="s">
        <v>19</v>
      </c>
      <c r="N7" s="6">
        <f>_xlfn.NORM.S.DIST(N5, TRUE)</f>
        <v>0.54505097805608382</v>
      </c>
      <c r="P7" s="6" t="s">
        <v>36</v>
      </c>
      <c r="Q7" s="6">
        <f>(EXP($K$8*($K$7/Q9))-Q6)/(Q5-Q6)</f>
        <v>0.44821750554607254</v>
      </c>
      <c r="S7" s="6" t="s">
        <v>36</v>
      </c>
      <c r="T7" s="6">
        <f>(EXP($K$8*($K$7/T9))-T6)/(T5-T6)</f>
        <v>0.47879346328493572</v>
      </c>
    </row>
    <row r="8" spans="1:20">
      <c r="A8" s="1">
        <v>42844</v>
      </c>
      <c r="B8">
        <v>65.650002000000001</v>
      </c>
      <c r="C8">
        <v>65.75</v>
      </c>
      <c r="D8">
        <v>64.889999000000003</v>
      </c>
      <c r="E8">
        <v>65.040001000000004</v>
      </c>
      <c r="F8">
        <v>63.705902000000002</v>
      </c>
      <c r="G8">
        <v>26992800</v>
      </c>
      <c r="H8" s="5">
        <f t="shared" si="0"/>
        <v>-5.3524722218886876E-3</v>
      </c>
      <c r="J8" s="12" t="s">
        <v>28</v>
      </c>
      <c r="K8" s="26">
        <f>0.1/100</f>
        <v>1E-3</v>
      </c>
      <c r="M8" s="6" t="s">
        <v>21</v>
      </c>
      <c r="N8" s="6">
        <f>_xlfn.NORM.S.DIST(N6, TRUE)</f>
        <v>0.45860222384435395</v>
      </c>
      <c r="P8" s="6" t="s">
        <v>37</v>
      </c>
      <c r="Q8" s="6">
        <f>1-Q7</f>
        <v>0.55178249445392746</v>
      </c>
      <c r="S8" s="6" t="s">
        <v>37</v>
      </c>
      <c r="T8" s="6">
        <f>1-T7</f>
        <v>0.52120653671506423</v>
      </c>
    </row>
    <row r="9" spans="1:20">
      <c r="A9" s="1">
        <v>42845</v>
      </c>
      <c r="B9">
        <v>65.459998999999996</v>
      </c>
      <c r="C9">
        <v>65.75</v>
      </c>
      <c r="D9">
        <v>65.139999000000003</v>
      </c>
      <c r="E9">
        <v>65.5</v>
      </c>
      <c r="F9">
        <v>64.156456000000006</v>
      </c>
      <c r="G9">
        <v>22299500</v>
      </c>
      <c r="H9" s="5">
        <f t="shared" si="0"/>
        <v>7.0724059444288835E-3</v>
      </c>
      <c r="J9" s="12" t="s">
        <v>29</v>
      </c>
      <c r="K9" s="27">
        <f>F252</f>
        <v>90.769997000000004</v>
      </c>
      <c r="M9" s="6" t="s">
        <v>20</v>
      </c>
      <c r="N9" s="6">
        <f>_xlfn.NORM.S.DIST(-N5, TRUE)</f>
        <v>0.45494902194391618</v>
      </c>
      <c r="P9" s="6" t="s">
        <v>46</v>
      </c>
      <c r="Q9" s="88">
        <v>1</v>
      </c>
      <c r="S9" s="6" t="s">
        <v>46</v>
      </c>
      <c r="T9" s="88">
        <v>6</v>
      </c>
    </row>
    <row r="10" spans="1:20">
      <c r="A10" s="1">
        <v>42846</v>
      </c>
      <c r="B10">
        <v>65.669998000000007</v>
      </c>
      <c r="C10">
        <v>66.699996999999996</v>
      </c>
      <c r="D10">
        <v>65.449996999999996</v>
      </c>
      <c r="E10">
        <v>66.400002000000001</v>
      </c>
      <c r="F10">
        <v>65.038002000000006</v>
      </c>
      <c r="G10">
        <v>32522600</v>
      </c>
      <c r="H10" s="5">
        <f t="shared" si="0"/>
        <v>1.3740565719527901E-2</v>
      </c>
      <c r="J10" s="12" t="s">
        <v>30</v>
      </c>
      <c r="K10" s="25">
        <f>K9</f>
        <v>90.769997000000004</v>
      </c>
      <c r="M10" s="6" t="s">
        <v>22</v>
      </c>
      <c r="N10" s="6">
        <f>_xlfn.NORM.S.DIST(-N6, TRUE)</f>
        <v>0.5413977761556461</v>
      </c>
      <c r="P10" s="28" t="s">
        <v>38</v>
      </c>
      <c r="Q10" s="83">
        <f>'MSFT Binomial Tree(single)'!G10</f>
        <v>9.8560544780922292</v>
      </c>
      <c r="S10" s="28" t="s">
        <v>38</v>
      </c>
      <c r="T10" s="83">
        <f>'MSFT Binomial Tree(multiple)'!G23</f>
        <v>7.56988779715111</v>
      </c>
    </row>
    <row r="11" spans="1:20">
      <c r="A11" s="1">
        <v>42849</v>
      </c>
      <c r="B11">
        <v>67.480002999999996</v>
      </c>
      <c r="C11">
        <v>67.660004000000001</v>
      </c>
      <c r="D11">
        <v>67.099997999999999</v>
      </c>
      <c r="E11">
        <v>67.529999000000004</v>
      </c>
      <c r="F11">
        <v>66.144820999999993</v>
      </c>
      <c r="G11">
        <v>29770000</v>
      </c>
      <c r="H11" s="5">
        <f t="shared" si="0"/>
        <v>1.7018035086625007E-2</v>
      </c>
      <c r="M11" s="6" t="s">
        <v>23</v>
      </c>
      <c r="N11" s="20">
        <f>($K$9*N7)-($K$10*EXP(-$K$8*$K$7)*N8)</f>
        <v>7.8885596762099155</v>
      </c>
      <c r="P11" s="29" t="s">
        <v>24</v>
      </c>
      <c r="Q11" s="87">
        <f>'MSFT Binomial Tree(single)'!L10</f>
        <v>9.7653284746899818</v>
      </c>
      <c r="S11" s="6" t="s">
        <v>24</v>
      </c>
      <c r="T11" s="20">
        <f>'MSFT Binomial Tree(multiple)'!Q23</f>
        <v>7.4791622201164154</v>
      </c>
    </row>
    <row r="12" spans="1:20">
      <c r="A12" s="1">
        <v>42850</v>
      </c>
      <c r="B12">
        <v>67.900002000000001</v>
      </c>
      <c r="C12">
        <v>68.040001000000004</v>
      </c>
      <c r="D12">
        <v>67.599997999999999</v>
      </c>
      <c r="E12">
        <v>67.919998000000007</v>
      </c>
      <c r="F12">
        <v>66.526816999999994</v>
      </c>
      <c r="G12">
        <v>30242700</v>
      </c>
      <c r="H12" s="5">
        <f t="shared" si="0"/>
        <v>5.7751460239041383E-3</v>
      </c>
      <c r="M12" s="6" t="s">
        <v>24</v>
      </c>
      <c r="N12" s="20">
        <f>($K$10*EXP(-$K$8*$K$7)*N10)-($K$9*N9)</f>
        <v>7.7978350490838721</v>
      </c>
      <c r="P12" s="6" t="s">
        <v>51</v>
      </c>
      <c r="Q12" s="20">
        <f>Bi_Call_Eur($K$9, $K$10, $K$7, $K$8, $K$6, Q9)</f>
        <v>9.8560485981405197</v>
      </c>
      <c r="S12" s="6" t="s">
        <v>51</v>
      </c>
      <c r="T12" s="20">
        <f>Bi_Call_Eur($K$9, $K$10, $K$7, $K$8, $K$6, T9)</f>
        <v>7.5838954272540802</v>
      </c>
    </row>
    <row r="13" spans="1:20">
      <c r="A13" s="1">
        <v>42851</v>
      </c>
      <c r="B13">
        <v>68.080001999999993</v>
      </c>
      <c r="C13">
        <v>68.309997999999993</v>
      </c>
      <c r="D13">
        <v>67.620002999999997</v>
      </c>
      <c r="E13">
        <v>67.830001999999993</v>
      </c>
      <c r="F13">
        <v>66.438675000000003</v>
      </c>
      <c r="G13">
        <v>26190800</v>
      </c>
      <c r="H13" s="5">
        <f t="shared" si="0"/>
        <v>-1.3249093219053396E-3</v>
      </c>
      <c r="M13" s="6" t="s">
        <v>51</v>
      </c>
      <c r="N13" s="20">
        <f>BSC($K$9, $K$10, $K$8, 0, $K$6, $K$7)</f>
        <v>7.8885596762099155</v>
      </c>
      <c r="P13" s="6" t="s">
        <v>52</v>
      </c>
      <c r="Q13" s="20">
        <f>Bi_Put_Eur($K$9, $K$10, $K$7, $K$8, $K$6, Q9)</f>
        <v>9.7653238241636817</v>
      </c>
      <c r="S13" s="6" t="s">
        <v>52</v>
      </c>
      <c r="T13" s="20">
        <f>Bi_Put_Eur($K$9, $K$10, $K$7, $K$8, $K$6, T9)</f>
        <v>7.4931716060013356</v>
      </c>
    </row>
    <row r="14" spans="1:20">
      <c r="A14" s="1">
        <v>42852</v>
      </c>
      <c r="B14">
        <v>68.150002000000001</v>
      </c>
      <c r="C14">
        <v>68.379997000000003</v>
      </c>
      <c r="D14">
        <v>67.580001999999993</v>
      </c>
      <c r="E14">
        <v>68.269997000000004</v>
      </c>
      <c r="F14">
        <v>66.869643999999994</v>
      </c>
      <c r="G14">
        <v>34971000</v>
      </c>
      <c r="H14" s="5">
        <f t="shared" si="0"/>
        <v>6.4867187673443268E-3</v>
      </c>
      <c r="M14" s="6" t="s">
        <v>52</v>
      </c>
      <c r="N14" s="20">
        <f>BSP($K$9, $K$10, $K$8, 0, $K$6, $K$7)</f>
        <v>7.7978350490838721</v>
      </c>
    </row>
    <row r="15" spans="1:20">
      <c r="A15" s="1">
        <v>42853</v>
      </c>
      <c r="B15">
        <v>68.910004000000001</v>
      </c>
      <c r="C15">
        <v>69.139999000000003</v>
      </c>
      <c r="D15">
        <v>67.690002000000007</v>
      </c>
      <c r="E15">
        <v>68.459998999999996</v>
      </c>
      <c r="F15">
        <v>67.05574</v>
      </c>
      <c r="G15">
        <v>39423500</v>
      </c>
      <c r="H15" s="5">
        <f t="shared" si="0"/>
        <v>2.7829668122654619E-3</v>
      </c>
    </row>
    <row r="16" spans="1:20">
      <c r="A16" s="1">
        <v>42856</v>
      </c>
      <c r="B16">
        <v>68.680000000000007</v>
      </c>
      <c r="C16">
        <v>69.550003000000004</v>
      </c>
      <c r="D16">
        <v>68.5</v>
      </c>
      <c r="E16">
        <v>69.410004000000001</v>
      </c>
      <c r="F16">
        <v>67.986259000000004</v>
      </c>
      <c r="G16">
        <v>31954400</v>
      </c>
      <c r="H16" s="5">
        <f t="shared" si="0"/>
        <v>1.3876798615599557E-2</v>
      </c>
    </row>
    <row r="17" spans="1:22">
      <c r="A17" s="1">
        <v>42857</v>
      </c>
      <c r="B17">
        <v>69.709998999999996</v>
      </c>
      <c r="C17">
        <v>69.709998999999996</v>
      </c>
      <c r="D17">
        <v>69.129997000000003</v>
      </c>
      <c r="E17">
        <v>69.300003000000004</v>
      </c>
      <c r="F17">
        <v>67.878524999999996</v>
      </c>
      <c r="G17">
        <v>23906100</v>
      </c>
      <c r="H17" s="5">
        <f t="shared" si="0"/>
        <v>-1.5846437439660823E-3</v>
      </c>
      <c r="P17" s="6" t="s">
        <v>70</v>
      </c>
    </row>
    <row r="18" spans="1:22">
      <c r="A18" s="1">
        <v>42858</v>
      </c>
      <c r="B18">
        <v>69.379997000000003</v>
      </c>
      <c r="C18">
        <v>69.379997000000003</v>
      </c>
      <c r="D18">
        <v>68.709998999999996</v>
      </c>
      <c r="E18">
        <v>69.080001999999993</v>
      </c>
      <c r="F18">
        <v>67.663025000000005</v>
      </c>
      <c r="G18">
        <v>28928000</v>
      </c>
      <c r="H18" s="5">
        <f t="shared" si="0"/>
        <v>-3.1747890809352679E-3</v>
      </c>
      <c r="P18" s="92" t="s">
        <v>71</v>
      </c>
      <c r="Q18" s="92"/>
      <c r="R18" s="92"/>
      <c r="S18" s="92"/>
      <c r="T18" s="92"/>
      <c r="U18" s="92"/>
      <c r="V18" s="92"/>
    </row>
    <row r="19" spans="1:22">
      <c r="A19" s="1">
        <v>42859</v>
      </c>
      <c r="B19">
        <v>69.029999000000004</v>
      </c>
      <c r="C19">
        <v>69.080001999999993</v>
      </c>
      <c r="D19">
        <v>68.639999000000003</v>
      </c>
      <c r="E19">
        <v>68.809997999999993</v>
      </c>
      <c r="F19">
        <v>67.398567</v>
      </c>
      <c r="G19">
        <v>21749400</v>
      </c>
      <c r="H19" s="5">
        <f t="shared" si="0"/>
        <v>-3.9084566496990743E-3</v>
      </c>
    </row>
    <row r="20" spans="1:22">
      <c r="A20" s="1">
        <v>42860</v>
      </c>
      <c r="B20">
        <v>68.900002000000001</v>
      </c>
      <c r="C20">
        <v>69.029999000000004</v>
      </c>
      <c r="D20">
        <v>68.489998</v>
      </c>
      <c r="E20">
        <v>69</v>
      </c>
      <c r="F20">
        <v>67.584671</v>
      </c>
      <c r="G20">
        <v>19128800</v>
      </c>
      <c r="H20" s="5">
        <f t="shared" si="0"/>
        <v>2.7612456508162892E-3</v>
      </c>
    </row>
    <row r="21" spans="1:22">
      <c r="A21" s="1">
        <v>42863</v>
      </c>
      <c r="B21">
        <v>68.970000999999996</v>
      </c>
      <c r="C21">
        <v>69.050003000000004</v>
      </c>
      <c r="D21">
        <v>68.419998000000007</v>
      </c>
      <c r="E21">
        <v>68.940002000000007</v>
      </c>
      <c r="F21">
        <v>67.525908999999999</v>
      </c>
      <c r="G21">
        <v>18566100</v>
      </c>
      <c r="H21" s="5">
        <f t="shared" si="0"/>
        <v>-8.6945751352405837E-4</v>
      </c>
    </row>
    <row r="22" spans="1:22">
      <c r="A22" s="1">
        <v>42864</v>
      </c>
      <c r="B22">
        <v>68.860000999999997</v>
      </c>
      <c r="C22">
        <v>69.279999000000004</v>
      </c>
      <c r="D22">
        <v>68.680000000000007</v>
      </c>
      <c r="E22">
        <v>69.040001000000004</v>
      </c>
      <c r="F22">
        <v>67.623856000000004</v>
      </c>
      <c r="G22">
        <v>22858400</v>
      </c>
      <c r="H22" s="5">
        <f t="shared" si="0"/>
        <v>1.4505099072417507E-3</v>
      </c>
    </row>
    <row r="23" spans="1:22">
      <c r="A23" s="1">
        <v>42865</v>
      </c>
      <c r="B23">
        <v>68.989998</v>
      </c>
      <c r="C23">
        <v>69.559997999999993</v>
      </c>
      <c r="D23">
        <v>68.919998000000007</v>
      </c>
      <c r="E23">
        <v>69.309997999999993</v>
      </c>
      <c r="F23">
        <v>67.888306</v>
      </c>
      <c r="G23">
        <v>17977800</v>
      </c>
      <c r="H23" s="5">
        <f t="shared" si="0"/>
        <v>3.9106021993184845E-3</v>
      </c>
    </row>
    <row r="24" spans="1:22">
      <c r="A24" s="1">
        <v>42866</v>
      </c>
      <c r="B24">
        <v>68.360000999999997</v>
      </c>
      <c r="C24">
        <v>68.730002999999996</v>
      </c>
      <c r="D24">
        <v>68.120002999999997</v>
      </c>
      <c r="E24">
        <v>68.459998999999996</v>
      </c>
      <c r="F24">
        <v>67.05574</v>
      </c>
      <c r="G24">
        <v>28789400</v>
      </c>
      <c r="H24" s="5">
        <f t="shared" si="0"/>
        <v>-1.2263761596879438E-2</v>
      </c>
    </row>
    <row r="25" spans="1:22">
      <c r="A25" s="1">
        <v>42867</v>
      </c>
      <c r="B25">
        <v>68.610000999999997</v>
      </c>
      <c r="C25">
        <v>68.610000999999997</v>
      </c>
      <c r="D25">
        <v>68.040001000000004</v>
      </c>
      <c r="E25">
        <v>68.379997000000003</v>
      </c>
      <c r="F25">
        <v>66.977385999999996</v>
      </c>
      <c r="G25">
        <v>18714100</v>
      </c>
      <c r="H25" s="5">
        <f t="shared" si="0"/>
        <v>-1.1684905721718152E-3</v>
      </c>
    </row>
    <row r="26" spans="1:22">
      <c r="A26" s="1">
        <v>42870</v>
      </c>
      <c r="B26">
        <v>68.139999000000003</v>
      </c>
      <c r="C26">
        <v>68.480002999999996</v>
      </c>
      <c r="D26">
        <v>67.569999999999993</v>
      </c>
      <c r="E26">
        <v>68.430000000000007</v>
      </c>
      <c r="F26">
        <v>67.026359999999997</v>
      </c>
      <c r="G26">
        <v>31530300</v>
      </c>
      <c r="H26" s="5">
        <f t="shared" si="0"/>
        <v>7.3120202093287406E-4</v>
      </c>
    </row>
    <row r="27" spans="1:22">
      <c r="A27" s="1">
        <v>42871</v>
      </c>
      <c r="B27">
        <v>68.230002999999996</v>
      </c>
      <c r="C27">
        <v>69.440002000000007</v>
      </c>
      <c r="D27">
        <v>68.160004000000001</v>
      </c>
      <c r="E27">
        <v>69.410004000000001</v>
      </c>
      <c r="F27">
        <v>68.375961000000004</v>
      </c>
      <c r="G27">
        <v>34956000</v>
      </c>
      <c r="H27" s="5">
        <f t="shared" si="0"/>
        <v>2.0135376589150999E-2</v>
      </c>
    </row>
    <row r="28" spans="1:22">
      <c r="A28" s="1">
        <v>42872</v>
      </c>
      <c r="B28">
        <v>68.889999000000003</v>
      </c>
      <c r="C28">
        <v>69.099997999999999</v>
      </c>
      <c r="D28">
        <v>67.430000000000007</v>
      </c>
      <c r="E28">
        <v>67.480002999999996</v>
      </c>
      <c r="F28">
        <v>66.474709000000004</v>
      </c>
      <c r="G28">
        <v>30548800</v>
      </c>
      <c r="H28" s="5">
        <f t="shared" si="0"/>
        <v>-2.7805854165618225E-2</v>
      </c>
    </row>
    <row r="29" spans="1:22">
      <c r="A29" s="1">
        <v>42873</v>
      </c>
      <c r="B29">
        <v>67.400002000000001</v>
      </c>
      <c r="C29">
        <v>68.129997000000003</v>
      </c>
      <c r="D29">
        <v>67.139999000000003</v>
      </c>
      <c r="E29">
        <v>67.709998999999996</v>
      </c>
      <c r="F29">
        <v>66.701279</v>
      </c>
      <c r="G29">
        <v>25201300</v>
      </c>
      <c r="H29" s="5">
        <f t="shared" si="0"/>
        <v>3.4083639237893508E-3</v>
      </c>
    </row>
    <row r="30" spans="1:22">
      <c r="A30" s="1">
        <v>42874</v>
      </c>
      <c r="B30">
        <v>67.5</v>
      </c>
      <c r="C30">
        <v>68.099997999999999</v>
      </c>
      <c r="D30">
        <v>67.430000000000007</v>
      </c>
      <c r="E30">
        <v>67.690002000000007</v>
      </c>
      <c r="F30">
        <v>66.681579999999997</v>
      </c>
      <c r="G30">
        <v>26961100</v>
      </c>
      <c r="H30" s="5">
        <f t="shared" si="0"/>
        <v>-2.9533166822787307E-4</v>
      </c>
    </row>
    <row r="31" spans="1:22">
      <c r="A31" s="1">
        <v>42877</v>
      </c>
      <c r="B31">
        <v>67.889999000000003</v>
      </c>
      <c r="C31">
        <v>68.5</v>
      </c>
      <c r="D31">
        <v>67.5</v>
      </c>
      <c r="E31">
        <v>68.449996999999996</v>
      </c>
      <c r="F31">
        <v>67.430251999999996</v>
      </c>
      <c r="G31">
        <v>16237600</v>
      </c>
      <c r="H31" s="5">
        <f t="shared" si="0"/>
        <v>1.1227568392950485E-2</v>
      </c>
    </row>
    <row r="32" spans="1:22">
      <c r="A32" s="1">
        <v>42878</v>
      </c>
      <c r="B32">
        <v>68.720000999999996</v>
      </c>
      <c r="C32">
        <v>68.75</v>
      </c>
      <c r="D32">
        <v>68.379997000000003</v>
      </c>
      <c r="E32">
        <v>68.680000000000007</v>
      </c>
      <c r="F32">
        <v>67.656829999999999</v>
      </c>
      <c r="G32">
        <v>15425800</v>
      </c>
      <c r="H32" s="5">
        <f t="shared" si="0"/>
        <v>3.3601832008577324E-3</v>
      </c>
    </row>
    <row r="33" spans="1:8">
      <c r="A33" s="1">
        <v>42879</v>
      </c>
      <c r="B33">
        <v>68.870002999999997</v>
      </c>
      <c r="C33">
        <v>68.879997000000003</v>
      </c>
      <c r="D33">
        <v>68.449996999999996</v>
      </c>
      <c r="E33">
        <v>68.769997000000004</v>
      </c>
      <c r="F33">
        <v>67.745491000000001</v>
      </c>
      <c r="G33">
        <v>14593900</v>
      </c>
      <c r="H33" s="5">
        <f t="shared" si="0"/>
        <v>1.3104515833804492E-3</v>
      </c>
    </row>
    <row r="34" spans="1:8">
      <c r="A34" s="1">
        <v>42880</v>
      </c>
      <c r="B34">
        <v>68.970000999999996</v>
      </c>
      <c r="C34">
        <v>69.879997000000003</v>
      </c>
      <c r="D34">
        <v>68.910004000000001</v>
      </c>
      <c r="E34">
        <v>69.620002999999997</v>
      </c>
      <c r="F34">
        <v>68.582831999999996</v>
      </c>
      <c r="G34">
        <v>21854100</v>
      </c>
      <c r="H34" s="5">
        <f t="shared" si="0"/>
        <v>1.2360099360708671E-2</v>
      </c>
    </row>
    <row r="35" spans="1:8">
      <c r="A35" s="1">
        <v>42881</v>
      </c>
      <c r="B35">
        <v>69.800003000000004</v>
      </c>
      <c r="C35">
        <v>70.220000999999996</v>
      </c>
      <c r="D35">
        <v>69.519997000000004</v>
      </c>
      <c r="E35">
        <v>69.959998999999996</v>
      </c>
      <c r="F35">
        <v>68.917755</v>
      </c>
      <c r="G35">
        <v>19827900</v>
      </c>
      <c r="H35" s="5">
        <f t="shared" si="0"/>
        <v>4.8834816270054791E-3</v>
      </c>
    </row>
    <row r="36" spans="1:8">
      <c r="A36" s="1">
        <v>42885</v>
      </c>
      <c r="B36">
        <v>69.790001000000004</v>
      </c>
      <c r="C36">
        <v>70.410004000000001</v>
      </c>
      <c r="D36">
        <v>69.769997000000004</v>
      </c>
      <c r="E36">
        <v>70.410004000000001</v>
      </c>
      <c r="F36">
        <v>69.361061000000007</v>
      </c>
      <c r="G36">
        <v>17072800</v>
      </c>
      <c r="H36" s="5">
        <f t="shared" si="0"/>
        <v>6.4323917690007008E-3</v>
      </c>
    </row>
    <row r="37" spans="1:8">
      <c r="A37" s="1">
        <v>42886</v>
      </c>
      <c r="B37">
        <v>70.529999000000004</v>
      </c>
      <c r="C37">
        <v>70.739998</v>
      </c>
      <c r="D37">
        <v>69.809997999999993</v>
      </c>
      <c r="E37">
        <v>69.839995999999999</v>
      </c>
      <c r="F37">
        <v>68.799544999999995</v>
      </c>
      <c r="G37">
        <v>30436400</v>
      </c>
      <c r="H37" s="5">
        <f t="shared" si="0"/>
        <v>-8.0955509028330982E-3</v>
      </c>
    </row>
    <row r="38" spans="1:8">
      <c r="A38" s="1">
        <v>42887</v>
      </c>
      <c r="B38">
        <v>70.239998</v>
      </c>
      <c r="C38">
        <v>70.610000999999997</v>
      </c>
      <c r="D38">
        <v>69.449996999999996</v>
      </c>
      <c r="E38">
        <v>70.099997999999999</v>
      </c>
      <c r="F38">
        <v>69.055672000000001</v>
      </c>
      <c r="G38">
        <v>21603600</v>
      </c>
      <c r="H38" s="5">
        <f t="shared" si="0"/>
        <v>3.722800783057598E-3</v>
      </c>
    </row>
    <row r="39" spans="1:8">
      <c r="A39" s="1">
        <v>42888</v>
      </c>
      <c r="B39">
        <v>70.440002000000007</v>
      </c>
      <c r="C39">
        <v>71.860000999999997</v>
      </c>
      <c r="D39">
        <v>70.239998</v>
      </c>
      <c r="E39">
        <v>71.760002</v>
      </c>
      <c r="F39">
        <v>70.690948000000006</v>
      </c>
      <c r="G39">
        <v>34770300</v>
      </c>
      <c r="H39" s="5">
        <f t="shared" si="0"/>
        <v>2.3680545748653414E-2</v>
      </c>
    </row>
    <row r="40" spans="1:8">
      <c r="A40" s="1">
        <v>42891</v>
      </c>
      <c r="B40">
        <v>71.970000999999996</v>
      </c>
      <c r="C40">
        <v>72.889999000000003</v>
      </c>
      <c r="D40">
        <v>71.809997999999993</v>
      </c>
      <c r="E40">
        <v>72.279999000000004</v>
      </c>
      <c r="F40">
        <v>71.203201000000007</v>
      </c>
      <c r="G40">
        <v>33316800</v>
      </c>
      <c r="H40" s="5">
        <f t="shared" si="0"/>
        <v>7.246373326327455E-3</v>
      </c>
    </row>
    <row r="41" spans="1:8">
      <c r="A41" s="1">
        <v>42892</v>
      </c>
      <c r="B41">
        <v>72.300003000000004</v>
      </c>
      <c r="C41">
        <v>72.620002999999997</v>
      </c>
      <c r="D41">
        <v>72.269997000000004</v>
      </c>
      <c r="E41">
        <v>72.519997000000004</v>
      </c>
      <c r="F41">
        <v>71.439612999999994</v>
      </c>
      <c r="G41">
        <v>31511100</v>
      </c>
      <c r="H41" s="5">
        <f t="shared" si="0"/>
        <v>3.3202439873452763E-3</v>
      </c>
    </row>
    <row r="42" spans="1:8">
      <c r="A42" s="1">
        <v>42893</v>
      </c>
      <c r="B42">
        <v>72.639999000000003</v>
      </c>
      <c r="C42">
        <v>72.769997000000004</v>
      </c>
      <c r="D42">
        <v>71.949996999999996</v>
      </c>
      <c r="E42">
        <v>72.389999000000003</v>
      </c>
      <c r="F42">
        <v>71.311561999999995</v>
      </c>
      <c r="G42">
        <v>22301800</v>
      </c>
      <c r="H42" s="5">
        <f t="shared" si="0"/>
        <v>-1.7924369215157878E-3</v>
      </c>
    </row>
    <row r="43" spans="1:8">
      <c r="A43" s="1">
        <v>42894</v>
      </c>
      <c r="B43">
        <v>72.510002</v>
      </c>
      <c r="C43">
        <v>72.519997000000004</v>
      </c>
      <c r="D43">
        <v>71.5</v>
      </c>
      <c r="E43">
        <v>71.949996999999996</v>
      </c>
      <c r="F43">
        <v>70.878112999999999</v>
      </c>
      <c r="G43">
        <v>24456300</v>
      </c>
      <c r="H43" s="5">
        <f t="shared" si="0"/>
        <v>-6.0782429643035443E-3</v>
      </c>
    </row>
    <row r="44" spans="1:8">
      <c r="A44" s="1">
        <v>42895</v>
      </c>
      <c r="B44">
        <v>72.040001000000004</v>
      </c>
      <c r="C44">
        <v>72.080001999999993</v>
      </c>
      <c r="D44">
        <v>68.589995999999999</v>
      </c>
      <c r="E44">
        <v>70.319999999999993</v>
      </c>
      <c r="F44">
        <v>69.272400000000005</v>
      </c>
      <c r="G44">
        <v>49187400</v>
      </c>
      <c r="H44" s="5">
        <f t="shared" si="0"/>
        <v>-2.2654567567282645E-2</v>
      </c>
    </row>
    <row r="45" spans="1:8">
      <c r="A45" s="1">
        <v>42898</v>
      </c>
      <c r="B45">
        <v>69.25</v>
      </c>
      <c r="C45">
        <v>69.940002000000007</v>
      </c>
      <c r="D45">
        <v>68.129997000000003</v>
      </c>
      <c r="E45">
        <v>69.779999000000004</v>
      </c>
      <c r="F45">
        <v>68.740440000000007</v>
      </c>
      <c r="G45">
        <v>47761700</v>
      </c>
      <c r="H45" s="5">
        <f t="shared" si="0"/>
        <v>-7.6792488783411278E-3</v>
      </c>
    </row>
    <row r="46" spans="1:8">
      <c r="A46" s="1">
        <v>42899</v>
      </c>
      <c r="B46">
        <v>70.019997000000004</v>
      </c>
      <c r="C46">
        <v>70.819999999999993</v>
      </c>
      <c r="D46">
        <v>69.959998999999996</v>
      </c>
      <c r="E46">
        <v>70.650002000000001</v>
      </c>
      <c r="F46">
        <v>69.597481000000002</v>
      </c>
      <c r="G46">
        <v>25258600</v>
      </c>
      <c r="H46" s="5">
        <f t="shared" si="0"/>
        <v>1.2467784611212777E-2</v>
      </c>
    </row>
    <row r="47" spans="1:8">
      <c r="A47" s="1">
        <v>42900</v>
      </c>
      <c r="B47">
        <v>70.910004000000001</v>
      </c>
      <c r="C47">
        <v>71.099997999999999</v>
      </c>
      <c r="D47">
        <v>69.430000000000007</v>
      </c>
      <c r="E47">
        <v>70.269997000000004</v>
      </c>
      <c r="F47">
        <v>69.223136999999994</v>
      </c>
      <c r="G47">
        <v>25510700</v>
      </c>
      <c r="H47" s="5">
        <f t="shared" si="0"/>
        <v>-5.3787004158959107E-3</v>
      </c>
    </row>
    <row r="48" spans="1:8">
      <c r="A48" s="1">
        <v>42901</v>
      </c>
      <c r="B48">
        <v>69.269997000000004</v>
      </c>
      <c r="C48">
        <v>70.209998999999996</v>
      </c>
      <c r="D48">
        <v>68.800003000000004</v>
      </c>
      <c r="E48">
        <v>69.900002000000001</v>
      </c>
      <c r="F48">
        <v>68.858649999999997</v>
      </c>
      <c r="G48">
        <v>26068700</v>
      </c>
      <c r="H48" s="5">
        <f t="shared" si="0"/>
        <v>-5.2653926966643675E-3</v>
      </c>
    </row>
    <row r="49" spans="1:8">
      <c r="A49" s="1">
        <v>42902</v>
      </c>
      <c r="B49">
        <v>69.730002999999996</v>
      </c>
      <c r="C49">
        <v>70.029999000000004</v>
      </c>
      <c r="D49">
        <v>69.220000999999996</v>
      </c>
      <c r="E49">
        <v>70</v>
      </c>
      <c r="F49">
        <v>68.957168999999993</v>
      </c>
      <c r="G49">
        <v>48345100</v>
      </c>
      <c r="H49" s="5">
        <f t="shared" si="0"/>
        <v>1.4307425428758192E-3</v>
      </c>
    </row>
    <row r="50" spans="1:8">
      <c r="A50" s="1">
        <v>42905</v>
      </c>
      <c r="B50">
        <v>70.5</v>
      </c>
      <c r="C50">
        <v>70.940002000000007</v>
      </c>
      <c r="D50">
        <v>70.349997999999999</v>
      </c>
      <c r="E50">
        <v>70.870002999999997</v>
      </c>
      <c r="F50">
        <v>69.814200999999997</v>
      </c>
      <c r="G50">
        <v>23798300</v>
      </c>
      <c r="H50" s="5">
        <f t="shared" si="0"/>
        <v>1.2428468459892893E-2</v>
      </c>
    </row>
    <row r="51" spans="1:8">
      <c r="A51" s="1">
        <v>42906</v>
      </c>
      <c r="B51">
        <v>70.819999999999993</v>
      </c>
      <c r="C51">
        <v>70.870002999999997</v>
      </c>
      <c r="D51">
        <v>69.870002999999997</v>
      </c>
      <c r="E51">
        <v>69.910004000000001</v>
      </c>
      <c r="F51">
        <v>68.868506999999994</v>
      </c>
      <c r="G51">
        <v>21512200</v>
      </c>
      <c r="H51" s="5">
        <f t="shared" si="0"/>
        <v>-1.3545868697974545E-2</v>
      </c>
    </row>
    <row r="52" spans="1:8">
      <c r="A52" s="1">
        <v>42907</v>
      </c>
      <c r="B52">
        <v>70.209998999999996</v>
      </c>
      <c r="C52">
        <v>70.620002999999997</v>
      </c>
      <c r="D52">
        <v>69.940002000000007</v>
      </c>
      <c r="E52">
        <v>70.269997000000004</v>
      </c>
      <c r="F52">
        <v>69.223136999999994</v>
      </c>
      <c r="G52">
        <v>19891100</v>
      </c>
      <c r="H52" s="5">
        <f t="shared" si="0"/>
        <v>5.1493783653535604E-3</v>
      </c>
    </row>
    <row r="53" spans="1:8">
      <c r="A53" s="1">
        <v>42908</v>
      </c>
      <c r="B53">
        <v>70.540001000000004</v>
      </c>
      <c r="C53">
        <v>70.589995999999999</v>
      </c>
      <c r="D53">
        <v>69.709998999999996</v>
      </c>
      <c r="E53">
        <v>70.260002</v>
      </c>
      <c r="F53">
        <v>69.213295000000002</v>
      </c>
      <c r="G53">
        <v>22965700</v>
      </c>
      <c r="H53" s="5">
        <f t="shared" si="0"/>
        <v>-1.4217789638732947E-4</v>
      </c>
    </row>
    <row r="54" spans="1:8">
      <c r="A54" s="1">
        <v>42909</v>
      </c>
      <c r="B54">
        <v>70.089995999999999</v>
      </c>
      <c r="C54">
        <v>71.25</v>
      </c>
      <c r="D54">
        <v>69.919998000000007</v>
      </c>
      <c r="E54">
        <v>71.209998999999996</v>
      </c>
      <c r="F54">
        <v>70.149139000000005</v>
      </c>
      <c r="G54">
        <v>27617300</v>
      </c>
      <c r="H54" s="5">
        <f t="shared" si="0"/>
        <v>1.3521159482437629E-2</v>
      </c>
    </row>
    <row r="55" spans="1:8">
      <c r="A55" s="1">
        <v>42912</v>
      </c>
      <c r="B55">
        <v>71.400002000000001</v>
      </c>
      <c r="C55">
        <v>71.709998999999996</v>
      </c>
      <c r="D55">
        <v>70.440002000000007</v>
      </c>
      <c r="E55">
        <v>70.529999000000004</v>
      </c>
      <c r="F55">
        <v>69.479270999999997</v>
      </c>
      <c r="G55">
        <v>19607000</v>
      </c>
      <c r="H55" s="5">
        <f t="shared" si="0"/>
        <v>-9.5491977456773642E-3</v>
      </c>
    </row>
    <row r="56" spans="1:8">
      <c r="A56" s="1">
        <v>42913</v>
      </c>
      <c r="B56">
        <v>70.110000999999997</v>
      </c>
      <c r="C56">
        <v>70.180000000000007</v>
      </c>
      <c r="D56">
        <v>69.180000000000007</v>
      </c>
      <c r="E56">
        <v>69.209998999999996</v>
      </c>
      <c r="F56">
        <v>68.178932000000003</v>
      </c>
      <c r="G56">
        <v>25215100</v>
      </c>
      <c r="H56" s="5">
        <f t="shared" si="0"/>
        <v>-1.8715495733972135E-2</v>
      </c>
    </row>
    <row r="57" spans="1:8">
      <c r="A57" s="1">
        <v>42914</v>
      </c>
      <c r="B57">
        <v>69.209998999999996</v>
      </c>
      <c r="C57">
        <v>69.839995999999999</v>
      </c>
      <c r="D57">
        <v>68.790001000000004</v>
      </c>
      <c r="E57">
        <v>69.800003000000004</v>
      </c>
      <c r="F57">
        <v>68.760147000000003</v>
      </c>
      <c r="G57">
        <v>25806200</v>
      </c>
      <c r="H57" s="5">
        <f t="shared" si="0"/>
        <v>8.5248475291458108E-3</v>
      </c>
    </row>
    <row r="58" spans="1:8">
      <c r="A58" s="1">
        <v>42915</v>
      </c>
      <c r="B58">
        <v>69.379997000000003</v>
      </c>
      <c r="C58">
        <v>69.489998</v>
      </c>
      <c r="D58">
        <v>68.089995999999999</v>
      </c>
      <c r="E58">
        <v>68.489998</v>
      </c>
      <c r="F58">
        <v>67.469657999999995</v>
      </c>
      <c r="G58">
        <v>28918700</v>
      </c>
      <c r="H58" s="5">
        <f t="shared" si="0"/>
        <v>-1.8767979073692324E-2</v>
      </c>
    </row>
    <row r="59" spans="1:8">
      <c r="A59" s="1">
        <v>42916</v>
      </c>
      <c r="B59">
        <v>68.779999000000004</v>
      </c>
      <c r="C59">
        <v>69.379997000000003</v>
      </c>
      <c r="D59">
        <v>68.739998</v>
      </c>
      <c r="E59">
        <v>68.930000000000007</v>
      </c>
      <c r="F59">
        <v>67.903107000000006</v>
      </c>
      <c r="G59">
        <v>24161100</v>
      </c>
      <c r="H59" s="5">
        <f t="shared" si="0"/>
        <v>6.4243544853897173E-3</v>
      </c>
    </row>
    <row r="60" spans="1:8">
      <c r="A60" s="1">
        <v>42919</v>
      </c>
      <c r="B60">
        <v>69.330001999999993</v>
      </c>
      <c r="C60">
        <v>69.599997999999999</v>
      </c>
      <c r="D60">
        <v>68.019997000000004</v>
      </c>
      <c r="E60">
        <v>68.169998000000007</v>
      </c>
      <c r="F60">
        <v>67.154426999999998</v>
      </c>
      <c r="G60">
        <v>16165500</v>
      </c>
      <c r="H60" s="5">
        <f t="shared" si="0"/>
        <v>-1.102571050246651E-2</v>
      </c>
    </row>
    <row r="61" spans="1:8">
      <c r="A61" s="1">
        <v>42921</v>
      </c>
      <c r="B61">
        <v>68.260002</v>
      </c>
      <c r="C61">
        <v>69.440002000000007</v>
      </c>
      <c r="D61">
        <v>68.220000999999996</v>
      </c>
      <c r="E61">
        <v>69.080001999999993</v>
      </c>
      <c r="F61">
        <v>68.050880000000006</v>
      </c>
      <c r="G61">
        <v>21176300</v>
      </c>
      <c r="H61" s="5">
        <f t="shared" si="0"/>
        <v>1.3349127377708221E-2</v>
      </c>
    </row>
    <row r="62" spans="1:8">
      <c r="A62" s="1">
        <v>42922</v>
      </c>
      <c r="B62">
        <v>68.269997000000004</v>
      </c>
      <c r="C62">
        <v>68.779999000000004</v>
      </c>
      <c r="D62">
        <v>68.120002999999997</v>
      </c>
      <c r="E62">
        <v>68.569999999999993</v>
      </c>
      <c r="F62">
        <v>67.548469999999995</v>
      </c>
      <c r="G62">
        <v>21117600</v>
      </c>
      <c r="H62" s="5">
        <f t="shared" si="0"/>
        <v>-7.382858237836333E-3</v>
      </c>
    </row>
    <row r="63" spans="1:8">
      <c r="A63" s="1">
        <v>42923</v>
      </c>
      <c r="B63">
        <v>68.699996999999996</v>
      </c>
      <c r="C63">
        <v>69.839995999999999</v>
      </c>
      <c r="D63">
        <v>68.699996999999996</v>
      </c>
      <c r="E63">
        <v>69.459998999999996</v>
      </c>
      <c r="F63">
        <v>68.425208999999995</v>
      </c>
      <c r="G63">
        <v>16878300</v>
      </c>
      <c r="H63" s="5">
        <f t="shared" si="0"/>
        <v>1.2979405751159141E-2</v>
      </c>
    </row>
    <row r="64" spans="1:8">
      <c r="A64" s="1">
        <v>42926</v>
      </c>
      <c r="B64">
        <v>69.459998999999996</v>
      </c>
      <c r="C64">
        <v>70.25</v>
      </c>
      <c r="D64">
        <v>69.199996999999996</v>
      </c>
      <c r="E64">
        <v>69.980002999999996</v>
      </c>
      <c r="F64">
        <v>68.937468999999993</v>
      </c>
      <c r="G64">
        <v>15014500</v>
      </c>
      <c r="H64" s="5">
        <f t="shared" si="0"/>
        <v>7.486422145966668E-3</v>
      </c>
    </row>
    <row r="65" spans="1:8">
      <c r="A65" s="1">
        <v>42927</v>
      </c>
      <c r="B65">
        <v>70</v>
      </c>
      <c r="C65">
        <v>70.680000000000007</v>
      </c>
      <c r="D65">
        <v>69.75</v>
      </c>
      <c r="E65">
        <v>69.989998</v>
      </c>
      <c r="F65">
        <v>68.947318999999993</v>
      </c>
      <c r="G65">
        <v>17460000</v>
      </c>
      <c r="H65" s="5">
        <f t="shared" si="0"/>
        <v>1.4288311048959656E-4</v>
      </c>
    </row>
    <row r="66" spans="1:8">
      <c r="A66" s="1">
        <v>42928</v>
      </c>
      <c r="B66">
        <v>70.690002000000007</v>
      </c>
      <c r="C66">
        <v>71.279999000000004</v>
      </c>
      <c r="D66">
        <v>70.550003000000004</v>
      </c>
      <c r="E66">
        <v>71.150002000000001</v>
      </c>
      <c r="F66">
        <v>70.090034000000003</v>
      </c>
      <c r="G66">
        <v>17750900</v>
      </c>
      <c r="H66" s="5">
        <f t="shared" si="0"/>
        <v>1.6573740887589984E-2</v>
      </c>
    </row>
    <row r="67" spans="1:8">
      <c r="A67" s="1">
        <v>42929</v>
      </c>
      <c r="B67">
        <v>71.5</v>
      </c>
      <c r="C67">
        <v>72.040001000000004</v>
      </c>
      <c r="D67">
        <v>71.309997999999993</v>
      </c>
      <c r="E67">
        <v>71.769997000000004</v>
      </c>
      <c r="F67">
        <v>70.700789999999998</v>
      </c>
      <c r="G67">
        <v>20269800</v>
      </c>
      <c r="H67" s="5">
        <f t="shared" si="0"/>
        <v>8.7138779244991509E-3</v>
      </c>
    </row>
    <row r="68" spans="1:8">
      <c r="A68" s="1">
        <v>42930</v>
      </c>
      <c r="B68">
        <v>72.239998</v>
      </c>
      <c r="C68">
        <v>73.269997000000004</v>
      </c>
      <c r="D68">
        <v>71.959998999999996</v>
      </c>
      <c r="E68">
        <v>72.779999000000004</v>
      </c>
      <c r="F68">
        <v>71.695746999999997</v>
      </c>
      <c r="G68">
        <v>25868100</v>
      </c>
      <c r="H68" s="5">
        <f t="shared" ref="H68:H131" si="1">(F68-F67)/F67</f>
        <v>1.4072784759547942E-2</v>
      </c>
    </row>
    <row r="69" spans="1:8">
      <c r="A69" s="1">
        <v>42933</v>
      </c>
      <c r="B69">
        <v>72.800003000000004</v>
      </c>
      <c r="C69">
        <v>73.449996999999996</v>
      </c>
      <c r="D69">
        <v>72.720000999999996</v>
      </c>
      <c r="E69">
        <v>73.349997999999999</v>
      </c>
      <c r="F69">
        <v>72.257262999999995</v>
      </c>
      <c r="G69">
        <v>21803900</v>
      </c>
      <c r="H69" s="5">
        <f t="shared" si="1"/>
        <v>7.8319289985220118E-3</v>
      </c>
    </row>
    <row r="70" spans="1:8">
      <c r="A70" s="1">
        <v>42934</v>
      </c>
      <c r="B70">
        <v>73.089995999999999</v>
      </c>
      <c r="C70">
        <v>73.389999000000003</v>
      </c>
      <c r="D70">
        <v>72.660004000000001</v>
      </c>
      <c r="E70">
        <v>73.300003000000004</v>
      </c>
      <c r="F70">
        <v>72.207999999999998</v>
      </c>
      <c r="G70">
        <v>26435300</v>
      </c>
      <c r="H70" s="5">
        <f t="shared" si="1"/>
        <v>-6.8177229464111151E-4</v>
      </c>
    </row>
    <row r="71" spans="1:8">
      <c r="A71" s="1">
        <v>42935</v>
      </c>
      <c r="B71">
        <v>73.5</v>
      </c>
      <c r="C71">
        <v>74.040001000000004</v>
      </c>
      <c r="D71">
        <v>73.449996999999996</v>
      </c>
      <c r="E71">
        <v>73.860000999999997</v>
      </c>
      <c r="F71">
        <v>72.759651000000005</v>
      </c>
      <c r="G71">
        <v>22416200</v>
      </c>
      <c r="H71" s="5">
        <f t="shared" si="1"/>
        <v>7.6397490582761855E-3</v>
      </c>
    </row>
    <row r="72" spans="1:8">
      <c r="A72" s="1">
        <v>42936</v>
      </c>
      <c r="B72">
        <v>74.180000000000007</v>
      </c>
      <c r="C72">
        <v>74.300003000000004</v>
      </c>
      <c r="D72">
        <v>73.279999000000004</v>
      </c>
      <c r="E72">
        <v>74.220000999999996</v>
      </c>
      <c r="F72">
        <v>73.114295999999996</v>
      </c>
      <c r="G72">
        <v>42361000</v>
      </c>
      <c r="H72" s="5">
        <f t="shared" si="1"/>
        <v>4.8741987506233471E-3</v>
      </c>
    </row>
    <row r="73" spans="1:8">
      <c r="A73" s="1">
        <v>42937</v>
      </c>
      <c r="B73">
        <v>73.449996999999996</v>
      </c>
      <c r="C73">
        <v>74.290001000000004</v>
      </c>
      <c r="D73">
        <v>73.169998000000007</v>
      </c>
      <c r="E73">
        <v>73.790001000000004</v>
      </c>
      <c r="F73">
        <v>72.690703999999997</v>
      </c>
      <c r="G73">
        <v>46717100</v>
      </c>
      <c r="H73" s="5">
        <f t="shared" si="1"/>
        <v>-5.7935591693312524E-3</v>
      </c>
    </row>
    <row r="74" spans="1:8">
      <c r="A74" s="1">
        <v>42940</v>
      </c>
      <c r="B74">
        <v>73.529999000000004</v>
      </c>
      <c r="C74">
        <v>73.75</v>
      </c>
      <c r="D74">
        <v>73.129997000000003</v>
      </c>
      <c r="E74">
        <v>73.599997999999999</v>
      </c>
      <c r="F74">
        <v>72.503532000000007</v>
      </c>
      <c r="G74">
        <v>21394800</v>
      </c>
      <c r="H74" s="5">
        <f t="shared" si="1"/>
        <v>-2.5749097161033093E-3</v>
      </c>
    </row>
    <row r="75" spans="1:8">
      <c r="A75" s="1">
        <v>42941</v>
      </c>
      <c r="B75">
        <v>73.800003000000004</v>
      </c>
      <c r="C75">
        <v>74.309997999999993</v>
      </c>
      <c r="D75">
        <v>73.5</v>
      </c>
      <c r="E75">
        <v>74.190002000000007</v>
      </c>
      <c r="F75">
        <v>73.084739999999996</v>
      </c>
      <c r="G75">
        <v>22018700</v>
      </c>
      <c r="H75" s="5">
        <f t="shared" si="1"/>
        <v>8.0162715383298774E-3</v>
      </c>
    </row>
    <row r="76" spans="1:8">
      <c r="A76" s="1">
        <v>42942</v>
      </c>
      <c r="B76">
        <v>74.339995999999999</v>
      </c>
      <c r="C76">
        <v>74.379997000000003</v>
      </c>
      <c r="D76">
        <v>73.809997999999993</v>
      </c>
      <c r="E76">
        <v>74.050003000000004</v>
      </c>
      <c r="F76">
        <v>72.946831000000003</v>
      </c>
      <c r="G76">
        <v>16252200</v>
      </c>
      <c r="H76" s="5">
        <f t="shared" si="1"/>
        <v>-1.8869739428503598E-3</v>
      </c>
    </row>
    <row r="77" spans="1:8">
      <c r="A77" s="1">
        <v>42943</v>
      </c>
      <c r="B77">
        <v>73.760002</v>
      </c>
      <c r="C77">
        <v>74.419998000000007</v>
      </c>
      <c r="D77">
        <v>72.319999999999993</v>
      </c>
      <c r="E77">
        <v>73.160004000000001</v>
      </c>
      <c r="F77">
        <v>72.070091000000005</v>
      </c>
      <c r="G77">
        <v>36844200</v>
      </c>
      <c r="H77" s="5">
        <f t="shared" si="1"/>
        <v>-1.2018890854902224E-2</v>
      </c>
    </row>
    <row r="78" spans="1:8">
      <c r="A78" s="1">
        <v>42944</v>
      </c>
      <c r="B78">
        <v>72.669998000000007</v>
      </c>
      <c r="C78">
        <v>73.309997999999993</v>
      </c>
      <c r="D78">
        <v>72.540001000000004</v>
      </c>
      <c r="E78">
        <v>73.040001000000004</v>
      </c>
      <c r="F78">
        <v>71.951881</v>
      </c>
      <c r="G78">
        <v>18306700</v>
      </c>
      <c r="H78" s="5">
        <f t="shared" si="1"/>
        <v>-1.6402088350353935E-3</v>
      </c>
    </row>
    <row r="79" spans="1:8">
      <c r="A79" s="1">
        <v>42947</v>
      </c>
      <c r="B79">
        <v>73.300003000000004</v>
      </c>
      <c r="C79">
        <v>73.440002000000007</v>
      </c>
      <c r="D79">
        <v>72.410004000000001</v>
      </c>
      <c r="E79">
        <v>72.699996999999996</v>
      </c>
      <c r="F79">
        <v>71.616935999999995</v>
      </c>
      <c r="G79">
        <v>23600100</v>
      </c>
      <c r="H79" s="5">
        <f t="shared" si="1"/>
        <v>-4.6551249994424013E-3</v>
      </c>
    </row>
    <row r="80" spans="1:8">
      <c r="A80" s="1">
        <v>42948</v>
      </c>
      <c r="B80">
        <v>73.099997999999999</v>
      </c>
      <c r="C80">
        <v>73.419998000000007</v>
      </c>
      <c r="D80">
        <v>72.489998</v>
      </c>
      <c r="E80">
        <v>72.580001999999993</v>
      </c>
      <c r="F80">
        <v>71.498733999999999</v>
      </c>
      <c r="G80">
        <v>22132300</v>
      </c>
      <c r="H80" s="5">
        <f t="shared" si="1"/>
        <v>-1.6504755243926742E-3</v>
      </c>
    </row>
    <row r="81" spans="1:8">
      <c r="A81" s="1">
        <v>42949</v>
      </c>
      <c r="B81">
        <v>72.550003000000004</v>
      </c>
      <c r="C81">
        <v>72.559997999999993</v>
      </c>
      <c r="D81">
        <v>71.440002000000007</v>
      </c>
      <c r="E81">
        <v>72.260002</v>
      </c>
      <c r="F81">
        <v>71.183502000000004</v>
      </c>
      <c r="G81">
        <v>26499200</v>
      </c>
      <c r="H81" s="5">
        <f t="shared" si="1"/>
        <v>-4.4089172264224234E-3</v>
      </c>
    </row>
    <row r="82" spans="1:8">
      <c r="A82" s="1">
        <v>42950</v>
      </c>
      <c r="B82">
        <v>72.190002000000007</v>
      </c>
      <c r="C82">
        <v>72.440002000000007</v>
      </c>
      <c r="D82">
        <v>71.849997999999999</v>
      </c>
      <c r="E82">
        <v>72.150002000000001</v>
      </c>
      <c r="F82">
        <v>71.075134000000006</v>
      </c>
      <c r="G82">
        <v>18214400</v>
      </c>
      <c r="H82" s="5">
        <f t="shared" si="1"/>
        <v>-1.5223752267765455E-3</v>
      </c>
    </row>
    <row r="83" spans="1:8">
      <c r="A83" s="1">
        <v>42951</v>
      </c>
      <c r="B83">
        <v>72.400002000000001</v>
      </c>
      <c r="C83">
        <v>73.040001000000004</v>
      </c>
      <c r="D83">
        <v>72.239998</v>
      </c>
      <c r="E83">
        <v>72.680000000000007</v>
      </c>
      <c r="F83">
        <v>71.597237000000007</v>
      </c>
      <c r="G83">
        <v>22579000</v>
      </c>
      <c r="H83" s="5">
        <f t="shared" si="1"/>
        <v>7.3457898792002457E-3</v>
      </c>
    </row>
    <row r="84" spans="1:8">
      <c r="A84" s="1">
        <v>42954</v>
      </c>
      <c r="B84">
        <v>72.800003000000004</v>
      </c>
      <c r="C84">
        <v>72.900002000000001</v>
      </c>
      <c r="D84">
        <v>72.260002</v>
      </c>
      <c r="E84">
        <v>72.400002000000001</v>
      </c>
      <c r="F84">
        <v>71.321419000000006</v>
      </c>
      <c r="G84">
        <v>18705700</v>
      </c>
      <c r="H84" s="5">
        <f t="shared" si="1"/>
        <v>-3.8523553639367531E-3</v>
      </c>
    </row>
    <row r="85" spans="1:8">
      <c r="A85" s="1">
        <v>42955</v>
      </c>
      <c r="B85">
        <v>72.089995999999999</v>
      </c>
      <c r="C85">
        <v>73.129997000000003</v>
      </c>
      <c r="D85">
        <v>71.75</v>
      </c>
      <c r="E85">
        <v>72.790001000000004</v>
      </c>
      <c r="F85">
        <v>71.705596999999997</v>
      </c>
      <c r="G85">
        <v>22044600</v>
      </c>
      <c r="H85" s="5">
        <f t="shared" si="1"/>
        <v>5.3865725806716133E-3</v>
      </c>
    </row>
    <row r="86" spans="1:8">
      <c r="A86" s="1">
        <v>42956</v>
      </c>
      <c r="B86">
        <v>72.25</v>
      </c>
      <c r="C86">
        <v>72.510002</v>
      </c>
      <c r="D86">
        <v>72.050003000000004</v>
      </c>
      <c r="E86">
        <v>72.470000999999996</v>
      </c>
      <c r="F86">
        <v>71.390366</v>
      </c>
      <c r="G86">
        <v>22213400</v>
      </c>
      <c r="H86" s="5">
        <f t="shared" si="1"/>
        <v>-4.3961840245189945E-3</v>
      </c>
    </row>
    <row r="87" spans="1:8">
      <c r="A87" s="1">
        <v>42957</v>
      </c>
      <c r="B87">
        <v>71.900002000000001</v>
      </c>
      <c r="C87">
        <v>72.190002000000007</v>
      </c>
      <c r="D87">
        <v>71.349997999999999</v>
      </c>
      <c r="E87">
        <v>71.410004000000001</v>
      </c>
      <c r="F87">
        <v>70.346160999999995</v>
      </c>
      <c r="G87">
        <v>24734500</v>
      </c>
      <c r="H87" s="5">
        <f t="shared" si="1"/>
        <v>-1.4626693467295084E-2</v>
      </c>
    </row>
    <row r="88" spans="1:8">
      <c r="A88" s="1">
        <v>42958</v>
      </c>
      <c r="B88">
        <v>71.610000999999997</v>
      </c>
      <c r="C88">
        <v>72.699996999999996</v>
      </c>
      <c r="D88">
        <v>71.279999000000004</v>
      </c>
      <c r="E88">
        <v>72.5</v>
      </c>
      <c r="F88">
        <v>71.419914000000006</v>
      </c>
      <c r="G88">
        <v>21443700</v>
      </c>
      <c r="H88" s="5">
        <f t="shared" si="1"/>
        <v>1.5263846452118555E-2</v>
      </c>
    </row>
    <row r="89" spans="1:8">
      <c r="A89" s="1">
        <v>42961</v>
      </c>
      <c r="B89">
        <v>73.059997999999993</v>
      </c>
      <c r="C89">
        <v>73.720000999999996</v>
      </c>
      <c r="D89">
        <v>72.949996999999996</v>
      </c>
      <c r="E89">
        <v>73.589995999999999</v>
      </c>
      <c r="F89">
        <v>72.493674999999996</v>
      </c>
      <c r="G89">
        <v>20067300</v>
      </c>
      <c r="H89" s="5">
        <f t="shared" si="1"/>
        <v>1.5034476238657895E-2</v>
      </c>
    </row>
    <row r="90" spans="1:8">
      <c r="A90" s="1">
        <v>42962</v>
      </c>
      <c r="B90">
        <v>73.589995999999999</v>
      </c>
      <c r="C90">
        <v>73.589995999999999</v>
      </c>
      <c r="D90">
        <v>73.040001000000004</v>
      </c>
      <c r="E90">
        <v>73.220000999999996</v>
      </c>
      <c r="F90">
        <v>72.513489000000007</v>
      </c>
      <c r="G90">
        <v>19181400</v>
      </c>
      <c r="H90" s="5">
        <f t="shared" si="1"/>
        <v>2.7332039657267863E-4</v>
      </c>
    </row>
    <row r="91" spans="1:8">
      <c r="A91" s="1">
        <v>42963</v>
      </c>
      <c r="B91">
        <v>73.339995999999999</v>
      </c>
      <c r="C91">
        <v>74.099997999999999</v>
      </c>
      <c r="D91">
        <v>73.169998000000007</v>
      </c>
      <c r="E91">
        <v>73.650002000000001</v>
      </c>
      <c r="F91">
        <v>72.939346</v>
      </c>
      <c r="G91">
        <v>18150400</v>
      </c>
      <c r="H91" s="5">
        <f t="shared" si="1"/>
        <v>5.8727969909156278E-3</v>
      </c>
    </row>
    <row r="92" spans="1:8">
      <c r="A92" s="1">
        <v>42964</v>
      </c>
      <c r="B92">
        <v>73.580001999999993</v>
      </c>
      <c r="C92">
        <v>73.870002999999997</v>
      </c>
      <c r="D92">
        <v>72.400002000000001</v>
      </c>
      <c r="E92">
        <v>72.400002000000001</v>
      </c>
      <c r="F92">
        <v>71.701401000000004</v>
      </c>
      <c r="G92">
        <v>22977500</v>
      </c>
      <c r="H92" s="5">
        <f t="shared" si="1"/>
        <v>-1.6972252534317982E-2</v>
      </c>
    </row>
    <row r="93" spans="1:8">
      <c r="A93" s="1">
        <v>42965</v>
      </c>
      <c r="B93">
        <v>72.269997000000004</v>
      </c>
      <c r="C93">
        <v>72.839995999999999</v>
      </c>
      <c r="D93">
        <v>71.930000000000007</v>
      </c>
      <c r="E93">
        <v>72.489998</v>
      </c>
      <c r="F93">
        <v>71.790526999999997</v>
      </c>
      <c r="G93">
        <v>18761500</v>
      </c>
      <c r="H93" s="5">
        <f t="shared" si="1"/>
        <v>1.2430161580802746E-3</v>
      </c>
    </row>
    <row r="94" spans="1:8">
      <c r="A94" s="1">
        <v>42968</v>
      </c>
      <c r="B94">
        <v>72.470000999999996</v>
      </c>
      <c r="C94">
        <v>72.480002999999996</v>
      </c>
      <c r="D94">
        <v>71.699996999999996</v>
      </c>
      <c r="E94">
        <v>72.150002000000001</v>
      </c>
      <c r="F94">
        <v>71.453811999999999</v>
      </c>
      <c r="G94">
        <v>17734800</v>
      </c>
      <c r="H94" s="5">
        <f t="shared" si="1"/>
        <v>-4.6902427669878802E-3</v>
      </c>
    </row>
    <row r="95" spans="1:8">
      <c r="A95" s="1">
        <v>42969</v>
      </c>
      <c r="B95">
        <v>72.349997999999999</v>
      </c>
      <c r="C95">
        <v>73.239998</v>
      </c>
      <c r="D95">
        <v>72.349997999999999</v>
      </c>
      <c r="E95">
        <v>73.160004000000001</v>
      </c>
      <c r="F95">
        <v>72.454070999999999</v>
      </c>
      <c r="G95">
        <v>14343700</v>
      </c>
      <c r="H95" s="5">
        <f t="shared" si="1"/>
        <v>1.3998679314687925E-2</v>
      </c>
    </row>
    <row r="96" spans="1:8">
      <c r="A96" s="1">
        <v>42970</v>
      </c>
      <c r="B96">
        <v>72.959998999999996</v>
      </c>
      <c r="C96">
        <v>73.150002000000001</v>
      </c>
      <c r="D96">
        <v>72.529999000000004</v>
      </c>
      <c r="E96">
        <v>72.720000999999996</v>
      </c>
      <c r="F96">
        <v>72.018317999999994</v>
      </c>
      <c r="G96">
        <v>13766500</v>
      </c>
      <c r="H96" s="5">
        <f t="shared" si="1"/>
        <v>-6.0141962209411997E-3</v>
      </c>
    </row>
    <row r="97" spans="1:8">
      <c r="A97" s="1">
        <v>42971</v>
      </c>
      <c r="B97">
        <v>72.739998</v>
      </c>
      <c r="C97">
        <v>72.860000999999997</v>
      </c>
      <c r="D97">
        <v>72.069999999999993</v>
      </c>
      <c r="E97">
        <v>72.690002000000007</v>
      </c>
      <c r="F97">
        <v>71.988602</v>
      </c>
      <c r="G97">
        <v>17098300</v>
      </c>
      <c r="H97" s="5">
        <f t="shared" si="1"/>
        <v>-4.1261724551791692E-4</v>
      </c>
    </row>
    <row r="98" spans="1:8">
      <c r="A98" s="1">
        <v>42972</v>
      </c>
      <c r="B98">
        <v>72.860000999999997</v>
      </c>
      <c r="C98">
        <v>73.349997999999999</v>
      </c>
      <c r="D98">
        <v>72.480002999999996</v>
      </c>
      <c r="E98">
        <v>72.819999999999993</v>
      </c>
      <c r="F98">
        <v>72.117348000000007</v>
      </c>
      <c r="G98">
        <v>12794300</v>
      </c>
      <c r="H98" s="5">
        <f t="shared" si="1"/>
        <v>1.7884220060282138E-3</v>
      </c>
    </row>
    <row r="99" spans="1:8">
      <c r="A99" s="1">
        <v>42975</v>
      </c>
      <c r="B99">
        <v>73.059997999999993</v>
      </c>
      <c r="C99">
        <v>73.089995999999999</v>
      </c>
      <c r="D99">
        <v>72.550003000000004</v>
      </c>
      <c r="E99">
        <v>72.830001999999993</v>
      </c>
      <c r="F99">
        <v>72.127257999999998</v>
      </c>
      <c r="G99">
        <v>14569700</v>
      </c>
      <c r="H99" s="5">
        <f t="shared" si="1"/>
        <v>1.3741492546274383E-4</v>
      </c>
    </row>
    <row r="100" spans="1:8">
      <c r="A100" s="1">
        <v>42976</v>
      </c>
      <c r="B100">
        <v>72.25</v>
      </c>
      <c r="C100">
        <v>73.160004000000001</v>
      </c>
      <c r="D100">
        <v>72.050003000000004</v>
      </c>
      <c r="E100">
        <v>73.050003000000004</v>
      </c>
      <c r="F100">
        <v>72.345139000000003</v>
      </c>
      <c r="G100">
        <v>11478400</v>
      </c>
      <c r="H100" s="5">
        <f t="shared" si="1"/>
        <v>3.0207858449298815E-3</v>
      </c>
    </row>
    <row r="101" spans="1:8">
      <c r="A101" s="1">
        <v>42977</v>
      </c>
      <c r="B101">
        <v>73.010002</v>
      </c>
      <c r="C101">
        <v>74.209998999999996</v>
      </c>
      <c r="D101">
        <v>72.830001999999993</v>
      </c>
      <c r="E101">
        <v>74.010002</v>
      </c>
      <c r="F101">
        <v>73.295867999999999</v>
      </c>
      <c r="G101">
        <v>16897800</v>
      </c>
      <c r="H101" s="5">
        <f t="shared" si="1"/>
        <v>1.3141574031670537E-2</v>
      </c>
    </row>
    <row r="102" spans="1:8">
      <c r="A102" s="1">
        <v>42978</v>
      </c>
      <c r="B102">
        <v>74.029999000000004</v>
      </c>
      <c r="C102">
        <v>74.959998999999996</v>
      </c>
      <c r="D102">
        <v>73.800003000000004</v>
      </c>
      <c r="E102">
        <v>74.769997000000004</v>
      </c>
      <c r="F102">
        <v>74.048530999999997</v>
      </c>
      <c r="G102">
        <v>27652800</v>
      </c>
      <c r="H102" s="5">
        <f t="shared" si="1"/>
        <v>1.0268832616867275E-2</v>
      </c>
    </row>
    <row r="103" spans="1:8">
      <c r="A103" s="1">
        <v>42979</v>
      </c>
      <c r="B103">
        <v>74.709998999999996</v>
      </c>
      <c r="C103">
        <v>74.739998</v>
      </c>
      <c r="D103">
        <v>73.639999000000003</v>
      </c>
      <c r="E103">
        <v>73.940002000000007</v>
      </c>
      <c r="F103">
        <v>73.226546999999997</v>
      </c>
      <c r="G103">
        <v>21736200</v>
      </c>
      <c r="H103" s="5">
        <f t="shared" si="1"/>
        <v>-1.110061184063193E-2</v>
      </c>
    </row>
    <row r="104" spans="1:8">
      <c r="A104" s="1">
        <v>42983</v>
      </c>
      <c r="B104">
        <v>73.339995999999999</v>
      </c>
      <c r="C104">
        <v>73.889999000000003</v>
      </c>
      <c r="D104">
        <v>72.980002999999996</v>
      </c>
      <c r="E104">
        <v>73.610000999999997</v>
      </c>
      <c r="F104">
        <v>72.899726999999999</v>
      </c>
      <c r="G104">
        <v>21556000</v>
      </c>
      <c r="H104" s="5">
        <f t="shared" si="1"/>
        <v>-4.4631354800875409E-3</v>
      </c>
    </row>
    <row r="105" spans="1:8">
      <c r="A105" s="1">
        <v>42984</v>
      </c>
      <c r="B105">
        <v>73.739998</v>
      </c>
      <c r="C105">
        <v>74.040001000000004</v>
      </c>
      <c r="D105">
        <v>73.349997999999999</v>
      </c>
      <c r="E105">
        <v>73.400002000000001</v>
      </c>
      <c r="F105">
        <v>72.691749999999999</v>
      </c>
      <c r="G105">
        <v>16535800</v>
      </c>
      <c r="H105" s="5">
        <f t="shared" si="1"/>
        <v>-2.8529187770483643E-3</v>
      </c>
    </row>
    <row r="106" spans="1:8">
      <c r="A106" s="1">
        <v>42985</v>
      </c>
      <c r="B106">
        <v>73.680000000000007</v>
      </c>
      <c r="C106">
        <v>74.599997999999999</v>
      </c>
      <c r="D106">
        <v>73.599997999999999</v>
      </c>
      <c r="E106">
        <v>74.339995999999999</v>
      </c>
      <c r="F106">
        <v>73.622681</v>
      </c>
      <c r="G106">
        <v>17471200</v>
      </c>
      <c r="H106" s="5">
        <f t="shared" si="1"/>
        <v>1.2806556452417243E-2</v>
      </c>
    </row>
    <row r="107" spans="1:8">
      <c r="A107" s="1">
        <v>42986</v>
      </c>
      <c r="B107">
        <v>74.330001999999993</v>
      </c>
      <c r="C107">
        <v>74.440002000000007</v>
      </c>
      <c r="D107">
        <v>73.839995999999999</v>
      </c>
      <c r="E107">
        <v>73.980002999999996</v>
      </c>
      <c r="F107">
        <v>73.266159000000002</v>
      </c>
      <c r="G107">
        <v>14703800</v>
      </c>
      <c r="H107" s="5">
        <f t="shared" si="1"/>
        <v>-4.8425566029033666E-3</v>
      </c>
    </row>
    <row r="108" spans="1:8">
      <c r="A108" s="1">
        <v>42989</v>
      </c>
      <c r="B108">
        <v>74.309997999999993</v>
      </c>
      <c r="C108">
        <v>74.940002000000007</v>
      </c>
      <c r="D108">
        <v>74.309997999999993</v>
      </c>
      <c r="E108">
        <v>74.760002</v>
      </c>
      <c r="F108">
        <v>74.038634999999999</v>
      </c>
      <c r="G108">
        <v>17910400</v>
      </c>
      <c r="H108" s="5">
        <f t="shared" si="1"/>
        <v>1.0543421554281254E-2</v>
      </c>
    </row>
    <row r="109" spans="1:8">
      <c r="A109" s="1">
        <v>42990</v>
      </c>
      <c r="B109">
        <v>74.760002</v>
      </c>
      <c r="C109">
        <v>75.239998</v>
      </c>
      <c r="D109">
        <v>74.370002999999997</v>
      </c>
      <c r="E109">
        <v>74.680000000000007</v>
      </c>
      <c r="F109">
        <v>73.959404000000006</v>
      </c>
      <c r="G109">
        <v>14394900</v>
      </c>
      <c r="H109" s="5">
        <f t="shared" si="1"/>
        <v>-1.0701304798500532E-3</v>
      </c>
    </row>
    <row r="110" spans="1:8">
      <c r="A110" s="1">
        <v>42991</v>
      </c>
      <c r="B110">
        <v>74.930000000000007</v>
      </c>
      <c r="C110">
        <v>75.230002999999996</v>
      </c>
      <c r="D110">
        <v>74.550003000000004</v>
      </c>
      <c r="E110">
        <v>75.209998999999996</v>
      </c>
      <c r="F110">
        <v>74.484290999999999</v>
      </c>
      <c r="G110">
        <v>13380800</v>
      </c>
      <c r="H110" s="5">
        <f t="shared" si="1"/>
        <v>7.0969609219673066E-3</v>
      </c>
    </row>
    <row r="111" spans="1:8">
      <c r="A111" s="1">
        <v>42992</v>
      </c>
      <c r="B111">
        <v>75</v>
      </c>
      <c r="C111">
        <v>75.489998</v>
      </c>
      <c r="D111">
        <v>74.519997000000004</v>
      </c>
      <c r="E111">
        <v>74.769997000000004</v>
      </c>
      <c r="F111">
        <v>74.048530999999997</v>
      </c>
      <c r="G111">
        <v>15733900</v>
      </c>
      <c r="H111" s="5">
        <f t="shared" si="1"/>
        <v>-5.8503611184269975E-3</v>
      </c>
    </row>
    <row r="112" spans="1:8">
      <c r="A112" s="1">
        <v>42993</v>
      </c>
      <c r="B112">
        <v>74.830001999999993</v>
      </c>
      <c r="C112">
        <v>75.389999000000003</v>
      </c>
      <c r="D112">
        <v>74.069999999999993</v>
      </c>
      <c r="E112">
        <v>75.309997999999993</v>
      </c>
      <c r="F112">
        <v>74.583320999999998</v>
      </c>
      <c r="G112">
        <v>38578400</v>
      </c>
      <c r="H112" s="5">
        <f t="shared" si="1"/>
        <v>7.2221554266890323E-3</v>
      </c>
    </row>
    <row r="113" spans="1:8">
      <c r="A113" s="1">
        <v>42996</v>
      </c>
      <c r="B113">
        <v>75.230002999999996</v>
      </c>
      <c r="C113">
        <v>75.970000999999996</v>
      </c>
      <c r="D113">
        <v>75.040001000000004</v>
      </c>
      <c r="E113">
        <v>75.160004000000001</v>
      </c>
      <c r="F113">
        <v>74.434775999999999</v>
      </c>
      <c r="G113">
        <v>23307000</v>
      </c>
      <c r="H113" s="5">
        <f t="shared" si="1"/>
        <v>-1.9916651338172326E-3</v>
      </c>
    </row>
    <row r="114" spans="1:8">
      <c r="A114" s="1">
        <v>42997</v>
      </c>
      <c r="B114">
        <v>75.209998999999996</v>
      </c>
      <c r="C114">
        <v>75.709998999999996</v>
      </c>
      <c r="D114">
        <v>75.010002</v>
      </c>
      <c r="E114">
        <v>75.440002000000007</v>
      </c>
      <c r="F114">
        <v>74.712067000000005</v>
      </c>
      <c r="G114">
        <v>16093300</v>
      </c>
      <c r="H114" s="5">
        <f t="shared" si="1"/>
        <v>3.7252882980396865E-3</v>
      </c>
    </row>
    <row r="115" spans="1:8">
      <c r="A115" s="1">
        <v>42998</v>
      </c>
      <c r="B115">
        <v>75.349997999999999</v>
      </c>
      <c r="C115">
        <v>75.550003000000004</v>
      </c>
      <c r="D115">
        <v>74.309997999999993</v>
      </c>
      <c r="E115">
        <v>74.940002000000007</v>
      </c>
      <c r="F115">
        <v>74.216896000000006</v>
      </c>
      <c r="G115">
        <v>21587900</v>
      </c>
      <c r="H115" s="5">
        <f t="shared" si="1"/>
        <v>-6.6277245414719833E-3</v>
      </c>
    </row>
    <row r="116" spans="1:8">
      <c r="A116" s="1">
        <v>42999</v>
      </c>
      <c r="B116">
        <v>75.110000999999997</v>
      </c>
      <c r="C116">
        <v>75.239998</v>
      </c>
      <c r="D116">
        <v>74.110000999999997</v>
      </c>
      <c r="E116">
        <v>74.209998999999996</v>
      </c>
      <c r="F116">
        <v>73.493934999999993</v>
      </c>
      <c r="G116">
        <v>19186100</v>
      </c>
      <c r="H116" s="5">
        <f t="shared" si="1"/>
        <v>-9.7411915475421138E-3</v>
      </c>
    </row>
    <row r="117" spans="1:8">
      <c r="A117" s="1">
        <v>43000</v>
      </c>
      <c r="B117">
        <v>73.989998</v>
      </c>
      <c r="C117">
        <v>74.510002</v>
      </c>
      <c r="D117">
        <v>73.849997999999999</v>
      </c>
      <c r="E117">
        <v>74.410004000000001</v>
      </c>
      <c r="F117">
        <v>73.692008999999999</v>
      </c>
      <c r="G117">
        <v>14111400</v>
      </c>
      <c r="H117" s="5">
        <f t="shared" si="1"/>
        <v>2.6951067458832545E-3</v>
      </c>
    </row>
    <row r="118" spans="1:8">
      <c r="A118" s="1">
        <v>43003</v>
      </c>
      <c r="B118">
        <v>74.089995999999999</v>
      </c>
      <c r="C118">
        <v>74.25</v>
      </c>
      <c r="D118">
        <v>72.919998000000007</v>
      </c>
      <c r="E118">
        <v>73.260002</v>
      </c>
      <c r="F118">
        <v>72.553107999999995</v>
      </c>
      <c r="G118">
        <v>24149200</v>
      </c>
      <c r="H118" s="5">
        <f t="shared" si="1"/>
        <v>-1.5454877882349553E-2</v>
      </c>
    </row>
    <row r="119" spans="1:8">
      <c r="A119" s="1">
        <v>43004</v>
      </c>
      <c r="B119">
        <v>73.669998000000007</v>
      </c>
      <c r="C119">
        <v>73.809997999999993</v>
      </c>
      <c r="D119">
        <v>72.989998</v>
      </c>
      <c r="E119">
        <v>73.260002</v>
      </c>
      <c r="F119">
        <v>72.553107999999995</v>
      </c>
      <c r="G119">
        <v>18019600</v>
      </c>
      <c r="H119" s="5">
        <f t="shared" si="1"/>
        <v>0</v>
      </c>
    </row>
    <row r="120" spans="1:8">
      <c r="A120" s="1">
        <v>43005</v>
      </c>
      <c r="B120">
        <v>73.550003000000004</v>
      </c>
      <c r="C120">
        <v>74.169998000000007</v>
      </c>
      <c r="D120">
        <v>73.169998000000007</v>
      </c>
      <c r="E120">
        <v>73.849997999999999</v>
      </c>
      <c r="F120">
        <v>73.137412999999995</v>
      </c>
      <c r="G120">
        <v>19565100</v>
      </c>
      <c r="H120" s="5">
        <f t="shared" si="1"/>
        <v>8.0534799418930554E-3</v>
      </c>
    </row>
    <row r="121" spans="1:8">
      <c r="A121" s="1">
        <v>43006</v>
      </c>
      <c r="B121">
        <v>73.540001000000004</v>
      </c>
      <c r="C121">
        <v>73.970000999999996</v>
      </c>
      <c r="D121">
        <v>73.309997999999993</v>
      </c>
      <c r="E121">
        <v>73.870002999999997</v>
      </c>
      <c r="F121">
        <v>73.157218999999998</v>
      </c>
      <c r="G121">
        <v>10883800</v>
      </c>
      <c r="H121" s="5">
        <f t="shared" si="1"/>
        <v>2.7080531273375306E-4</v>
      </c>
    </row>
    <row r="122" spans="1:8">
      <c r="A122" s="1">
        <v>43007</v>
      </c>
      <c r="B122">
        <v>73.940002000000007</v>
      </c>
      <c r="C122">
        <v>74.540001000000004</v>
      </c>
      <c r="D122">
        <v>73.879997000000003</v>
      </c>
      <c r="E122">
        <v>74.489998</v>
      </c>
      <c r="F122">
        <v>73.771232999999995</v>
      </c>
      <c r="G122">
        <v>17079100</v>
      </c>
      <c r="H122" s="5">
        <f t="shared" si="1"/>
        <v>8.3930746465362138E-3</v>
      </c>
    </row>
    <row r="123" spans="1:8">
      <c r="A123" s="1">
        <v>43010</v>
      </c>
      <c r="B123">
        <v>74.709998999999996</v>
      </c>
      <c r="C123">
        <v>75.010002</v>
      </c>
      <c r="D123">
        <v>74.300003000000004</v>
      </c>
      <c r="E123">
        <v>74.610000999999997</v>
      </c>
      <c r="F123">
        <v>73.890075999999993</v>
      </c>
      <c r="G123">
        <v>15304800</v>
      </c>
      <c r="H123" s="5">
        <f t="shared" si="1"/>
        <v>1.6109667029694118E-3</v>
      </c>
    </row>
    <row r="124" spans="1:8">
      <c r="A124" s="1">
        <v>43011</v>
      </c>
      <c r="B124">
        <v>74.669998000000007</v>
      </c>
      <c r="C124">
        <v>74.879997000000003</v>
      </c>
      <c r="D124">
        <v>74.190002000000007</v>
      </c>
      <c r="E124">
        <v>74.260002</v>
      </c>
      <c r="F124">
        <v>73.543457000000004</v>
      </c>
      <c r="G124">
        <v>12190400</v>
      </c>
      <c r="H124" s="5">
        <f t="shared" si="1"/>
        <v>-4.6910088440021338E-3</v>
      </c>
    </row>
    <row r="125" spans="1:8">
      <c r="A125" s="1">
        <v>43012</v>
      </c>
      <c r="B125">
        <v>74.089995999999999</v>
      </c>
      <c r="C125">
        <v>74.720000999999996</v>
      </c>
      <c r="D125">
        <v>73.709998999999996</v>
      </c>
      <c r="E125">
        <v>74.690002000000007</v>
      </c>
      <c r="F125">
        <v>73.969307000000001</v>
      </c>
      <c r="G125">
        <v>13317700</v>
      </c>
      <c r="H125" s="5">
        <f t="shared" si="1"/>
        <v>5.7904539352834194E-3</v>
      </c>
    </row>
    <row r="126" spans="1:8">
      <c r="A126" s="1">
        <v>43013</v>
      </c>
      <c r="B126">
        <v>75.220000999999996</v>
      </c>
      <c r="C126">
        <v>76.120002999999997</v>
      </c>
      <c r="D126">
        <v>74.959998999999996</v>
      </c>
      <c r="E126">
        <v>75.970000999999996</v>
      </c>
      <c r="F126">
        <v>75.236953999999997</v>
      </c>
      <c r="G126">
        <v>21195300</v>
      </c>
      <c r="H126" s="5">
        <f t="shared" si="1"/>
        <v>1.7137472979164136E-2</v>
      </c>
    </row>
    <row r="127" spans="1:8">
      <c r="A127" s="1">
        <v>43014</v>
      </c>
      <c r="B127">
        <v>75.669998000000007</v>
      </c>
      <c r="C127">
        <v>76.029999000000004</v>
      </c>
      <c r="D127">
        <v>75.540001000000004</v>
      </c>
      <c r="E127">
        <v>76</v>
      </c>
      <c r="F127">
        <v>75.266662999999994</v>
      </c>
      <c r="G127">
        <v>13959800</v>
      </c>
      <c r="H127" s="5">
        <f t="shared" si="1"/>
        <v>3.9487244526136553E-4</v>
      </c>
    </row>
    <row r="128" spans="1:8">
      <c r="A128" s="1">
        <v>43017</v>
      </c>
      <c r="B128">
        <v>75.970000999999996</v>
      </c>
      <c r="C128">
        <v>76.550003000000004</v>
      </c>
      <c r="D128">
        <v>75.860000999999997</v>
      </c>
      <c r="E128">
        <v>76.290001000000004</v>
      </c>
      <c r="F128">
        <v>75.553864000000004</v>
      </c>
      <c r="G128">
        <v>11386500</v>
      </c>
      <c r="H128" s="5">
        <f t="shared" si="1"/>
        <v>3.8157796367298798E-3</v>
      </c>
    </row>
    <row r="129" spans="1:8">
      <c r="A129" s="1">
        <v>43018</v>
      </c>
      <c r="B129">
        <v>76.330001999999993</v>
      </c>
      <c r="C129">
        <v>76.629997000000003</v>
      </c>
      <c r="D129">
        <v>76.139999000000003</v>
      </c>
      <c r="E129">
        <v>76.290001000000004</v>
      </c>
      <c r="F129">
        <v>75.553864000000004</v>
      </c>
      <c r="G129">
        <v>13944500</v>
      </c>
      <c r="H129" s="5">
        <f t="shared" si="1"/>
        <v>0</v>
      </c>
    </row>
    <row r="130" spans="1:8">
      <c r="A130" s="1">
        <v>43019</v>
      </c>
      <c r="B130">
        <v>76.360000999999997</v>
      </c>
      <c r="C130">
        <v>76.459998999999996</v>
      </c>
      <c r="D130">
        <v>75.949996999999996</v>
      </c>
      <c r="E130">
        <v>76.419998000000007</v>
      </c>
      <c r="F130">
        <v>75.682609999999997</v>
      </c>
      <c r="G130">
        <v>15388900</v>
      </c>
      <c r="H130" s="5">
        <f t="shared" si="1"/>
        <v>1.7040293266800024E-3</v>
      </c>
    </row>
    <row r="131" spans="1:8">
      <c r="A131" s="1">
        <v>43020</v>
      </c>
      <c r="B131">
        <v>76.489998</v>
      </c>
      <c r="C131">
        <v>77.290001000000004</v>
      </c>
      <c r="D131">
        <v>76.370002999999997</v>
      </c>
      <c r="E131">
        <v>77.120002999999997</v>
      </c>
      <c r="F131">
        <v>76.375861999999998</v>
      </c>
      <c r="G131">
        <v>16876500</v>
      </c>
      <c r="H131" s="5">
        <f t="shared" si="1"/>
        <v>9.1599906504281643E-3</v>
      </c>
    </row>
    <row r="132" spans="1:8">
      <c r="A132" s="1">
        <v>43021</v>
      </c>
      <c r="B132">
        <v>77.589995999999999</v>
      </c>
      <c r="C132">
        <v>77.870002999999997</v>
      </c>
      <c r="D132">
        <v>77.290001000000004</v>
      </c>
      <c r="E132">
        <v>77.489998</v>
      </c>
      <c r="F132">
        <v>76.742278999999996</v>
      </c>
      <c r="G132">
        <v>15335700</v>
      </c>
      <c r="H132" s="5">
        <f t="shared" ref="H132:H195" si="2">(F132-F131)/F131</f>
        <v>4.7975497808456606E-3</v>
      </c>
    </row>
    <row r="133" spans="1:8">
      <c r="A133" s="1">
        <v>43024</v>
      </c>
      <c r="B133">
        <v>77.419998000000007</v>
      </c>
      <c r="C133">
        <v>77.809997999999993</v>
      </c>
      <c r="D133">
        <v>77.349997999999999</v>
      </c>
      <c r="E133">
        <v>77.650002000000001</v>
      </c>
      <c r="F133">
        <v>76.900749000000005</v>
      </c>
      <c r="G133">
        <v>12380100</v>
      </c>
      <c r="H133" s="5">
        <f t="shared" si="2"/>
        <v>2.0649634343020791E-3</v>
      </c>
    </row>
    <row r="134" spans="1:8">
      <c r="A134" s="1">
        <v>43025</v>
      </c>
      <c r="B134">
        <v>77.470000999999996</v>
      </c>
      <c r="C134">
        <v>77.620002999999997</v>
      </c>
      <c r="D134">
        <v>77.25</v>
      </c>
      <c r="E134">
        <v>77.589995999999999</v>
      </c>
      <c r="F134">
        <v>76.841316000000006</v>
      </c>
      <c r="G134">
        <v>16824000</v>
      </c>
      <c r="H134" s="5">
        <f t="shared" si="2"/>
        <v>-7.728533307263172E-4</v>
      </c>
    </row>
    <row r="135" spans="1:8">
      <c r="A135" s="1">
        <v>43026</v>
      </c>
      <c r="B135">
        <v>77.669998000000007</v>
      </c>
      <c r="C135">
        <v>77.849997999999999</v>
      </c>
      <c r="D135">
        <v>77.370002999999997</v>
      </c>
      <c r="E135">
        <v>77.610000999999997</v>
      </c>
      <c r="F135">
        <v>76.861130000000003</v>
      </c>
      <c r="G135">
        <v>13300700</v>
      </c>
      <c r="H135" s="5">
        <f t="shared" si="2"/>
        <v>2.5785607315726691E-4</v>
      </c>
    </row>
    <row r="136" spans="1:8">
      <c r="A136" s="1">
        <v>43027</v>
      </c>
      <c r="B136">
        <v>77.569999999999993</v>
      </c>
      <c r="C136">
        <v>77.930000000000007</v>
      </c>
      <c r="D136">
        <v>77.349997999999999</v>
      </c>
      <c r="E136">
        <v>77.910004000000001</v>
      </c>
      <c r="F136">
        <v>77.158233999999993</v>
      </c>
      <c r="G136">
        <v>15092800</v>
      </c>
      <c r="H136" s="5">
        <f t="shared" si="2"/>
        <v>3.8654648975365085E-3</v>
      </c>
    </row>
    <row r="137" spans="1:8">
      <c r="A137" s="1">
        <v>43028</v>
      </c>
      <c r="B137">
        <v>78.319999999999993</v>
      </c>
      <c r="C137">
        <v>78.970000999999996</v>
      </c>
      <c r="D137">
        <v>78.220000999999996</v>
      </c>
      <c r="E137">
        <v>78.809997999999993</v>
      </c>
      <c r="F137">
        <v>78.049544999999995</v>
      </c>
      <c r="G137">
        <v>22866400</v>
      </c>
      <c r="H137" s="5">
        <f t="shared" si="2"/>
        <v>1.1551728879642344E-2</v>
      </c>
    </row>
    <row r="138" spans="1:8">
      <c r="A138" s="1">
        <v>43031</v>
      </c>
      <c r="B138">
        <v>78.989998</v>
      </c>
      <c r="C138">
        <v>79.339995999999999</v>
      </c>
      <c r="D138">
        <v>78.760002</v>
      </c>
      <c r="E138">
        <v>78.830001999999993</v>
      </c>
      <c r="F138">
        <v>78.069359000000006</v>
      </c>
      <c r="G138">
        <v>20627200</v>
      </c>
      <c r="H138" s="5">
        <f t="shared" si="2"/>
        <v>2.5386438831912319E-4</v>
      </c>
    </row>
    <row r="139" spans="1:8">
      <c r="A139" s="1">
        <v>43032</v>
      </c>
      <c r="B139">
        <v>78.900002000000001</v>
      </c>
      <c r="C139">
        <v>79.199996999999996</v>
      </c>
      <c r="D139">
        <v>78.459998999999996</v>
      </c>
      <c r="E139">
        <v>78.860000999999997</v>
      </c>
      <c r="F139">
        <v>78.099068000000003</v>
      </c>
      <c r="G139">
        <v>17517200</v>
      </c>
      <c r="H139" s="5">
        <f t="shared" si="2"/>
        <v>3.80546226849344E-4</v>
      </c>
    </row>
    <row r="140" spans="1:8">
      <c r="A140" s="1">
        <v>43033</v>
      </c>
      <c r="B140">
        <v>78.580001999999993</v>
      </c>
      <c r="C140">
        <v>79.099997999999999</v>
      </c>
      <c r="D140">
        <v>78.010002</v>
      </c>
      <c r="E140">
        <v>78.629997000000003</v>
      </c>
      <c r="F140">
        <v>77.871284000000003</v>
      </c>
      <c r="G140">
        <v>20410800</v>
      </c>
      <c r="H140" s="5">
        <f t="shared" si="2"/>
        <v>-2.9166033069690377E-3</v>
      </c>
    </row>
    <row r="141" spans="1:8">
      <c r="A141" s="1">
        <v>43034</v>
      </c>
      <c r="B141">
        <v>79.199996999999996</v>
      </c>
      <c r="C141">
        <v>79.419998000000007</v>
      </c>
      <c r="D141">
        <v>78.75</v>
      </c>
      <c r="E141">
        <v>78.760002</v>
      </c>
      <c r="F141">
        <v>78.000038000000004</v>
      </c>
      <c r="G141">
        <v>32120700</v>
      </c>
      <c r="H141" s="5">
        <f t="shared" si="2"/>
        <v>1.6534207911609714E-3</v>
      </c>
    </row>
    <row r="142" spans="1:8">
      <c r="A142" s="1">
        <v>43035</v>
      </c>
      <c r="B142">
        <v>84.370002999999997</v>
      </c>
      <c r="C142">
        <v>86.199996999999996</v>
      </c>
      <c r="D142">
        <v>83.610000999999997</v>
      </c>
      <c r="E142">
        <v>83.809997999999993</v>
      </c>
      <c r="F142">
        <v>83.001305000000002</v>
      </c>
      <c r="G142">
        <v>71066700</v>
      </c>
      <c r="H142" s="5">
        <f t="shared" si="2"/>
        <v>6.4118776454955034E-2</v>
      </c>
    </row>
    <row r="143" spans="1:8">
      <c r="A143" s="1">
        <v>43038</v>
      </c>
      <c r="B143">
        <v>83.699996999999996</v>
      </c>
      <c r="C143">
        <v>84.330001999999993</v>
      </c>
      <c r="D143">
        <v>83.110000999999997</v>
      </c>
      <c r="E143">
        <v>83.889999000000003</v>
      </c>
      <c r="F143">
        <v>83.080535999999995</v>
      </c>
      <c r="G143">
        <v>31756700</v>
      </c>
      <c r="H143" s="5">
        <f t="shared" si="2"/>
        <v>9.5457535276093487E-4</v>
      </c>
    </row>
    <row r="144" spans="1:8">
      <c r="A144" s="1">
        <v>43039</v>
      </c>
      <c r="B144">
        <v>84.360000999999997</v>
      </c>
      <c r="C144">
        <v>84.360000999999997</v>
      </c>
      <c r="D144">
        <v>83.110000999999997</v>
      </c>
      <c r="E144">
        <v>83.18</v>
      </c>
      <c r="F144">
        <v>82.377387999999996</v>
      </c>
      <c r="G144">
        <v>27086600</v>
      </c>
      <c r="H144" s="5">
        <f t="shared" si="2"/>
        <v>-8.4634504524621606E-3</v>
      </c>
    </row>
    <row r="145" spans="1:8">
      <c r="A145" s="1">
        <v>43040</v>
      </c>
      <c r="B145">
        <v>83.68</v>
      </c>
      <c r="C145">
        <v>83.760002</v>
      </c>
      <c r="D145">
        <v>82.879997000000003</v>
      </c>
      <c r="E145">
        <v>83.18</v>
      </c>
      <c r="F145">
        <v>82.377387999999996</v>
      </c>
      <c r="G145">
        <v>22307400</v>
      </c>
      <c r="H145" s="5">
        <f t="shared" si="2"/>
        <v>0</v>
      </c>
    </row>
    <row r="146" spans="1:8">
      <c r="A146" s="1">
        <v>43041</v>
      </c>
      <c r="B146">
        <v>83.349997999999999</v>
      </c>
      <c r="C146">
        <v>84.459998999999996</v>
      </c>
      <c r="D146">
        <v>83.120002999999997</v>
      </c>
      <c r="E146">
        <v>84.050003000000004</v>
      </c>
      <c r="F146">
        <v>83.238990999999999</v>
      </c>
      <c r="G146">
        <v>23992900</v>
      </c>
      <c r="H146" s="5">
        <f t="shared" si="2"/>
        <v>1.0459217279382571E-2</v>
      </c>
    </row>
    <row r="147" spans="1:8">
      <c r="A147" s="1">
        <v>43042</v>
      </c>
      <c r="B147">
        <v>84.080001999999993</v>
      </c>
      <c r="C147">
        <v>84.540001000000004</v>
      </c>
      <c r="D147">
        <v>83.400002000000001</v>
      </c>
      <c r="E147">
        <v>84.139999000000003</v>
      </c>
      <c r="F147">
        <v>83.328117000000006</v>
      </c>
      <c r="G147">
        <v>17633500</v>
      </c>
      <c r="H147" s="5">
        <f t="shared" si="2"/>
        <v>1.0707241754048576E-3</v>
      </c>
    </row>
    <row r="148" spans="1:8">
      <c r="A148" s="1">
        <v>43045</v>
      </c>
      <c r="B148">
        <v>84.199996999999996</v>
      </c>
      <c r="C148">
        <v>84.699996999999996</v>
      </c>
      <c r="D148">
        <v>84.080001999999993</v>
      </c>
      <c r="E148">
        <v>84.470000999999996</v>
      </c>
      <c r="F148">
        <v>83.654938000000001</v>
      </c>
      <c r="G148">
        <v>19860900</v>
      </c>
      <c r="H148" s="5">
        <f t="shared" si="2"/>
        <v>3.9220975076155306E-3</v>
      </c>
    </row>
    <row r="149" spans="1:8">
      <c r="A149" s="1">
        <v>43046</v>
      </c>
      <c r="B149">
        <v>84.769997000000004</v>
      </c>
      <c r="C149">
        <v>84.900002000000001</v>
      </c>
      <c r="D149">
        <v>83.93</v>
      </c>
      <c r="E149">
        <v>84.269997000000004</v>
      </c>
      <c r="F149">
        <v>83.456862999999998</v>
      </c>
      <c r="G149">
        <v>17939700</v>
      </c>
      <c r="H149" s="5">
        <f t="shared" si="2"/>
        <v>-2.3677621995249446E-3</v>
      </c>
    </row>
    <row r="150" spans="1:8">
      <c r="A150" s="1">
        <v>43047</v>
      </c>
      <c r="B150">
        <v>84.139999000000003</v>
      </c>
      <c r="C150">
        <v>84.610000999999997</v>
      </c>
      <c r="D150">
        <v>83.830001999999993</v>
      </c>
      <c r="E150">
        <v>84.559997999999993</v>
      </c>
      <c r="F150">
        <v>83.744063999999995</v>
      </c>
      <c r="G150">
        <v>18034200</v>
      </c>
      <c r="H150" s="5">
        <f t="shared" si="2"/>
        <v>3.4413107523583297E-3</v>
      </c>
    </row>
    <row r="151" spans="1:8">
      <c r="A151" s="1">
        <v>43048</v>
      </c>
      <c r="B151">
        <v>84.110000999999997</v>
      </c>
      <c r="C151">
        <v>84.269997000000004</v>
      </c>
      <c r="D151">
        <v>82.900002000000001</v>
      </c>
      <c r="E151">
        <v>84.089995999999999</v>
      </c>
      <c r="F151">
        <v>83.278603000000004</v>
      </c>
      <c r="G151">
        <v>21178400</v>
      </c>
      <c r="H151" s="5">
        <f t="shared" si="2"/>
        <v>-5.5581372310757526E-3</v>
      </c>
    </row>
    <row r="152" spans="1:8">
      <c r="A152" s="1">
        <v>43049</v>
      </c>
      <c r="B152">
        <v>83.790001000000004</v>
      </c>
      <c r="C152">
        <v>84.099997999999999</v>
      </c>
      <c r="D152">
        <v>83.230002999999996</v>
      </c>
      <c r="E152">
        <v>83.870002999999997</v>
      </c>
      <c r="F152">
        <v>83.060730000000007</v>
      </c>
      <c r="G152">
        <v>19397800</v>
      </c>
      <c r="H152" s="5">
        <f t="shared" si="2"/>
        <v>-2.6161942221821048E-3</v>
      </c>
    </row>
    <row r="153" spans="1:8">
      <c r="A153" s="1">
        <v>43052</v>
      </c>
      <c r="B153">
        <v>83.660004000000001</v>
      </c>
      <c r="C153">
        <v>83.940002000000007</v>
      </c>
      <c r="D153">
        <v>83.459998999999996</v>
      </c>
      <c r="E153">
        <v>83.93</v>
      </c>
      <c r="F153">
        <v>83.120140000000006</v>
      </c>
      <c r="G153">
        <v>14196900</v>
      </c>
      <c r="H153" s="5">
        <f t="shared" si="2"/>
        <v>7.1525978642373764E-4</v>
      </c>
    </row>
    <row r="154" spans="1:8">
      <c r="A154" s="1">
        <v>43053</v>
      </c>
      <c r="B154">
        <v>83.5</v>
      </c>
      <c r="C154">
        <v>84.099997999999999</v>
      </c>
      <c r="D154">
        <v>82.980002999999996</v>
      </c>
      <c r="E154">
        <v>84.050003000000004</v>
      </c>
      <c r="F154">
        <v>83.238990999999999</v>
      </c>
      <c r="G154">
        <v>18801300</v>
      </c>
      <c r="H154" s="5">
        <f t="shared" si="2"/>
        <v>1.4298700651850713E-3</v>
      </c>
    </row>
    <row r="155" spans="1:8">
      <c r="A155" s="1">
        <v>43054</v>
      </c>
      <c r="B155">
        <v>83.470000999999996</v>
      </c>
      <c r="C155">
        <v>83.690002000000007</v>
      </c>
      <c r="D155">
        <v>82.690002000000007</v>
      </c>
      <c r="E155">
        <v>82.980002999999996</v>
      </c>
      <c r="F155">
        <v>82.592033000000001</v>
      </c>
      <c r="G155">
        <v>19383100</v>
      </c>
      <c r="H155" s="5">
        <f t="shared" si="2"/>
        <v>-7.772295077435501E-3</v>
      </c>
    </row>
    <row r="156" spans="1:8">
      <c r="A156" s="1">
        <v>43055</v>
      </c>
      <c r="B156">
        <v>83.099997999999999</v>
      </c>
      <c r="C156">
        <v>83.419998000000007</v>
      </c>
      <c r="D156">
        <v>82.940002000000007</v>
      </c>
      <c r="E156">
        <v>83.199996999999996</v>
      </c>
      <c r="F156">
        <v>82.810997</v>
      </c>
      <c r="G156">
        <v>20962800</v>
      </c>
      <c r="H156" s="5">
        <f t="shared" si="2"/>
        <v>2.6511515947306892E-3</v>
      </c>
    </row>
    <row r="157" spans="1:8">
      <c r="A157" s="1">
        <v>43056</v>
      </c>
      <c r="B157">
        <v>83.120002999999997</v>
      </c>
      <c r="C157">
        <v>83.120002999999997</v>
      </c>
      <c r="D157">
        <v>82.239998</v>
      </c>
      <c r="E157">
        <v>82.400002000000001</v>
      </c>
      <c r="F157">
        <v>82.014740000000003</v>
      </c>
      <c r="G157">
        <v>22079000</v>
      </c>
      <c r="H157" s="5">
        <f t="shared" si="2"/>
        <v>-9.6153533811457088E-3</v>
      </c>
    </row>
    <row r="158" spans="1:8">
      <c r="A158" s="1">
        <v>43059</v>
      </c>
      <c r="B158">
        <v>82.400002000000001</v>
      </c>
      <c r="C158">
        <v>82.589995999999999</v>
      </c>
      <c r="D158">
        <v>82.25</v>
      </c>
      <c r="E158">
        <v>82.529999000000004</v>
      </c>
      <c r="F158">
        <v>82.144126999999997</v>
      </c>
      <c r="G158">
        <v>16315000</v>
      </c>
      <c r="H158" s="5">
        <f t="shared" si="2"/>
        <v>1.5776066594857723E-3</v>
      </c>
    </row>
    <row r="159" spans="1:8">
      <c r="A159" s="1">
        <v>43060</v>
      </c>
      <c r="B159">
        <v>82.739998</v>
      </c>
      <c r="C159">
        <v>83.839995999999999</v>
      </c>
      <c r="D159">
        <v>82.739998</v>
      </c>
      <c r="E159">
        <v>83.720000999999996</v>
      </c>
      <c r="F159">
        <v>83.328568000000004</v>
      </c>
      <c r="G159">
        <v>21237500</v>
      </c>
      <c r="H159" s="5">
        <f t="shared" si="2"/>
        <v>1.441905883301927E-2</v>
      </c>
    </row>
    <row r="160" spans="1:8">
      <c r="A160" s="1">
        <v>43061</v>
      </c>
      <c r="B160">
        <v>83.830001999999993</v>
      </c>
      <c r="C160">
        <v>83.900002000000001</v>
      </c>
      <c r="D160">
        <v>83.040001000000004</v>
      </c>
      <c r="E160">
        <v>83.110000999999997</v>
      </c>
      <c r="F160">
        <v>82.721419999999995</v>
      </c>
      <c r="G160">
        <v>20553100</v>
      </c>
      <c r="H160" s="5">
        <f t="shared" si="2"/>
        <v>-7.2861926536408172E-3</v>
      </c>
    </row>
    <row r="161" spans="1:8">
      <c r="A161" s="1">
        <v>43063</v>
      </c>
      <c r="B161">
        <v>83.010002</v>
      </c>
      <c r="C161">
        <v>83.43</v>
      </c>
      <c r="D161">
        <v>82.779999000000004</v>
      </c>
      <c r="E161">
        <v>83.260002</v>
      </c>
      <c r="F161">
        <v>82.870720000000006</v>
      </c>
      <c r="G161">
        <v>7425600</v>
      </c>
      <c r="H161" s="5">
        <f t="shared" si="2"/>
        <v>1.8048529631141592E-3</v>
      </c>
    </row>
    <row r="162" spans="1:8">
      <c r="A162" s="1">
        <v>43066</v>
      </c>
      <c r="B162">
        <v>83.309997999999993</v>
      </c>
      <c r="C162">
        <v>83.980002999999996</v>
      </c>
      <c r="D162">
        <v>83.300003000000004</v>
      </c>
      <c r="E162">
        <v>83.870002999999997</v>
      </c>
      <c r="F162">
        <v>83.477867000000003</v>
      </c>
      <c r="G162">
        <v>18265200</v>
      </c>
      <c r="H162" s="5">
        <f t="shared" si="2"/>
        <v>7.3264356819875299E-3</v>
      </c>
    </row>
    <row r="163" spans="1:8">
      <c r="A163" s="1">
        <v>43067</v>
      </c>
      <c r="B163">
        <v>84.07</v>
      </c>
      <c r="C163">
        <v>85.059997999999993</v>
      </c>
      <c r="D163">
        <v>84.019997000000004</v>
      </c>
      <c r="E163">
        <v>84.879997000000003</v>
      </c>
      <c r="F163">
        <v>84.483138999999994</v>
      </c>
      <c r="G163">
        <v>21926000</v>
      </c>
      <c r="H163" s="5">
        <f t="shared" si="2"/>
        <v>1.2042377652030697E-2</v>
      </c>
    </row>
    <row r="164" spans="1:8">
      <c r="A164" s="1">
        <v>43068</v>
      </c>
      <c r="B164">
        <v>84.709998999999996</v>
      </c>
      <c r="C164">
        <v>84.919998000000007</v>
      </c>
      <c r="D164">
        <v>83.18</v>
      </c>
      <c r="E164">
        <v>83.339995999999999</v>
      </c>
      <c r="F164">
        <v>82.950339999999997</v>
      </c>
      <c r="G164">
        <v>27381100</v>
      </c>
      <c r="H164" s="5">
        <f t="shared" si="2"/>
        <v>-1.8143253412967967E-2</v>
      </c>
    </row>
    <row r="165" spans="1:8">
      <c r="A165" s="1">
        <v>43069</v>
      </c>
      <c r="B165">
        <v>83.510002</v>
      </c>
      <c r="C165">
        <v>84.519997000000004</v>
      </c>
      <c r="D165">
        <v>83.339995999999999</v>
      </c>
      <c r="E165">
        <v>84.169998000000007</v>
      </c>
      <c r="F165">
        <v>83.776459000000003</v>
      </c>
      <c r="G165">
        <v>33054600</v>
      </c>
      <c r="H165" s="5">
        <f t="shared" si="2"/>
        <v>9.9591996850164274E-3</v>
      </c>
    </row>
    <row r="166" spans="1:8">
      <c r="A166" s="1">
        <v>43070</v>
      </c>
      <c r="B166">
        <v>83.599997999999999</v>
      </c>
      <c r="C166">
        <v>84.809997999999993</v>
      </c>
      <c r="D166">
        <v>83.220000999999996</v>
      </c>
      <c r="E166">
        <v>84.260002</v>
      </c>
      <c r="F166">
        <v>83.866043000000005</v>
      </c>
      <c r="G166">
        <v>29532100</v>
      </c>
      <c r="H166" s="5">
        <f t="shared" si="2"/>
        <v>1.0693218723890217E-3</v>
      </c>
    </row>
    <row r="167" spans="1:8">
      <c r="A167" s="1">
        <v>43073</v>
      </c>
      <c r="B167">
        <v>84.419998000000007</v>
      </c>
      <c r="C167">
        <v>84.43</v>
      </c>
      <c r="D167">
        <v>80.699996999999996</v>
      </c>
      <c r="E167">
        <v>81.080001999999993</v>
      </c>
      <c r="F167">
        <v>80.700912000000002</v>
      </c>
      <c r="G167">
        <v>39094900</v>
      </c>
      <c r="H167" s="5">
        <f t="shared" si="2"/>
        <v>-3.7740316423418262E-2</v>
      </c>
    </row>
    <row r="168" spans="1:8">
      <c r="A168" s="1">
        <v>43074</v>
      </c>
      <c r="B168">
        <v>81.339995999999999</v>
      </c>
      <c r="C168">
        <v>82.68</v>
      </c>
      <c r="D168">
        <v>80.980002999999996</v>
      </c>
      <c r="E168">
        <v>81.589995999999999</v>
      </c>
      <c r="F168">
        <v>81.208518999999995</v>
      </c>
      <c r="G168">
        <v>26152300</v>
      </c>
      <c r="H168" s="5">
        <f t="shared" si="2"/>
        <v>6.2899784825231342E-3</v>
      </c>
    </row>
    <row r="169" spans="1:8">
      <c r="A169" s="1">
        <v>43075</v>
      </c>
      <c r="B169">
        <v>81.550003000000004</v>
      </c>
      <c r="C169">
        <v>83.139999000000003</v>
      </c>
      <c r="D169">
        <v>81.430000000000007</v>
      </c>
      <c r="E169">
        <v>82.779999000000004</v>
      </c>
      <c r="F169">
        <v>82.392960000000002</v>
      </c>
      <c r="G169">
        <v>26162100</v>
      </c>
      <c r="H169" s="5">
        <f t="shared" si="2"/>
        <v>1.4585181635931654E-2</v>
      </c>
    </row>
    <row r="170" spans="1:8">
      <c r="A170" s="1">
        <v>43076</v>
      </c>
      <c r="B170">
        <v>82.540001000000004</v>
      </c>
      <c r="C170">
        <v>82.800003000000004</v>
      </c>
      <c r="D170">
        <v>82</v>
      </c>
      <c r="E170">
        <v>82.489998</v>
      </c>
      <c r="F170">
        <v>82.104316999999995</v>
      </c>
      <c r="G170">
        <v>23184500</v>
      </c>
      <c r="H170" s="5">
        <f t="shared" si="2"/>
        <v>-3.5032483357802357E-3</v>
      </c>
    </row>
    <row r="171" spans="1:8">
      <c r="A171" s="1">
        <v>43077</v>
      </c>
      <c r="B171">
        <v>83.629997000000003</v>
      </c>
      <c r="C171">
        <v>84.580001999999993</v>
      </c>
      <c r="D171">
        <v>83.330001999999993</v>
      </c>
      <c r="E171">
        <v>84.160004000000001</v>
      </c>
      <c r="F171">
        <v>83.766509999999997</v>
      </c>
      <c r="G171">
        <v>24489100</v>
      </c>
      <c r="H171" s="5">
        <f t="shared" si="2"/>
        <v>2.0244891629754402E-2</v>
      </c>
    </row>
    <row r="172" spans="1:8">
      <c r="A172" s="1">
        <v>43080</v>
      </c>
      <c r="B172">
        <v>84.290001000000004</v>
      </c>
      <c r="C172">
        <v>85.370002999999997</v>
      </c>
      <c r="D172">
        <v>84.120002999999997</v>
      </c>
      <c r="E172">
        <v>85.230002999999996</v>
      </c>
      <c r="F172">
        <v>84.831512000000004</v>
      </c>
      <c r="G172">
        <v>22857900</v>
      </c>
      <c r="H172" s="5">
        <f t="shared" si="2"/>
        <v>1.2713935437921514E-2</v>
      </c>
    </row>
    <row r="173" spans="1:8">
      <c r="A173" s="1">
        <v>43081</v>
      </c>
      <c r="B173">
        <v>85.309997999999993</v>
      </c>
      <c r="C173">
        <v>86.050003000000004</v>
      </c>
      <c r="D173">
        <v>85.080001999999993</v>
      </c>
      <c r="E173">
        <v>85.580001999999993</v>
      </c>
      <c r="F173">
        <v>85.179871000000006</v>
      </c>
      <c r="G173">
        <v>23924100</v>
      </c>
      <c r="H173" s="5">
        <f t="shared" si="2"/>
        <v>4.1064810916019278E-3</v>
      </c>
    </row>
    <row r="174" spans="1:8">
      <c r="A174" s="1">
        <v>43082</v>
      </c>
      <c r="B174">
        <v>85.739998</v>
      </c>
      <c r="C174">
        <v>86</v>
      </c>
      <c r="D174">
        <v>85.169998000000007</v>
      </c>
      <c r="E174">
        <v>85.349997999999999</v>
      </c>
      <c r="F174">
        <v>84.950942999999995</v>
      </c>
      <c r="G174">
        <v>22062700</v>
      </c>
      <c r="H174" s="5">
        <f t="shared" si="2"/>
        <v>-2.687583314137802E-3</v>
      </c>
    </row>
    <row r="175" spans="1:8">
      <c r="A175" s="1">
        <v>43083</v>
      </c>
      <c r="B175">
        <v>85.43</v>
      </c>
      <c r="C175">
        <v>85.870002999999997</v>
      </c>
      <c r="D175">
        <v>84.529999000000004</v>
      </c>
      <c r="E175">
        <v>84.690002000000007</v>
      </c>
      <c r="F175">
        <v>84.294037000000003</v>
      </c>
      <c r="G175">
        <v>19306000</v>
      </c>
      <c r="H175" s="5">
        <f t="shared" si="2"/>
        <v>-7.7327687816248518E-3</v>
      </c>
    </row>
    <row r="176" spans="1:8">
      <c r="A176" s="1">
        <v>43084</v>
      </c>
      <c r="B176">
        <v>85.260002</v>
      </c>
      <c r="C176">
        <v>87.089995999999999</v>
      </c>
      <c r="D176">
        <v>84.879997000000003</v>
      </c>
      <c r="E176">
        <v>86.849997999999999</v>
      </c>
      <c r="F176">
        <v>86.443932000000004</v>
      </c>
      <c r="G176">
        <v>53936700</v>
      </c>
      <c r="H176" s="5">
        <f t="shared" si="2"/>
        <v>2.5504710374708958E-2</v>
      </c>
    </row>
    <row r="177" spans="1:8">
      <c r="A177" s="1">
        <v>43087</v>
      </c>
      <c r="B177">
        <v>87.120002999999997</v>
      </c>
      <c r="C177">
        <v>87.5</v>
      </c>
      <c r="D177">
        <v>86.230002999999996</v>
      </c>
      <c r="E177">
        <v>86.379997000000003</v>
      </c>
      <c r="F177">
        <v>85.976128000000003</v>
      </c>
      <c r="G177">
        <v>22283800</v>
      </c>
      <c r="H177" s="5">
        <f t="shared" si="2"/>
        <v>-5.4116464762385052E-3</v>
      </c>
    </row>
    <row r="178" spans="1:8">
      <c r="A178" s="1">
        <v>43088</v>
      </c>
      <c r="B178">
        <v>86.349997999999999</v>
      </c>
      <c r="C178">
        <v>86.349997999999999</v>
      </c>
      <c r="D178">
        <v>85.269997000000004</v>
      </c>
      <c r="E178">
        <v>85.830001999999993</v>
      </c>
      <c r="F178">
        <v>85.428702999999999</v>
      </c>
      <c r="G178">
        <v>23524800</v>
      </c>
      <c r="H178" s="5">
        <f t="shared" si="2"/>
        <v>-6.3671743858946988E-3</v>
      </c>
    </row>
    <row r="179" spans="1:8">
      <c r="A179" s="1">
        <v>43089</v>
      </c>
      <c r="B179">
        <v>86.199996999999996</v>
      </c>
      <c r="C179">
        <v>86.300003000000004</v>
      </c>
      <c r="D179">
        <v>84.709998999999996</v>
      </c>
      <c r="E179">
        <v>85.519997000000004</v>
      </c>
      <c r="F179">
        <v>85.120148</v>
      </c>
      <c r="G179">
        <v>23674900</v>
      </c>
      <c r="H179" s="5">
        <f t="shared" si="2"/>
        <v>-3.6118422633666623E-3</v>
      </c>
    </row>
    <row r="180" spans="1:8">
      <c r="A180" s="1">
        <v>43090</v>
      </c>
      <c r="B180">
        <v>86.050003000000004</v>
      </c>
      <c r="C180">
        <v>86.099997999999999</v>
      </c>
      <c r="D180">
        <v>85.400002000000001</v>
      </c>
      <c r="E180">
        <v>85.5</v>
      </c>
      <c r="F180">
        <v>85.100243000000006</v>
      </c>
      <c r="G180">
        <v>17990700</v>
      </c>
      <c r="H180" s="5">
        <f t="shared" si="2"/>
        <v>-2.3384592799338517E-4</v>
      </c>
    </row>
    <row r="181" spans="1:8">
      <c r="A181" s="1">
        <v>43091</v>
      </c>
      <c r="B181">
        <v>85.400002000000001</v>
      </c>
      <c r="C181">
        <v>85.629997000000003</v>
      </c>
      <c r="D181">
        <v>84.919998000000007</v>
      </c>
      <c r="E181">
        <v>85.510002</v>
      </c>
      <c r="F181">
        <v>85.110198999999994</v>
      </c>
      <c r="G181">
        <v>14145800</v>
      </c>
      <c r="H181" s="5">
        <f t="shared" si="2"/>
        <v>1.1699144031807649E-4</v>
      </c>
    </row>
    <row r="182" spans="1:8">
      <c r="A182" s="1">
        <v>43095</v>
      </c>
      <c r="B182">
        <v>85.309997999999993</v>
      </c>
      <c r="C182">
        <v>85.529999000000004</v>
      </c>
      <c r="D182">
        <v>85.029999000000004</v>
      </c>
      <c r="E182">
        <v>85.400002000000001</v>
      </c>
      <c r="F182">
        <v>85.000709999999998</v>
      </c>
      <c r="G182">
        <v>9891200</v>
      </c>
      <c r="H182" s="5">
        <f t="shared" si="2"/>
        <v>-1.2864380683682388E-3</v>
      </c>
    </row>
    <row r="183" spans="1:8">
      <c r="A183" s="1">
        <v>43096</v>
      </c>
      <c r="B183">
        <v>85.650002000000001</v>
      </c>
      <c r="C183">
        <v>85.980002999999996</v>
      </c>
      <c r="D183">
        <v>85.220000999999996</v>
      </c>
      <c r="E183">
        <v>85.709998999999996</v>
      </c>
      <c r="F183">
        <v>85.309264999999996</v>
      </c>
      <c r="G183">
        <v>14678000</v>
      </c>
      <c r="H183" s="5">
        <f t="shared" si="2"/>
        <v>3.6300285021148453E-3</v>
      </c>
    </row>
    <row r="184" spans="1:8">
      <c r="A184" s="1">
        <v>43097</v>
      </c>
      <c r="B184">
        <v>85.900002000000001</v>
      </c>
      <c r="C184">
        <v>85.93</v>
      </c>
      <c r="D184">
        <v>85.550003000000004</v>
      </c>
      <c r="E184">
        <v>85.720000999999996</v>
      </c>
      <c r="F184">
        <v>85.319214000000002</v>
      </c>
      <c r="G184">
        <v>10594300</v>
      </c>
      <c r="H184" s="5">
        <f t="shared" si="2"/>
        <v>1.1662273728423263E-4</v>
      </c>
    </row>
    <row r="185" spans="1:8">
      <c r="A185" s="1">
        <v>43098</v>
      </c>
      <c r="B185">
        <v>85.629997000000003</v>
      </c>
      <c r="C185">
        <v>86.050003000000004</v>
      </c>
      <c r="D185">
        <v>85.5</v>
      </c>
      <c r="E185">
        <v>85.540001000000004</v>
      </c>
      <c r="F185">
        <v>85.140060000000005</v>
      </c>
      <c r="G185">
        <v>18717400</v>
      </c>
      <c r="H185" s="5">
        <f t="shared" si="2"/>
        <v>-2.0998083737620568E-3</v>
      </c>
    </row>
    <row r="186" spans="1:8">
      <c r="A186" s="1">
        <v>43102</v>
      </c>
      <c r="B186">
        <v>86.129997000000003</v>
      </c>
      <c r="C186">
        <v>86.309997999999993</v>
      </c>
      <c r="D186">
        <v>85.5</v>
      </c>
      <c r="E186">
        <v>85.949996999999996</v>
      </c>
      <c r="F186">
        <v>85.548134000000005</v>
      </c>
      <c r="G186">
        <v>22483800</v>
      </c>
      <c r="H186" s="5">
        <f t="shared" si="2"/>
        <v>4.7929728966599168E-3</v>
      </c>
    </row>
    <row r="187" spans="1:8">
      <c r="A187" s="1">
        <v>43103</v>
      </c>
      <c r="B187">
        <v>86.059997999999993</v>
      </c>
      <c r="C187">
        <v>86.510002</v>
      </c>
      <c r="D187">
        <v>85.970000999999996</v>
      </c>
      <c r="E187">
        <v>86.349997999999999</v>
      </c>
      <c r="F187">
        <v>85.946265999999994</v>
      </c>
      <c r="G187">
        <v>26061400</v>
      </c>
      <c r="H187" s="5">
        <f t="shared" si="2"/>
        <v>4.6538946132944252E-3</v>
      </c>
    </row>
    <row r="188" spans="1:8">
      <c r="A188" s="1">
        <v>43104</v>
      </c>
      <c r="B188">
        <v>86.589995999999999</v>
      </c>
      <c r="C188">
        <v>87.660004000000001</v>
      </c>
      <c r="D188">
        <v>86.57</v>
      </c>
      <c r="E188">
        <v>87.110000999999997</v>
      </c>
      <c r="F188">
        <v>86.702720999999997</v>
      </c>
      <c r="G188">
        <v>21912000</v>
      </c>
      <c r="H188" s="5">
        <f t="shared" si="2"/>
        <v>8.8014876643972249E-3</v>
      </c>
    </row>
    <row r="189" spans="1:8">
      <c r="A189" s="1">
        <v>43105</v>
      </c>
      <c r="B189">
        <v>87.660004000000001</v>
      </c>
      <c r="C189">
        <v>88.410004000000001</v>
      </c>
      <c r="D189">
        <v>87.43</v>
      </c>
      <c r="E189">
        <v>88.190002000000007</v>
      </c>
      <c r="F189">
        <v>87.777671999999995</v>
      </c>
      <c r="G189">
        <v>23407100</v>
      </c>
      <c r="H189" s="5">
        <f t="shared" si="2"/>
        <v>1.2398123007004574E-2</v>
      </c>
    </row>
    <row r="190" spans="1:8">
      <c r="A190" s="1">
        <v>43108</v>
      </c>
      <c r="B190">
        <v>88.199996999999996</v>
      </c>
      <c r="C190">
        <v>88.580001999999993</v>
      </c>
      <c r="D190">
        <v>87.599997999999999</v>
      </c>
      <c r="E190">
        <v>88.279999000000004</v>
      </c>
      <c r="F190">
        <v>87.867249000000001</v>
      </c>
      <c r="G190">
        <v>22113000</v>
      </c>
      <c r="H190" s="5">
        <f t="shared" si="2"/>
        <v>1.0204986981200137E-3</v>
      </c>
    </row>
    <row r="191" spans="1:8">
      <c r="A191" s="1">
        <v>43109</v>
      </c>
      <c r="B191">
        <v>88.650002000000001</v>
      </c>
      <c r="C191">
        <v>88.730002999999996</v>
      </c>
      <c r="D191">
        <v>87.860000999999997</v>
      </c>
      <c r="E191">
        <v>88.220000999999996</v>
      </c>
      <c r="F191">
        <v>87.807525999999996</v>
      </c>
      <c r="G191">
        <v>19484300</v>
      </c>
      <c r="H191" s="5">
        <f t="shared" si="2"/>
        <v>-6.7969579882949671E-4</v>
      </c>
    </row>
    <row r="192" spans="1:8">
      <c r="A192" s="1">
        <v>43110</v>
      </c>
      <c r="B192">
        <v>87.860000999999997</v>
      </c>
      <c r="C192">
        <v>88.190002000000007</v>
      </c>
      <c r="D192">
        <v>87.410004000000001</v>
      </c>
      <c r="E192">
        <v>87.82</v>
      </c>
      <c r="F192">
        <v>87.409392999999994</v>
      </c>
      <c r="G192">
        <v>18652200</v>
      </c>
      <c r="H192" s="5">
        <f t="shared" si="2"/>
        <v>-4.5341557624570972E-3</v>
      </c>
    </row>
    <row r="193" spans="1:8">
      <c r="A193" s="1">
        <v>43111</v>
      </c>
      <c r="B193">
        <v>88.129997000000003</v>
      </c>
      <c r="C193">
        <v>88.129997000000003</v>
      </c>
      <c r="D193">
        <v>87.239998</v>
      </c>
      <c r="E193">
        <v>88.080001999999993</v>
      </c>
      <c r="F193">
        <v>87.668182000000002</v>
      </c>
      <c r="G193">
        <v>17808900</v>
      </c>
      <c r="H193" s="5">
        <f t="shared" si="2"/>
        <v>2.9606543543896626E-3</v>
      </c>
    </row>
    <row r="194" spans="1:8">
      <c r="A194" s="1">
        <v>43112</v>
      </c>
      <c r="B194">
        <v>88.669998000000007</v>
      </c>
      <c r="C194">
        <v>89.779999000000004</v>
      </c>
      <c r="D194">
        <v>88.449996999999996</v>
      </c>
      <c r="E194">
        <v>89.599997999999999</v>
      </c>
      <c r="F194">
        <v>89.181076000000004</v>
      </c>
      <c r="G194">
        <v>24271500</v>
      </c>
      <c r="H194" s="5">
        <f t="shared" si="2"/>
        <v>1.7257047716582086E-2</v>
      </c>
    </row>
    <row r="195" spans="1:8">
      <c r="A195" s="1">
        <v>43116</v>
      </c>
      <c r="B195">
        <v>90.099997999999999</v>
      </c>
      <c r="C195">
        <v>90.790001000000004</v>
      </c>
      <c r="D195">
        <v>88.010002</v>
      </c>
      <c r="E195">
        <v>88.349997999999999</v>
      </c>
      <c r="F195">
        <v>87.936920000000001</v>
      </c>
      <c r="G195">
        <v>36599700</v>
      </c>
      <c r="H195" s="5">
        <f t="shared" si="2"/>
        <v>-1.3950896936924194E-2</v>
      </c>
    </row>
    <row r="196" spans="1:8">
      <c r="A196" s="1">
        <v>43117</v>
      </c>
      <c r="B196">
        <v>89.080001999999993</v>
      </c>
      <c r="C196">
        <v>90.279999000000004</v>
      </c>
      <c r="D196">
        <v>88.75</v>
      </c>
      <c r="E196">
        <v>90.139999000000003</v>
      </c>
      <c r="F196">
        <v>89.718552000000003</v>
      </c>
      <c r="G196">
        <v>25621200</v>
      </c>
      <c r="H196" s="5">
        <f t="shared" ref="H196:H252" si="3">(F196-F195)/F195</f>
        <v>2.0260341162733491E-2</v>
      </c>
    </row>
    <row r="197" spans="1:8">
      <c r="A197" s="1">
        <v>43118</v>
      </c>
      <c r="B197">
        <v>89.800003000000004</v>
      </c>
      <c r="C197">
        <v>90.669998000000007</v>
      </c>
      <c r="D197">
        <v>89.660004000000001</v>
      </c>
      <c r="E197">
        <v>90.099997999999999</v>
      </c>
      <c r="F197">
        <v>89.678734000000006</v>
      </c>
      <c r="G197">
        <v>24159700</v>
      </c>
      <c r="H197" s="5">
        <f t="shared" si="3"/>
        <v>-4.438101051831153E-4</v>
      </c>
    </row>
    <row r="198" spans="1:8">
      <c r="A198" s="1">
        <v>43119</v>
      </c>
      <c r="B198">
        <v>90.139999000000003</v>
      </c>
      <c r="C198">
        <v>90.610000999999997</v>
      </c>
      <c r="D198">
        <v>89.660004000000001</v>
      </c>
      <c r="E198">
        <v>90</v>
      </c>
      <c r="F198">
        <v>89.579200999999998</v>
      </c>
      <c r="G198">
        <v>36875000</v>
      </c>
      <c r="H198" s="5">
        <f t="shared" si="3"/>
        <v>-1.1098840891309648E-3</v>
      </c>
    </row>
    <row r="199" spans="1:8">
      <c r="A199" s="1">
        <v>43122</v>
      </c>
      <c r="B199">
        <v>90</v>
      </c>
      <c r="C199">
        <v>91.620002999999997</v>
      </c>
      <c r="D199">
        <v>89.739998</v>
      </c>
      <c r="E199">
        <v>91.610000999999997</v>
      </c>
      <c r="F199">
        <v>91.181679000000003</v>
      </c>
      <c r="G199">
        <v>23601600</v>
      </c>
      <c r="H199" s="5">
        <f t="shared" si="3"/>
        <v>1.7888951699848329E-2</v>
      </c>
    </row>
    <row r="200" spans="1:8">
      <c r="A200" s="1">
        <v>43123</v>
      </c>
      <c r="B200">
        <v>91.900002000000001</v>
      </c>
      <c r="C200">
        <v>92.300003000000004</v>
      </c>
      <c r="D200">
        <v>91.540001000000004</v>
      </c>
      <c r="E200">
        <v>91.900002000000001</v>
      </c>
      <c r="F200">
        <v>91.470321999999996</v>
      </c>
      <c r="G200">
        <v>23412800</v>
      </c>
      <c r="H200" s="5">
        <f t="shared" si="3"/>
        <v>3.1655811031950105E-3</v>
      </c>
    </row>
    <row r="201" spans="1:8">
      <c r="A201" s="1">
        <v>43124</v>
      </c>
      <c r="B201">
        <v>92.550003000000004</v>
      </c>
      <c r="C201">
        <v>93.43</v>
      </c>
      <c r="D201">
        <v>91.580001999999993</v>
      </c>
      <c r="E201">
        <v>91.82</v>
      </c>
      <c r="F201">
        <v>91.390693999999996</v>
      </c>
      <c r="G201">
        <v>33277500</v>
      </c>
      <c r="H201" s="5">
        <f t="shared" si="3"/>
        <v>-8.7053372349557914E-4</v>
      </c>
    </row>
    <row r="202" spans="1:8">
      <c r="A202" s="1">
        <v>43125</v>
      </c>
      <c r="B202">
        <v>92.470000999999996</v>
      </c>
      <c r="C202">
        <v>93.239998</v>
      </c>
      <c r="D202">
        <v>91.93</v>
      </c>
      <c r="E202">
        <v>92.330001999999993</v>
      </c>
      <c r="F202">
        <v>91.898314999999997</v>
      </c>
      <c r="G202">
        <v>26383200</v>
      </c>
      <c r="H202" s="5">
        <f t="shared" si="3"/>
        <v>5.5544057910316379E-3</v>
      </c>
    </row>
    <row r="203" spans="1:8">
      <c r="A203" s="1">
        <v>43126</v>
      </c>
      <c r="B203">
        <v>93.120002999999997</v>
      </c>
      <c r="C203">
        <v>94.059997999999993</v>
      </c>
      <c r="D203">
        <v>92.580001999999993</v>
      </c>
      <c r="E203">
        <v>94.059997999999993</v>
      </c>
      <c r="F203">
        <v>93.620215999999999</v>
      </c>
      <c r="G203">
        <v>29172200</v>
      </c>
      <c r="H203" s="5">
        <f t="shared" si="3"/>
        <v>1.8737024721291164E-2</v>
      </c>
    </row>
    <row r="204" spans="1:8">
      <c r="A204" s="1">
        <v>43129</v>
      </c>
      <c r="B204">
        <v>95.139999000000003</v>
      </c>
      <c r="C204">
        <v>95.449996999999996</v>
      </c>
      <c r="D204">
        <v>93.720000999999996</v>
      </c>
      <c r="E204">
        <v>93.919998000000007</v>
      </c>
      <c r="F204">
        <v>93.480873000000003</v>
      </c>
      <c r="G204">
        <v>31569900</v>
      </c>
      <c r="H204" s="5">
        <f t="shared" si="3"/>
        <v>-1.4883857990671231E-3</v>
      </c>
    </row>
    <row r="205" spans="1:8">
      <c r="A205" s="1">
        <v>43130</v>
      </c>
      <c r="B205">
        <v>93.300003000000004</v>
      </c>
      <c r="C205">
        <v>93.660004000000001</v>
      </c>
      <c r="D205">
        <v>92.099997999999999</v>
      </c>
      <c r="E205">
        <v>92.739998</v>
      </c>
      <c r="F205">
        <v>92.306388999999996</v>
      </c>
      <c r="G205">
        <v>38635100</v>
      </c>
      <c r="H205" s="5">
        <f t="shared" si="3"/>
        <v>-1.256389635984686E-2</v>
      </c>
    </row>
    <row r="206" spans="1:8">
      <c r="A206" s="1">
        <v>43131</v>
      </c>
      <c r="B206">
        <v>93.75</v>
      </c>
      <c r="C206">
        <v>95.400002000000001</v>
      </c>
      <c r="D206">
        <v>93.510002</v>
      </c>
      <c r="E206">
        <v>95.010002</v>
      </c>
      <c r="F206">
        <v>94.565781000000001</v>
      </c>
      <c r="G206">
        <v>48756300</v>
      </c>
      <c r="H206" s="5">
        <f t="shared" si="3"/>
        <v>2.44770922628119E-2</v>
      </c>
    </row>
    <row r="207" spans="1:8">
      <c r="A207" s="1">
        <v>43132</v>
      </c>
      <c r="B207">
        <v>94.790001000000004</v>
      </c>
      <c r="C207">
        <v>96.07</v>
      </c>
      <c r="D207">
        <v>93.580001999999993</v>
      </c>
      <c r="E207">
        <v>94.260002</v>
      </c>
      <c r="F207">
        <v>93.819289999999995</v>
      </c>
      <c r="G207">
        <v>47227900</v>
      </c>
      <c r="H207" s="5">
        <f t="shared" si="3"/>
        <v>-7.8938807685626361E-3</v>
      </c>
    </row>
    <row r="208" spans="1:8">
      <c r="A208" s="1">
        <v>43133</v>
      </c>
      <c r="B208">
        <v>93.639999000000003</v>
      </c>
      <c r="C208">
        <v>93.970000999999996</v>
      </c>
      <c r="D208">
        <v>91.5</v>
      </c>
      <c r="E208">
        <v>91.779999000000004</v>
      </c>
      <c r="F208">
        <v>91.350882999999996</v>
      </c>
      <c r="G208">
        <v>47867800</v>
      </c>
      <c r="H208" s="5">
        <f t="shared" si="3"/>
        <v>-2.6310228951849871E-2</v>
      </c>
    </row>
    <row r="209" spans="1:8">
      <c r="A209" s="1">
        <v>43136</v>
      </c>
      <c r="B209">
        <v>90.559997999999993</v>
      </c>
      <c r="C209">
        <v>93.239998</v>
      </c>
      <c r="D209">
        <v>88</v>
      </c>
      <c r="E209">
        <v>88</v>
      </c>
      <c r="F209">
        <v>87.588554000000002</v>
      </c>
      <c r="G209">
        <v>51031500</v>
      </c>
      <c r="H209" s="5">
        <f t="shared" si="3"/>
        <v>-4.1185469438757304E-2</v>
      </c>
    </row>
    <row r="210" spans="1:8">
      <c r="A210" s="1">
        <v>43137</v>
      </c>
      <c r="B210">
        <v>86.889999000000003</v>
      </c>
      <c r="C210">
        <v>91.480002999999996</v>
      </c>
      <c r="D210">
        <v>85.25</v>
      </c>
      <c r="E210">
        <v>91.330001999999993</v>
      </c>
      <c r="F210">
        <v>90.902985000000001</v>
      </c>
      <c r="G210">
        <v>67998600</v>
      </c>
      <c r="H210" s="5">
        <f t="shared" si="3"/>
        <v>3.7840914693031684E-2</v>
      </c>
    </row>
    <row r="211" spans="1:8">
      <c r="A211" s="1">
        <v>43138</v>
      </c>
      <c r="B211">
        <v>90.489998</v>
      </c>
      <c r="C211">
        <v>91.769997000000004</v>
      </c>
      <c r="D211">
        <v>89.199996999999996</v>
      </c>
      <c r="E211">
        <v>89.610000999999997</v>
      </c>
      <c r="F211">
        <v>89.191024999999996</v>
      </c>
      <c r="G211">
        <v>41107600</v>
      </c>
      <c r="H211" s="5">
        <f t="shared" si="3"/>
        <v>-1.8832824906684909E-2</v>
      </c>
    </row>
    <row r="212" spans="1:8">
      <c r="A212" s="1">
        <v>43139</v>
      </c>
      <c r="B212">
        <v>89.709998999999996</v>
      </c>
      <c r="C212">
        <v>89.879997000000003</v>
      </c>
      <c r="D212">
        <v>84.760002</v>
      </c>
      <c r="E212">
        <v>85.010002</v>
      </c>
      <c r="F212">
        <v>84.612533999999997</v>
      </c>
      <c r="G212">
        <v>55628700</v>
      </c>
      <c r="H212" s="5">
        <f t="shared" si="3"/>
        <v>-5.1333539445252478E-2</v>
      </c>
    </row>
    <row r="213" spans="1:8">
      <c r="A213" s="1">
        <v>43140</v>
      </c>
      <c r="B213">
        <v>86.300003000000004</v>
      </c>
      <c r="C213">
        <v>88.93</v>
      </c>
      <c r="D213">
        <v>83.830001999999993</v>
      </c>
      <c r="E213">
        <v>88.18</v>
      </c>
      <c r="F213">
        <v>87.767714999999995</v>
      </c>
      <c r="G213">
        <v>63499100</v>
      </c>
      <c r="H213" s="5">
        <f t="shared" si="3"/>
        <v>3.7289758985353152E-2</v>
      </c>
    </row>
    <row r="214" spans="1:8">
      <c r="A214" s="1">
        <v>43143</v>
      </c>
      <c r="B214">
        <v>88.739998</v>
      </c>
      <c r="C214">
        <v>89.779999000000004</v>
      </c>
      <c r="D214">
        <v>87.93</v>
      </c>
      <c r="E214">
        <v>89.129997000000003</v>
      </c>
      <c r="F214">
        <v>88.713272000000003</v>
      </c>
      <c r="G214">
        <v>35720300</v>
      </c>
      <c r="H214" s="5">
        <f t="shared" si="3"/>
        <v>1.0773403409214972E-2</v>
      </c>
    </row>
    <row r="215" spans="1:8">
      <c r="A215" s="1">
        <v>43144</v>
      </c>
      <c r="B215">
        <v>88.93</v>
      </c>
      <c r="C215">
        <v>90</v>
      </c>
      <c r="D215">
        <v>87.800003000000004</v>
      </c>
      <c r="E215">
        <v>89.830001999999993</v>
      </c>
      <c r="F215">
        <v>89.410004000000001</v>
      </c>
      <c r="G215">
        <v>26407700</v>
      </c>
      <c r="H215" s="5">
        <f t="shared" si="3"/>
        <v>7.8537515784560079E-3</v>
      </c>
    </row>
    <row r="216" spans="1:8">
      <c r="A216" s="1">
        <v>43145</v>
      </c>
      <c r="B216">
        <v>88.510002</v>
      </c>
      <c r="C216">
        <v>90.989998</v>
      </c>
      <c r="D216">
        <v>88.410004000000001</v>
      </c>
      <c r="E216">
        <v>90.809997999999993</v>
      </c>
      <c r="F216">
        <v>90.809997999999993</v>
      </c>
      <c r="G216">
        <v>34960900</v>
      </c>
      <c r="H216" s="5">
        <f t="shared" si="3"/>
        <v>1.5658135973240672E-2</v>
      </c>
    </row>
    <row r="217" spans="1:8">
      <c r="A217" s="1">
        <v>43146</v>
      </c>
      <c r="B217">
        <v>91.209998999999996</v>
      </c>
      <c r="C217">
        <v>92.720000999999996</v>
      </c>
      <c r="D217">
        <v>90.620002999999997</v>
      </c>
      <c r="E217">
        <v>92.660004000000001</v>
      </c>
      <c r="F217">
        <v>92.660004000000001</v>
      </c>
      <c r="G217">
        <v>27823900</v>
      </c>
      <c r="H217" s="5">
        <f t="shared" si="3"/>
        <v>2.0372272224915233E-2</v>
      </c>
    </row>
    <row r="218" spans="1:8">
      <c r="A218" s="1">
        <v>43147</v>
      </c>
      <c r="B218">
        <v>92.449996999999996</v>
      </c>
      <c r="C218">
        <v>93.5</v>
      </c>
      <c r="D218">
        <v>91.800003000000004</v>
      </c>
      <c r="E218">
        <v>92</v>
      </c>
      <c r="F218">
        <v>92</v>
      </c>
      <c r="G218">
        <v>30596900</v>
      </c>
      <c r="H218" s="5">
        <f t="shared" si="3"/>
        <v>-7.1228574520674605E-3</v>
      </c>
    </row>
    <row r="219" spans="1:8">
      <c r="A219" s="1">
        <v>43151</v>
      </c>
      <c r="B219">
        <v>91.480002999999996</v>
      </c>
      <c r="C219">
        <v>93.059997999999993</v>
      </c>
      <c r="D219">
        <v>91.010002</v>
      </c>
      <c r="E219">
        <v>92.720000999999996</v>
      </c>
      <c r="F219">
        <v>92.720000999999996</v>
      </c>
      <c r="G219">
        <v>30911700</v>
      </c>
      <c r="H219" s="5">
        <f t="shared" si="3"/>
        <v>7.8260978260869165E-3</v>
      </c>
    </row>
    <row r="220" spans="1:8">
      <c r="A220" s="1">
        <v>43152</v>
      </c>
      <c r="B220">
        <v>92.980002999999996</v>
      </c>
      <c r="C220">
        <v>93.360000999999997</v>
      </c>
      <c r="D220">
        <v>91.489998</v>
      </c>
      <c r="E220">
        <v>91.489998</v>
      </c>
      <c r="F220">
        <v>91.489998</v>
      </c>
      <c r="G220">
        <v>26922500</v>
      </c>
      <c r="H220" s="5">
        <f t="shared" si="3"/>
        <v>-1.3265778545451013E-2</v>
      </c>
    </row>
    <row r="221" spans="1:8">
      <c r="A221" s="1">
        <v>43153</v>
      </c>
      <c r="B221">
        <v>92.050003000000004</v>
      </c>
      <c r="C221">
        <v>92.730002999999996</v>
      </c>
      <c r="D221">
        <v>91.360000999999997</v>
      </c>
      <c r="E221">
        <v>91.730002999999996</v>
      </c>
      <c r="F221">
        <v>91.730002999999996</v>
      </c>
      <c r="G221">
        <v>24392800</v>
      </c>
      <c r="H221" s="5">
        <f t="shared" si="3"/>
        <v>2.6232922204238816E-3</v>
      </c>
    </row>
    <row r="222" spans="1:8">
      <c r="A222" s="1">
        <v>43154</v>
      </c>
      <c r="B222">
        <v>93.599997999999999</v>
      </c>
      <c r="C222">
        <v>94.07</v>
      </c>
      <c r="D222">
        <v>92.360000999999997</v>
      </c>
      <c r="E222">
        <v>94.059997999999993</v>
      </c>
      <c r="F222">
        <v>94.059997999999993</v>
      </c>
      <c r="G222">
        <v>26329200</v>
      </c>
      <c r="H222" s="5">
        <f t="shared" si="3"/>
        <v>2.5400576951905222E-2</v>
      </c>
    </row>
    <row r="223" spans="1:8">
      <c r="A223" s="1">
        <v>43157</v>
      </c>
      <c r="B223">
        <v>94.400002000000001</v>
      </c>
      <c r="C223">
        <v>95.449996999999996</v>
      </c>
      <c r="D223">
        <v>94.25</v>
      </c>
      <c r="E223">
        <v>95.419998000000007</v>
      </c>
      <c r="F223">
        <v>95.419998000000007</v>
      </c>
      <c r="G223">
        <v>30199800</v>
      </c>
      <c r="H223" s="5">
        <f t="shared" si="3"/>
        <v>1.4458856356769365E-2</v>
      </c>
    </row>
    <row r="224" spans="1:8">
      <c r="A224" s="1">
        <v>43158</v>
      </c>
      <c r="B224">
        <v>95.739998</v>
      </c>
      <c r="C224">
        <v>95.839995999999999</v>
      </c>
      <c r="D224">
        <v>94.199996999999996</v>
      </c>
      <c r="E224">
        <v>94.199996999999996</v>
      </c>
      <c r="F224">
        <v>94.199996999999996</v>
      </c>
      <c r="G224">
        <v>25869100</v>
      </c>
      <c r="H224" s="5">
        <f t="shared" si="3"/>
        <v>-1.2785590291041617E-2</v>
      </c>
    </row>
    <row r="225" spans="1:8">
      <c r="A225" s="1">
        <v>43159</v>
      </c>
      <c r="B225">
        <v>94.839995999999999</v>
      </c>
      <c r="C225">
        <v>95.709998999999996</v>
      </c>
      <c r="D225">
        <v>93.629997000000003</v>
      </c>
      <c r="E225">
        <v>93.769997000000004</v>
      </c>
      <c r="F225">
        <v>93.769997000000004</v>
      </c>
      <c r="G225">
        <v>31167300</v>
      </c>
      <c r="H225" s="5">
        <f t="shared" si="3"/>
        <v>-4.5647559840155047E-3</v>
      </c>
    </row>
    <row r="226" spans="1:8">
      <c r="A226" s="1">
        <v>43160</v>
      </c>
      <c r="B226">
        <v>93.989998</v>
      </c>
      <c r="C226">
        <v>94.57</v>
      </c>
      <c r="D226">
        <v>91.839995999999999</v>
      </c>
      <c r="E226">
        <v>92.849997999999999</v>
      </c>
      <c r="F226">
        <v>92.849997999999999</v>
      </c>
      <c r="G226">
        <v>37135600</v>
      </c>
      <c r="H226" s="5">
        <f t="shared" si="3"/>
        <v>-9.8112299182435102E-3</v>
      </c>
    </row>
    <row r="227" spans="1:8">
      <c r="A227" s="1">
        <v>43161</v>
      </c>
      <c r="B227">
        <v>91.580001999999993</v>
      </c>
      <c r="C227">
        <v>93.150002000000001</v>
      </c>
      <c r="D227">
        <v>90.860000999999997</v>
      </c>
      <c r="E227">
        <v>93.050003000000004</v>
      </c>
      <c r="F227">
        <v>93.050003000000004</v>
      </c>
      <c r="G227">
        <v>32830400</v>
      </c>
      <c r="H227" s="5">
        <f t="shared" si="3"/>
        <v>2.1540657437602146E-3</v>
      </c>
    </row>
    <row r="228" spans="1:8">
      <c r="A228" s="1">
        <v>43164</v>
      </c>
      <c r="B228">
        <v>92.339995999999999</v>
      </c>
      <c r="C228">
        <v>94.269997000000004</v>
      </c>
      <c r="D228">
        <v>92.260002</v>
      </c>
      <c r="E228">
        <v>93.639999000000003</v>
      </c>
      <c r="F228">
        <v>93.639999000000003</v>
      </c>
      <c r="G228">
        <v>23901600</v>
      </c>
      <c r="H228" s="5">
        <f t="shared" si="3"/>
        <v>6.3406338632788573E-3</v>
      </c>
    </row>
    <row r="229" spans="1:8">
      <c r="A229" s="1">
        <v>43165</v>
      </c>
      <c r="B229">
        <v>94.339995999999999</v>
      </c>
      <c r="C229">
        <v>94.489998</v>
      </c>
      <c r="D229">
        <v>92.940002000000007</v>
      </c>
      <c r="E229">
        <v>93.32</v>
      </c>
      <c r="F229">
        <v>93.32</v>
      </c>
      <c r="G229">
        <v>22175800</v>
      </c>
      <c r="H229" s="5">
        <f t="shared" si="3"/>
        <v>-3.4173323731027582E-3</v>
      </c>
    </row>
    <row r="230" spans="1:8">
      <c r="A230" s="1">
        <v>43166</v>
      </c>
      <c r="B230">
        <v>93.160004000000001</v>
      </c>
      <c r="C230">
        <v>93.940002000000007</v>
      </c>
      <c r="D230">
        <v>92.43</v>
      </c>
      <c r="E230">
        <v>93.860000999999997</v>
      </c>
      <c r="F230">
        <v>93.860000999999997</v>
      </c>
      <c r="G230">
        <v>26716100</v>
      </c>
      <c r="H230" s="5">
        <f t="shared" si="3"/>
        <v>5.786551650235788E-3</v>
      </c>
    </row>
    <row r="231" spans="1:8">
      <c r="A231" s="1">
        <v>43167</v>
      </c>
      <c r="B231">
        <v>94.269997000000004</v>
      </c>
      <c r="C231">
        <v>95.099997999999999</v>
      </c>
      <c r="D231">
        <v>93.769997000000004</v>
      </c>
      <c r="E231">
        <v>94.43</v>
      </c>
      <c r="F231">
        <v>94.43</v>
      </c>
      <c r="G231">
        <v>25887800</v>
      </c>
      <c r="H231" s="5">
        <f t="shared" si="3"/>
        <v>6.0728637750601553E-3</v>
      </c>
    </row>
    <row r="232" spans="1:8">
      <c r="A232" s="1">
        <v>43168</v>
      </c>
      <c r="B232">
        <v>95.290001000000004</v>
      </c>
      <c r="C232">
        <v>96.540001000000004</v>
      </c>
      <c r="D232">
        <v>95</v>
      </c>
      <c r="E232">
        <v>96.540001000000004</v>
      </c>
      <c r="F232">
        <v>96.540001000000004</v>
      </c>
      <c r="G232">
        <v>36937300</v>
      </c>
      <c r="H232" s="5">
        <f t="shared" si="3"/>
        <v>2.2344604468918741E-2</v>
      </c>
    </row>
    <row r="233" spans="1:8">
      <c r="A233" s="1">
        <v>43171</v>
      </c>
      <c r="B233">
        <v>96.5</v>
      </c>
      <c r="C233">
        <v>97.209998999999996</v>
      </c>
      <c r="D233">
        <v>96.040001000000004</v>
      </c>
      <c r="E233">
        <v>96.769997000000004</v>
      </c>
      <c r="F233">
        <v>96.769997000000004</v>
      </c>
      <c r="G233">
        <v>26073700</v>
      </c>
      <c r="H233" s="5">
        <f t="shared" si="3"/>
        <v>2.3823906941952471E-3</v>
      </c>
    </row>
    <row r="234" spans="1:8">
      <c r="A234" s="1">
        <v>43172</v>
      </c>
      <c r="B234">
        <v>97</v>
      </c>
      <c r="C234">
        <v>97.239998</v>
      </c>
      <c r="D234">
        <v>93.970000999999996</v>
      </c>
      <c r="E234">
        <v>94.410004000000001</v>
      </c>
      <c r="F234">
        <v>94.410004000000001</v>
      </c>
      <c r="G234">
        <v>35387800</v>
      </c>
      <c r="H234" s="5">
        <f t="shared" si="3"/>
        <v>-2.4387651887599032E-2</v>
      </c>
    </row>
    <row r="235" spans="1:8">
      <c r="A235" s="1">
        <v>43173</v>
      </c>
      <c r="B235">
        <v>95.120002999999997</v>
      </c>
      <c r="C235">
        <v>95.410004000000001</v>
      </c>
      <c r="D235">
        <v>93.5</v>
      </c>
      <c r="E235">
        <v>93.849997999999999</v>
      </c>
      <c r="F235">
        <v>93.849997999999999</v>
      </c>
      <c r="G235">
        <v>32132000</v>
      </c>
      <c r="H235" s="5">
        <f t="shared" si="3"/>
        <v>-5.931638346292214E-3</v>
      </c>
    </row>
    <row r="236" spans="1:8">
      <c r="A236" s="1">
        <v>43174</v>
      </c>
      <c r="B236">
        <v>93.529999000000004</v>
      </c>
      <c r="C236">
        <v>94.580001999999993</v>
      </c>
      <c r="D236">
        <v>92.830001999999993</v>
      </c>
      <c r="E236">
        <v>94.18</v>
      </c>
      <c r="F236">
        <v>94.18</v>
      </c>
      <c r="G236">
        <v>27611000</v>
      </c>
      <c r="H236" s="5">
        <f t="shared" si="3"/>
        <v>3.5162707195796365E-3</v>
      </c>
    </row>
    <row r="237" spans="1:8">
      <c r="A237" s="1">
        <v>43175</v>
      </c>
      <c r="B237">
        <v>94.68</v>
      </c>
      <c r="C237">
        <v>95.379997000000003</v>
      </c>
      <c r="D237">
        <v>93.919998000000007</v>
      </c>
      <c r="E237">
        <v>94.599997999999999</v>
      </c>
      <c r="F237">
        <v>94.599997999999999</v>
      </c>
      <c r="G237">
        <v>49081300</v>
      </c>
      <c r="H237" s="5">
        <f t="shared" si="3"/>
        <v>4.4595243151411392E-3</v>
      </c>
    </row>
    <row r="238" spans="1:8">
      <c r="A238" s="1">
        <v>43178</v>
      </c>
      <c r="B238">
        <v>93.739998</v>
      </c>
      <c r="C238">
        <v>93.900002000000001</v>
      </c>
      <c r="D238">
        <v>92.110000999999997</v>
      </c>
      <c r="E238">
        <v>92.889999000000003</v>
      </c>
      <c r="F238">
        <v>92.889999000000003</v>
      </c>
      <c r="G238">
        <v>33344100</v>
      </c>
      <c r="H238" s="5">
        <f t="shared" si="3"/>
        <v>-1.8076099747909045E-2</v>
      </c>
    </row>
    <row r="239" spans="1:8">
      <c r="A239" s="1">
        <v>43179</v>
      </c>
      <c r="B239">
        <v>93.050003000000004</v>
      </c>
      <c r="C239">
        <v>93.769997000000004</v>
      </c>
      <c r="D239">
        <v>93</v>
      </c>
      <c r="E239">
        <v>93.129997000000003</v>
      </c>
      <c r="F239">
        <v>93.129997000000003</v>
      </c>
      <c r="G239">
        <v>23075200</v>
      </c>
      <c r="H239" s="5">
        <f t="shared" si="3"/>
        <v>2.5836796488715639E-3</v>
      </c>
    </row>
    <row r="240" spans="1:8">
      <c r="A240" s="1">
        <v>43180</v>
      </c>
      <c r="B240">
        <v>92.93</v>
      </c>
      <c r="C240">
        <v>94.050003000000004</v>
      </c>
      <c r="D240">
        <v>92.209998999999996</v>
      </c>
      <c r="E240">
        <v>92.480002999999996</v>
      </c>
      <c r="F240">
        <v>92.480002999999996</v>
      </c>
      <c r="G240">
        <v>24457100</v>
      </c>
      <c r="H240" s="5">
        <f t="shared" si="3"/>
        <v>-6.9794268327959532E-3</v>
      </c>
    </row>
    <row r="241" spans="1:8">
      <c r="A241" s="1">
        <v>43181</v>
      </c>
      <c r="B241">
        <v>91.269997000000004</v>
      </c>
      <c r="C241">
        <v>91.75</v>
      </c>
      <c r="D241">
        <v>89.660004000000001</v>
      </c>
      <c r="E241">
        <v>89.790001000000004</v>
      </c>
      <c r="F241">
        <v>89.790001000000004</v>
      </c>
      <c r="G241">
        <v>38604700</v>
      </c>
      <c r="H241" s="5">
        <f t="shared" si="3"/>
        <v>-2.9087390924933176E-2</v>
      </c>
    </row>
    <row r="242" spans="1:8">
      <c r="A242" s="1">
        <v>43182</v>
      </c>
      <c r="B242">
        <v>89.5</v>
      </c>
      <c r="C242">
        <v>90.459998999999996</v>
      </c>
      <c r="D242">
        <v>87.080001999999993</v>
      </c>
      <c r="E242">
        <v>87.18</v>
      </c>
      <c r="F242">
        <v>87.18</v>
      </c>
      <c r="G242">
        <v>44068900</v>
      </c>
      <c r="H242" s="5">
        <f t="shared" si="3"/>
        <v>-2.9067835738190901E-2</v>
      </c>
    </row>
    <row r="243" spans="1:8">
      <c r="A243" s="1">
        <v>43185</v>
      </c>
      <c r="B243">
        <v>90.610000999999997</v>
      </c>
      <c r="C243">
        <v>94</v>
      </c>
      <c r="D243">
        <v>90.400002000000001</v>
      </c>
      <c r="E243">
        <v>93.779999000000004</v>
      </c>
      <c r="F243">
        <v>93.779999000000004</v>
      </c>
      <c r="G243">
        <v>56396800</v>
      </c>
      <c r="H243" s="5">
        <f t="shared" si="3"/>
        <v>7.5705425556320219E-2</v>
      </c>
    </row>
    <row r="244" spans="1:8">
      <c r="A244" s="1">
        <v>43186</v>
      </c>
      <c r="B244">
        <v>94.940002000000007</v>
      </c>
      <c r="C244">
        <v>95.139999000000003</v>
      </c>
      <c r="D244">
        <v>88.510002</v>
      </c>
      <c r="E244">
        <v>89.470000999999996</v>
      </c>
      <c r="F244">
        <v>89.470000999999996</v>
      </c>
      <c r="G244">
        <v>56569000</v>
      </c>
      <c r="H244" s="5">
        <f t="shared" si="3"/>
        <v>-4.595860573638956E-2</v>
      </c>
    </row>
    <row r="245" spans="1:8">
      <c r="A245" s="1">
        <v>43187</v>
      </c>
      <c r="B245">
        <v>89.82</v>
      </c>
      <c r="C245">
        <v>91.230002999999996</v>
      </c>
      <c r="D245">
        <v>88.870002999999997</v>
      </c>
      <c r="E245">
        <v>89.389999000000003</v>
      </c>
      <c r="F245">
        <v>89.389999000000003</v>
      </c>
      <c r="G245">
        <v>52501100</v>
      </c>
      <c r="H245" s="5">
        <f t="shared" si="3"/>
        <v>-8.9417680905126229E-4</v>
      </c>
    </row>
    <row r="246" spans="1:8">
      <c r="A246" s="1">
        <v>43188</v>
      </c>
      <c r="B246">
        <v>90.18</v>
      </c>
      <c r="C246">
        <v>92.290001000000004</v>
      </c>
      <c r="D246">
        <v>88.400002000000001</v>
      </c>
      <c r="E246">
        <v>91.269997000000004</v>
      </c>
      <c r="F246">
        <v>91.269997000000004</v>
      </c>
      <c r="G246">
        <v>45867500</v>
      </c>
      <c r="H246" s="5">
        <f t="shared" si="3"/>
        <v>2.1031413144998474E-2</v>
      </c>
    </row>
    <row r="247" spans="1:8">
      <c r="A247" s="1">
        <v>43192</v>
      </c>
      <c r="B247">
        <v>90.470000999999996</v>
      </c>
      <c r="C247">
        <v>90.879997000000003</v>
      </c>
      <c r="D247">
        <v>87.510002</v>
      </c>
      <c r="E247">
        <v>88.519997000000004</v>
      </c>
      <c r="F247">
        <v>88.519997000000004</v>
      </c>
      <c r="G247">
        <v>48515400</v>
      </c>
      <c r="H247" s="5">
        <f t="shared" si="3"/>
        <v>-3.0130383372314561E-2</v>
      </c>
    </row>
    <row r="248" spans="1:8">
      <c r="A248" s="1">
        <v>43193</v>
      </c>
      <c r="B248">
        <v>89.580001999999993</v>
      </c>
      <c r="C248">
        <v>90.050003000000004</v>
      </c>
      <c r="D248">
        <v>87.889999000000003</v>
      </c>
      <c r="E248">
        <v>89.709998999999996</v>
      </c>
      <c r="F248">
        <v>89.709998999999996</v>
      </c>
      <c r="G248">
        <v>37213800</v>
      </c>
      <c r="H248" s="5">
        <f t="shared" si="3"/>
        <v>1.3443312701422624E-2</v>
      </c>
    </row>
    <row r="249" spans="1:8">
      <c r="A249" s="1">
        <v>43194</v>
      </c>
      <c r="B249">
        <v>87.849997999999999</v>
      </c>
      <c r="C249">
        <v>92.760002</v>
      </c>
      <c r="D249">
        <v>87.730002999999996</v>
      </c>
      <c r="E249">
        <v>92.330001999999993</v>
      </c>
      <c r="F249">
        <v>92.330001999999993</v>
      </c>
      <c r="G249">
        <v>35560000</v>
      </c>
      <c r="H249" s="5">
        <f t="shared" si="3"/>
        <v>2.920525057635991E-2</v>
      </c>
    </row>
    <row r="250" spans="1:8">
      <c r="A250" s="1">
        <v>43195</v>
      </c>
      <c r="B250">
        <v>92.440002000000007</v>
      </c>
      <c r="C250">
        <v>93.07</v>
      </c>
      <c r="D250">
        <v>91.400002000000001</v>
      </c>
      <c r="E250">
        <v>92.379997000000003</v>
      </c>
      <c r="F250">
        <v>92.379997000000003</v>
      </c>
      <c r="G250">
        <v>29771900</v>
      </c>
      <c r="H250" s="5">
        <f t="shared" si="3"/>
        <v>5.4148163020737057E-4</v>
      </c>
    </row>
    <row r="251" spans="1:8">
      <c r="A251" s="1">
        <v>43196</v>
      </c>
      <c r="B251">
        <v>91.489998</v>
      </c>
      <c r="C251">
        <v>92.459998999999996</v>
      </c>
      <c r="D251">
        <v>89.480002999999996</v>
      </c>
      <c r="E251">
        <v>90.230002999999996</v>
      </c>
      <c r="F251">
        <v>90.230002999999996</v>
      </c>
      <c r="G251">
        <v>38026000</v>
      </c>
      <c r="H251" s="5">
        <f t="shared" si="3"/>
        <v>-2.3273371615286007E-2</v>
      </c>
    </row>
    <row r="252" spans="1:8">
      <c r="A252" s="1">
        <v>43199</v>
      </c>
      <c r="B252">
        <v>91.040001000000004</v>
      </c>
      <c r="C252">
        <v>93.169998000000007</v>
      </c>
      <c r="D252">
        <v>90.620002999999997</v>
      </c>
      <c r="E252">
        <v>90.769997000000004</v>
      </c>
      <c r="F252">
        <v>90.769997000000004</v>
      </c>
      <c r="G252">
        <v>31495900</v>
      </c>
      <c r="H252" s="5">
        <f t="shared" si="3"/>
        <v>5.9846390562572323E-3</v>
      </c>
    </row>
  </sheetData>
  <mergeCells count="4">
    <mergeCell ref="M3:N3"/>
    <mergeCell ref="S3:T3"/>
    <mergeCell ref="P3:Q3"/>
    <mergeCell ref="P18:V18"/>
  </mergeCells>
  <pageMargins left="0.7" right="0.7" top="0.75" bottom="0.75" header="0.3" footer="0.3"/>
  <ignoredErrors>
    <ignoredError sqref="Q6:Q8 T5:T8 T12:T13 T9:T11 Q12:Q13 Q9:Q11" calculatedColumn="1"/>
  </ignoredErrors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F1:N15"/>
  <sheetViews>
    <sheetView topLeftCell="F1" zoomScale="106" zoomScaleNormal="106" workbookViewId="0">
      <selection activeCell="G6" sqref="G6:H13"/>
    </sheetView>
  </sheetViews>
  <sheetFormatPr defaultRowHeight="15"/>
  <cols>
    <col min="1" max="7" width="9.140625" style="32"/>
    <col min="8" max="8" width="12.85546875" style="32" bestFit="1" customWidth="1"/>
    <col min="9" max="12" width="9.140625" style="32"/>
    <col min="13" max="13" width="12.85546875" style="32" bestFit="1" customWidth="1"/>
    <col min="14" max="16384" width="9.140625" style="32"/>
  </cols>
  <sheetData>
    <row r="1" spans="6:14">
      <c r="G1" s="96" t="s">
        <v>47</v>
      </c>
      <c r="H1" s="96"/>
      <c r="I1" s="96"/>
      <c r="L1" s="96" t="s">
        <v>48</v>
      </c>
      <c r="M1" s="96"/>
      <c r="N1" s="96"/>
    </row>
    <row r="2" spans="6:14" ht="15.75" thickBot="1">
      <c r="F2" s="37"/>
      <c r="G2" s="93" t="s">
        <v>53</v>
      </c>
      <c r="H2" s="93"/>
      <c r="I2" s="38"/>
      <c r="J2" s="49"/>
      <c r="K2" s="37"/>
      <c r="L2" s="93" t="s">
        <v>53</v>
      </c>
      <c r="M2" s="93"/>
      <c r="N2" s="38"/>
    </row>
    <row r="3" spans="6:14">
      <c r="F3" s="37"/>
      <c r="G3" s="94" t="s">
        <v>54</v>
      </c>
      <c r="H3" s="94"/>
      <c r="I3" s="94"/>
      <c r="J3" s="49"/>
      <c r="K3" s="37"/>
      <c r="L3" s="94" t="s">
        <v>54</v>
      </c>
      <c r="M3" s="94"/>
      <c r="N3" s="94"/>
    </row>
    <row r="4" spans="6:14">
      <c r="F4" s="37"/>
      <c r="G4" s="95" t="s">
        <v>55</v>
      </c>
      <c r="H4" s="95"/>
      <c r="I4" s="95"/>
      <c r="J4" s="49"/>
      <c r="K4" s="37"/>
      <c r="L4" s="95" t="s">
        <v>55</v>
      </c>
      <c r="M4" s="95"/>
      <c r="N4" s="95"/>
    </row>
    <row r="5" spans="6:14">
      <c r="F5" s="37"/>
      <c r="G5" s="41"/>
      <c r="H5" s="43"/>
      <c r="K5" s="37"/>
      <c r="L5" s="41"/>
      <c r="M5" s="43"/>
    </row>
    <row r="6" spans="6:14" ht="15.75" thickBot="1">
      <c r="F6" s="37"/>
      <c r="G6" s="47"/>
      <c r="H6" s="48">
        <f>G9*'MSFT Black_Scholes &amp; Binomial'!$Q$5</f>
        <v>112.78143209678517</v>
      </c>
      <c r="I6" s="49"/>
      <c r="J6" s="49"/>
      <c r="K6" s="50"/>
      <c r="L6" s="47"/>
      <c r="M6" s="48">
        <f>L9*'MSFT Black_Scholes &amp; Binomial'!$Q$5</f>
        <v>112.7814358242756</v>
      </c>
    </row>
    <row r="7" spans="6:14">
      <c r="F7" s="37"/>
      <c r="G7" s="47"/>
      <c r="H7" s="51">
        <f>MAX(0,(H6-'MSFT Black_Scholes &amp; Binomial'!$K$10))</f>
        <v>22.011435096785164</v>
      </c>
      <c r="I7" s="49"/>
      <c r="J7" s="49"/>
      <c r="K7" s="50"/>
      <c r="L7" s="47"/>
      <c r="M7" s="51">
        <f>MAX(0,('MSFT Black_Scholes &amp; Binomial'!$K$10-M6))</f>
        <v>0</v>
      </c>
    </row>
    <row r="8" spans="6:14">
      <c r="F8" s="37"/>
      <c r="G8" s="47"/>
      <c r="H8" s="52"/>
      <c r="I8" s="49"/>
      <c r="J8" s="49"/>
      <c r="K8" s="50"/>
      <c r="L8" s="47"/>
      <c r="M8" s="52"/>
    </row>
    <row r="9" spans="6:14" ht="15.75" thickBot="1">
      <c r="F9" s="37"/>
      <c r="G9" s="53">
        <f>'MSFT Black_Scholes &amp; Binomial'!K9</f>
        <v>90.769997000000004</v>
      </c>
      <c r="H9" s="52"/>
      <c r="I9" s="49"/>
      <c r="J9" s="49"/>
      <c r="K9" s="50"/>
      <c r="L9" s="53">
        <v>90.77</v>
      </c>
      <c r="M9" s="52"/>
    </row>
    <row r="10" spans="6:14">
      <c r="F10" s="37"/>
      <c r="G10" s="54">
        <f>((H7*'MSFT Black_Scholes &amp; Binomial'!$Q$7)+(H13*'MSFT Black_Scholes &amp; Binomial'!$Q$8))/POWER(1.001,1)</f>
        <v>9.8560544780922292</v>
      </c>
      <c r="H10" s="52"/>
      <c r="I10" s="49"/>
      <c r="J10" s="49"/>
      <c r="K10" s="50"/>
      <c r="L10" s="54">
        <f>((M7*'MSFT Black_Scholes &amp; Binomial'!$Q$7)+(M13*'MSFT Black_Scholes &amp; Binomial'!$Q$8))/POWER(1.001,1)</f>
        <v>9.7653284746899818</v>
      </c>
      <c r="M10" s="52"/>
    </row>
    <row r="11" spans="6:14">
      <c r="F11" s="37"/>
      <c r="G11" s="47"/>
      <c r="H11" s="52"/>
      <c r="I11" s="49"/>
      <c r="J11" s="49"/>
      <c r="K11" s="50"/>
      <c r="L11" s="47"/>
      <c r="M11" s="52"/>
    </row>
    <row r="12" spans="6:14" ht="15.75" thickBot="1">
      <c r="F12" s="37"/>
      <c r="G12" s="47"/>
      <c r="H12" s="55">
        <f>G9*'MSFT Black_Scholes &amp; Binomial'!$Q$6</f>
        <v>73.054510855203688</v>
      </c>
      <c r="I12" s="49"/>
      <c r="J12" s="49"/>
      <c r="K12" s="50"/>
      <c r="L12" s="47"/>
      <c r="M12" s="55">
        <f>L9*'MSFT Black_Scholes &amp; Binomial'!$Q$6</f>
        <v>73.054513269696798</v>
      </c>
    </row>
    <row r="13" spans="6:14">
      <c r="F13" s="37"/>
      <c r="G13" s="47"/>
      <c r="H13" s="56">
        <f>MAX(0,(H12-'MSFT Black_Scholes &amp; Binomial'!$K$10))</f>
        <v>0</v>
      </c>
      <c r="I13" s="49"/>
      <c r="J13" s="49"/>
      <c r="K13" s="50"/>
      <c r="L13" s="47"/>
      <c r="M13" s="56">
        <f>MAX(0,('MSFT Black_Scholes &amp; Binomial'!$K$10-M12))</f>
        <v>17.715483730303205</v>
      </c>
    </row>
    <row r="14" spans="6:14" ht="15.75" thickBot="1">
      <c r="F14" s="36"/>
      <c r="G14" s="39"/>
      <c r="H14" s="31"/>
      <c r="K14" s="36"/>
      <c r="L14" s="39"/>
      <c r="M14" s="31"/>
    </row>
    <row r="15" spans="6:14" ht="15.75" thickBot="1">
      <c r="F15" s="36" t="s">
        <v>46</v>
      </c>
      <c r="G15" s="44" t="s">
        <v>45</v>
      </c>
      <c r="H15" s="45" t="s">
        <v>39</v>
      </c>
      <c r="K15" s="36" t="s">
        <v>46</v>
      </c>
      <c r="L15" s="44" t="s">
        <v>45</v>
      </c>
      <c r="M15" s="45" t="s">
        <v>39</v>
      </c>
    </row>
  </sheetData>
  <mergeCells count="8">
    <mergeCell ref="G1:I1"/>
    <mergeCell ref="L1:N1"/>
    <mergeCell ref="G2:H2"/>
    <mergeCell ref="L2:M2"/>
    <mergeCell ref="L3:N3"/>
    <mergeCell ref="G3:I3"/>
    <mergeCell ref="L4:N4"/>
    <mergeCell ref="G4:I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F1:X43"/>
  <sheetViews>
    <sheetView topLeftCell="F25" zoomScale="106" zoomScaleNormal="106" workbookViewId="0">
      <selection activeCell="O10" sqref="O10"/>
    </sheetView>
  </sheetViews>
  <sheetFormatPr defaultRowHeight="15"/>
  <cols>
    <col min="1" max="16384" width="9.140625" style="32"/>
  </cols>
  <sheetData>
    <row r="1" spans="6:24">
      <c r="F1" s="33"/>
      <c r="G1" s="96" t="s">
        <v>47</v>
      </c>
      <c r="H1" s="96"/>
      <c r="I1" s="96"/>
      <c r="J1" s="96"/>
      <c r="K1" s="96"/>
      <c r="L1" s="96"/>
      <c r="M1" s="96"/>
      <c r="P1" s="33"/>
      <c r="Q1" s="96" t="s">
        <v>48</v>
      </c>
      <c r="R1" s="96"/>
      <c r="S1" s="96"/>
      <c r="T1" s="96"/>
      <c r="U1" s="96"/>
      <c r="V1" s="96"/>
      <c r="W1" s="96"/>
    </row>
    <row r="2" spans="6:24" ht="15.75" thickBot="1">
      <c r="F2" s="34"/>
      <c r="G2" s="93" t="s">
        <v>53</v>
      </c>
      <c r="H2" s="93"/>
      <c r="I2" s="38"/>
      <c r="J2" s="38"/>
      <c r="K2" s="38"/>
      <c r="L2" s="38"/>
      <c r="M2" s="38"/>
      <c r="P2" s="34"/>
      <c r="Q2" s="93" t="s">
        <v>53</v>
      </c>
      <c r="R2" s="93"/>
      <c r="S2" s="38"/>
      <c r="T2" s="38"/>
      <c r="U2" s="38"/>
      <c r="V2" s="38"/>
      <c r="W2" s="38"/>
    </row>
    <row r="3" spans="6:24">
      <c r="F3" s="35"/>
      <c r="G3" s="97" t="s">
        <v>54</v>
      </c>
      <c r="H3" s="97"/>
      <c r="I3" s="97"/>
      <c r="J3" s="97"/>
      <c r="K3" s="40"/>
      <c r="L3" s="40"/>
      <c r="M3" s="47"/>
      <c r="N3" s="36"/>
      <c r="P3" s="35"/>
      <c r="Q3" s="97" t="s">
        <v>54</v>
      </c>
      <c r="R3" s="97"/>
      <c r="S3" s="97"/>
      <c r="T3" s="97"/>
      <c r="U3" s="40"/>
      <c r="V3" s="40"/>
      <c r="W3" s="47"/>
      <c r="X3" s="49"/>
    </row>
    <row r="4" spans="6:24" ht="15.75" thickBot="1">
      <c r="F4" s="35"/>
      <c r="G4" s="98" t="s">
        <v>55</v>
      </c>
      <c r="H4" s="98"/>
      <c r="I4" s="98"/>
      <c r="J4" s="98"/>
      <c r="K4" s="40"/>
      <c r="L4" s="42"/>
      <c r="M4" s="53">
        <f>L7*'MSFT Black_Scholes &amp; Binomial'!$T$5</f>
        <v>154.49614654869276</v>
      </c>
      <c r="N4" s="36"/>
      <c r="P4" s="35"/>
      <c r="Q4" s="98" t="s">
        <v>55</v>
      </c>
      <c r="R4" s="98"/>
      <c r="S4" s="98"/>
      <c r="T4" s="98"/>
      <c r="U4" s="40"/>
      <c r="V4" s="58"/>
      <c r="W4" s="48">
        <f>V7*'MSFT Black_Scholes &amp; Binomial'!$T$5</f>
        <v>154.49615165487822</v>
      </c>
      <c r="X4" s="49"/>
    </row>
    <row r="5" spans="6:24">
      <c r="F5" s="35"/>
      <c r="G5" s="57"/>
      <c r="H5" s="58"/>
      <c r="I5" s="57"/>
      <c r="J5" s="58"/>
      <c r="K5" s="40"/>
      <c r="L5" s="42"/>
      <c r="M5" s="65">
        <f>MAX(0,(M4-'MSFT Black_Scholes &amp; Binomial'!$K$10))</f>
        <v>63.72614954869276</v>
      </c>
      <c r="P5" s="35"/>
      <c r="Q5" s="57"/>
      <c r="R5" s="58"/>
      <c r="S5" s="57"/>
      <c r="T5" s="58"/>
      <c r="U5" s="40"/>
      <c r="V5" s="58"/>
      <c r="W5" s="65">
        <f>MAX(0,('MSFT Black_Scholes &amp; Binomial'!$K$10-W3))</f>
        <v>90.769997000000004</v>
      </c>
      <c r="X5" s="49"/>
    </row>
    <row r="6" spans="6:24">
      <c r="F6" s="35"/>
      <c r="G6" s="57"/>
      <c r="H6" s="58"/>
      <c r="I6" s="57"/>
      <c r="J6" s="58"/>
      <c r="K6" s="57"/>
      <c r="L6" s="58"/>
      <c r="M6" s="59"/>
      <c r="N6" s="49"/>
      <c r="O6" s="49"/>
      <c r="P6" s="60"/>
      <c r="Q6" s="57"/>
      <c r="R6" s="58"/>
      <c r="S6" s="57"/>
      <c r="T6" s="58"/>
      <c r="U6" s="57"/>
      <c r="V6" s="58"/>
      <c r="W6" s="59"/>
      <c r="X6" s="49"/>
    </row>
    <row r="7" spans="6:24" ht="15.75" thickBot="1">
      <c r="F7" s="35"/>
      <c r="G7" s="57"/>
      <c r="H7" s="58"/>
      <c r="I7" s="57"/>
      <c r="J7" s="58"/>
      <c r="K7" s="57"/>
      <c r="L7" s="48">
        <f>K10*'MSFT Black_Scholes &amp; Binomial'!$T$5</f>
        <v>141.39099908499878</v>
      </c>
      <c r="M7" s="59"/>
      <c r="N7" s="49"/>
      <c r="O7" s="49"/>
      <c r="P7" s="60"/>
      <c r="Q7" s="57"/>
      <c r="R7" s="58"/>
      <c r="S7" s="57"/>
      <c r="T7" s="58"/>
      <c r="U7" s="57"/>
      <c r="V7" s="48">
        <f>U10*'MSFT Black_Scholes &amp; Binomial'!$T$5</f>
        <v>141.39100375805165</v>
      </c>
      <c r="W7" s="59"/>
      <c r="X7" s="49"/>
    </row>
    <row r="8" spans="6:24">
      <c r="F8" s="35"/>
      <c r="G8" s="57"/>
      <c r="H8" s="58"/>
      <c r="I8" s="61"/>
      <c r="J8" s="58"/>
      <c r="K8" s="57"/>
      <c r="L8" s="51">
        <f>((M5*'MSFT Black_Scholes &amp; Binomial'!$T$7)+(M11*'MSFT Black_Scholes &amp; Binomial'!$T$8))/POWER(1.001,(1/6))</f>
        <v>50.636133374074333</v>
      </c>
      <c r="M8" s="59"/>
      <c r="N8" s="49"/>
      <c r="O8" s="49"/>
      <c r="P8" s="60"/>
      <c r="Q8" s="57"/>
      <c r="R8" s="58"/>
      <c r="S8" s="57"/>
      <c r="T8" s="58"/>
      <c r="U8" s="57"/>
      <c r="V8" s="51">
        <v>0</v>
      </c>
      <c r="W8" s="59"/>
      <c r="X8" s="49"/>
    </row>
    <row r="9" spans="6:24">
      <c r="F9" s="37"/>
      <c r="G9" s="47"/>
      <c r="H9" s="62"/>
      <c r="I9" s="47"/>
      <c r="J9" s="62"/>
      <c r="K9" s="47"/>
      <c r="L9" s="52"/>
      <c r="M9" s="59"/>
      <c r="N9" s="49"/>
      <c r="O9" s="49"/>
      <c r="P9" s="50"/>
      <c r="Q9" s="47"/>
      <c r="R9" s="62"/>
      <c r="S9" s="47"/>
      <c r="T9" s="62"/>
      <c r="U9" s="47"/>
      <c r="V9" s="52"/>
      <c r="W9" s="59"/>
      <c r="X9" s="49"/>
    </row>
    <row r="10" spans="6:24" ht="15.75" thickBot="1">
      <c r="F10" s="37"/>
      <c r="G10" s="47"/>
      <c r="H10" s="62"/>
      <c r="I10" s="47"/>
      <c r="J10" s="62"/>
      <c r="K10" s="63">
        <f>J13*'MSFT Black_Scholes &amp; Binomial'!$T$5</f>
        <v>129.39749675862242</v>
      </c>
      <c r="L10" s="52"/>
      <c r="M10" s="64">
        <f>L7*'MSFT Black_Scholes &amp; Binomial'!$T$6</f>
        <v>129.39749675862242</v>
      </c>
      <c r="N10" s="49"/>
      <c r="O10" s="49"/>
      <c r="P10" s="50"/>
      <c r="Q10" s="47"/>
      <c r="R10" s="62"/>
      <c r="S10" s="47"/>
      <c r="T10" s="62"/>
      <c r="U10" s="63">
        <f>T13*'MSFT Black_Scholes &amp; Binomial'!$T$5</f>
        <v>129.39750103528323</v>
      </c>
      <c r="V10" s="52"/>
      <c r="W10" s="64">
        <f>V7*'MSFT Black_Scholes &amp; Binomial'!$T$6</f>
        <v>129.39750103528323</v>
      </c>
      <c r="X10" s="49"/>
    </row>
    <row r="11" spans="6:24">
      <c r="F11" s="37"/>
      <c r="G11" s="47"/>
      <c r="H11" s="62"/>
      <c r="I11" s="47"/>
      <c r="J11" s="62"/>
      <c r="K11" s="65">
        <f>((L8*'MSFT Black_Scholes &amp; Binomial'!$T$7)+(L14*'MSFT Black_Scholes &amp; Binomial'!$T$8))/POWER(1.001,(1/6))</f>
        <v>38.657757820738738</v>
      </c>
      <c r="L11" s="52"/>
      <c r="M11" s="65">
        <f>MAX(0,(M10-'MSFT Black_Scholes &amp; Binomial'!$K$10))</f>
        <v>38.62749975862242</v>
      </c>
      <c r="N11" s="49"/>
      <c r="O11" s="49"/>
      <c r="P11" s="50"/>
      <c r="Q11" s="47"/>
      <c r="R11" s="62"/>
      <c r="S11" s="47"/>
      <c r="T11" s="62"/>
      <c r="U11" s="65">
        <f>((V8*'MSFT Black_Scholes &amp; Binomial'!$T$7)+(V14*'MSFT Black_Scholes &amp; Binomial'!$T$8))/POWER(1.001,(1/6))</f>
        <v>0</v>
      </c>
      <c r="V11" s="52"/>
      <c r="W11" s="65">
        <f>MAX(0,('MSFT Black_Scholes &amp; Binomial'!$K$10-W10))</f>
        <v>0</v>
      </c>
      <c r="X11" s="49"/>
    </row>
    <row r="12" spans="6:24">
      <c r="F12" s="37"/>
      <c r="G12" s="47"/>
      <c r="H12" s="62"/>
      <c r="I12" s="47"/>
      <c r="J12" s="62"/>
      <c r="K12" s="66"/>
      <c r="L12" s="52"/>
      <c r="M12" s="59"/>
      <c r="N12" s="49"/>
      <c r="O12" s="49"/>
      <c r="P12" s="50"/>
      <c r="Q12" s="47"/>
      <c r="R12" s="62"/>
      <c r="S12" s="47"/>
      <c r="T12" s="62"/>
      <c r="U12" s="66"/>
      <c r="V12" s="52"/>
      <c r="W12" s="59"/>
      <c r="X12" s="49"/>
    </row>
    <row r="13" spans="6:24" ht="15.75" thickBot="1">
      <c r="F13" s="37"/>
      <c r="G13" s="47"/>
      <c r="H13" s="62"/>
      <c r="I13" s="47"/>
      <c r="J13" s="67">
        <f>I16*'MSFT Black_Scholes &amp; Binomial'!$T$5</f>
        <v>118.42134418565095</v>
      </c>
      <c r="K13" s="66"/>
      <c r="L13" s="55">
        <f>K10*'MSFT Black_Scholes &amp; Binomial'!$T$6</f>
        <v>118.42134418565095</v>
      </c>
      <c r="M13" s="59"/>
      <c r="N13" s="49"/>
      <c r="O13" s="49"/>
      <c r="P13" s="50"/>
      <c r="Q13" s="47"/>
      <c r="R13" s="62"/>
      <c r="S13" s="47"/>
      <c r="T13" s="67">
        <f>S16*'MSFT Black_Scholes &amp; Binomial'!$T$5</f>
        <v>118.42134809954368</v>
      </c>
      <c r="U13" s="66"/>
      <c r="V13" s="55">
        <f>U10*'MSFT Black_Scholes &amp; Binomial'!$T$6</f>
        <v>118.42134809954368</v>
      </c>
      <c r="W13" s="59"/>
      <c r="X13" s="49"/>
    </row>
    <row r="14" spans="6:24">
      <c r="F14" s="37"/>
      <c r="G14" s="47"/>
      <c r="H14" s="62"/>
      <c r="I14" s="47"/>
      <c r="J14" s="51">
        <f>((K11*'MSFT Black_Scholes &amp; Binomial'!$T$7)+(K17*'MSFT Black_Scholes &amp; Binomial'!$T$8))/POWER(1.001,(1/6))</f>
        <v>27.696727759360527</v>
      </c>
      <c r="K14" s="66"/>
      <c r="L14" s="51">
        <f>((M11*'MSFT Black_Scholes &amp; Binomial'!$T$7)+(M17*'MSFT Black_Scholes &amp; Binomial'!$T$8))/POWER(1.001,(1/6))</f>
        <v>27.666476561863654</v>
      </c>
      <c r="M14" s="59"/>
      <c r="N14" s="49"/>
      <c r="O14" s="49"/>
      <c r="P14" s="50"/>
      <c r="Q14" s="47"/>
      <c r="R14" s="62"/>
      <c r="S14" s="47"/>
      <c r="T14" s="51">
        <v>0</v>
      </c>
      <c r="U14" s="66"/>
      <c r="V14" s="51">
        <v>0</v>
      </c>
      <c r="W14" s="59"/>
      <c r="X14" s="49"/>
    </row>
    <row r="15" spans="6:24">
      <c r="F15" s="37"/>
      <c r="G15" s="47"/>
      <c r="H15" s="62"/>
      <c r="I15" s="47"/>
      <c r="J15" s="52"/>
      <c r="K15" s="66"/>
      <c r="L15" s="52"/>
      <c r="M15" s="59"/>
      <c r="N15" s="49"/>
      <c r="O15" s="49"/>
      <c r="P15" s="50"/>
      <c r="Q15" s="47"/>
      <c r="R15" s="62"/>
      <c r="S15" s="47"/>
      <c r="T15" s="52"/>
      <c r="U15" s="66"/>
      <c r="V15" s="52"/>
      <c r="W15" s="59"/>
      <c r="X15" s="49"/>
    </row>
    <row r="16" spans="6:24" ht="15.75" thickBot="1">
      <c r="F16" s="37"/>
      <c r="G16" s="47"/>
      <c r="H16" s="62"/>
      <c r="I16" s="63">
        <f>H19*'MSFT Black_Scholes &amp; Binomial'!$T$5</f>
        <v>108.37624459533403</v>
      </c>
      <c r="J16" s="52"/>
      <c r="K16" s="64">
        <f>J13*'MSFT Black_Scholes &amp; Binomial'!$T$6</f>
        <v>108.37624459533403</v>
      </c>
      <c r="L16" s="52"/>
      <c r="M16" s="64">
        <f>L13*'MSFT Black_Scholes &amp; Binomial'!$T$6</f>
        <v>108.37624459533403</v>
      </c>
      <c r="N16" s="49"/>
      <c r="O16" s="49"/>
      <c r="P16" s="50"/>
      <c r="Q16" s="47"/>
      <c r="R16" s="62"/>
      <c r="S16" s="63">
        <f>R19*'MSFT Black_Scholes &amp; Binomial'!$T$5</f>
        <v>108.37624817723051</v>
      </c>
      <c r="T16" s="52"/>
      <c r="U16" s="64">
        <f>T13*'MSFT Black_Scholes &amp; Binomial'!$T$6</f>
        <v>108.37624817723051</v>
      </c>
      <c r="V16" s="52"/>
      <c r="W16" s="64">
        <f>V13*'MSFT Black_Scholes &amp; Binomial'!$T$6</f>
        <v>108.37624817723051</v>
      </c>
      <c r="X16" s="49"/>
    </row>
    <row r="17" spans="6:24">
      <c r="F17" s="37"/>
      <c r="G17" s="47"/>
      <c r="H17" s="62"/>
      <c r="I17" s="65">
        <f>((J14*'MSFT Black_Scholes &amp; Binomial'!$T$7)+(J20*'MSFT Black_Scholes &amp; Binomial'!$T$8))/POWER(1.001,(1/6))</f>
        <v>18.754236109640122</v>
      </c>
      <c r="J17" s="52"/>
      <c r="K17" s="65">
        <f>((L14*'MSFT Black_Scholes &amp; Binomial'!$T$7)+(L20*'MSFT Black_Scholes &amp; Binomial'!$T$8))/POWER(1.001,(1/6))</f>
        <v>17.636502156241974</v>
      </c>
      <c r="L17" s="52"/>
      <c r="M17" s="65">
        <f>MAX(0,(M16-'MSFT Black_Scholes &amp; Binomial'!$K$10))</f>
        <v>17.606247595334025</v>
      </c>
      <c r="N17" s="49"/>
      <c r="O17" s="49"/>
      <c r="P17" s="50"/>
      <c r="Q17" s="47"/>
      <c r="R17" s="62"/>
      <c r="S17" s="65">
        <f>((T14*'MSFT Black_Scholes &amp; Binomial'!$T$7)+(T20*'MSFT Black_Scholes &amp; Binomial'!$T$8))/POWER(1.001,(1/6))</f>
        <v>1.087489279308187</v>
      </c>
      <c r="T17" s="52"/>
      <c r="U17" s="65">
        <f>((V14*'MSFT Black_Scholes &amp; Binomial'!$T$7)+(V20*'MSFT Black_Scholes &amp; Binomial'!$T$8))/POWER(1.001,(1/6))</f>
        <v>0</v>
      </c>
      <c r="V17" s="52"/>
      <c r="W17" s="65">
        <f>MAX(0,('MSFT Black_Scholes &amp; Binomial'!$K$10-W16))</f>
        <v>0</v>
      </c>
      <c r="X17" s="49"/>
    </row>
    <row r="18" spans="6:24">
      <c r="F18" s="37"/>
      <c r="G18" s="47"/>
      <c r="H18" s="62"/>
      <c r="I18" s="66"/>
      <c r="J18" s="52"/>
      <c r="K18" s="66"/>
      <c r="L18" s="52"/>
      <c r="M18" s="59"/>
      <c r="N18" s="49"/>
      <c r="O18" s="49"/>
      <c r="P18" s="50"/>
      <c r="Q18" s="47"/>
      <c r="R18" s="62"/>
      <c r="S18" s="66"/>
      <c r="T18" s="52"/>
      <c r="U18" s="66"/>
      <c r="V18" s="52"/>
      <c r="W18" s="59"/>
      <c r="X18" s="49"/>
    </row>
    <row r="19" spans="6:24" ht="15.75" thickBot="1">
      <c r="F19" s="37"/>
      <c r="G19" s="47"/>
      <c r="H19" s="67">
        <f>G22*'MSFT Black_Scholes &amp; Binomial'!$T$5</f>
        <v>99.183221347109594</v>
      </c>
      <c r="I19" s="66"/>
      <c r="J19" s="68">
        <f>I16*'MSFT Black_Scholes &amp; Binomial'!$T$6</f>
        <v>99.183221347109594</v>
      </c>
      <c r="K19" s="66"/>
      <c r="L19" s="55">
        <f>K16*'MSFT Black_Scholes &amp; Binomial'!$T$6</f>
        <v>99.183221347109594</v>
      </c>
      <c r="M19" s="59"/>
      <c r="N19" s="49"/>
      <c r="O19" s="49"/>
      <c r="P19" s="50"/>
      <c r="Q19" s="47"/>
      <c r="R19" s="67">
        <f>Q22*'MSFT Black_Scholes &amp; Binomial'!$T$5</f>
        <v>99.183224625171434</v>
      </c>
      <c r="S19" s="66"/>
      <c r="T19" s="68">
        <f>S16*'MSFT Black_Scholes &amp; Binomial'!$T$6</f>
        <v>99.183224625171434</v>
      </c>
      <c r="U19" s="66"/>
      <c r="V19" s="55">
        <f>U16*'MSFT Black_Scholes &amp; Binomial'!$T$6</f>
        <v>99.183224625171434</v>
      </c>
      <c r="W19" s="59"/>
      <c r="X19" s="49"/>
    </row>
    <row r="20" spans="6:24">
      <c r="F20" s="37"/>
      <c r="G20" s="47"/>
      <c r="H20" s="51">
        <f>((I17*'MSFT Black_Scholes &amp; Binomial'!$T$7)+(I23*'MSFT Black_Scholes &amp; Binomial'!$T$8))/POWER(1.001,(1/6))</f>
        <v>12.133177881184212</v>
      </c>
      <c r="I20" s="69"/>
      <c r="J20" s="51">
        <f>((K17*'MSFT Black_Scholes &amp; Binomial'!$T$7)+(K23*'MSFT Black_Scholes &amp; Binomial'!$T$8))/POWER(1.001,(1/6))</f>
        <v>10.545432417546113</v>
      </c>
      <c r="K20" s="66"/>
      <c r="L20" s="51">
        <f>((M17*'MSFT Black_Scholes &amp; Binomial'!$T$7)+(M23*'MSFT Black_Scholes &amp; Binomial'!$T$8))/POWER(1.001,(1/6))</f>
        <v>8.4283521212133117</v>
      </c>
      <c r="M20" s="59"/>
      <c r="N20" s="49"/>
      <c r="O20" s="49"/>
      <c r="P20" s="50"/>
      <c r="Q20" s="47"/>
      <c r="R20" s="51">
        <f>((S17*'MSFT Black_Scholes &amp; Binomial'!$T$7)+(S23*'MSFT Black_Scholes &amp; Binomial'!$T$8))/POWER(1.001,(1/6))</f>
        <v>3.6443393194466984</v>
      </c>
      <c r="S20" s="69"/>
      <c r="T20" s="51">
        <f>((U17*'MSFT Black_Scholes &amp; Binomial'!$T$7)+(U23*'MSFT Black_Scholes &amp; Binomial'!$T$8))/POWER(1.001,(1/6))</f>
        <v>2.0868319474704666</v>
      </c>
      <c r="U20" s="66"/>
      <c r="V20" s="51">
        <v>0</v>
      </c>
      <c r="W20" s="59"/>
      <c r="X20" s="49"/>
    </row>
    <row r="21" spans="6:24">
      <c r="F21" s="37"/>
      <c r="G21" s="47"/>
      <c r="H21" s="70"/>
      <c r="I21" s="47"/>
      <c r="J21" s="52"/>
      <c r="K21" s="66"/>
      <c r="L21" s="52"/>
      <c r="M21" s="59"/>
      <c r="N21" s="49"/>
      <c r="O21" s="49"/>
      <c r="P21" s="50"/>
      <c r="Q21" s="47"/>
      <c r="R21" s="70"/>
      <c r="S21" s="47"/>
      <c r="T21" s="52"/>
      <c r="U21" s="66"/>
      <c r="V21" s="52"/>
      <c r="W21" s="59"/>
      <c r="X21" s="49"/>
    </row>
    <row r="22" spans="6:24" ht="15.75" thickBot="1">
      <c r="F22" s="37"/>
      <c r="G22" s="53">
        <f>'MSFT Black_Scholes &amp; Binomial'!K9</f>
        <v>90.769997000000004</v>
      </c>
      <c r="H22" s="70"/>
      <c r="I22" s="53">
        <f>H19*'MSFT Black_Scholes &amp; Binomial'!$T$6</f>
        <v>90.769997000000004</v>
      </c>
      <c r="J22" s="52"/>
      <c r="K22" s="64">
        <f>J19*'MSFT Black_Scholes &amp; Binomial'!$T$6</f>
        <v>90.769997000000004</v>
      </c>
      <c r="L22" s="52"/>
      <c r="M22" s="64">
        <f>L19*'MSFT Black_Scholes &amp; Binomial'!$T$6</f>
        <v>90.769997000000004</v>
      </c>
      <c r="N22" s="49"/>
      <c r="O22" s="49"/>
      <c r="P22" s="50"/>
      <c r="Q22" s="53">
        <v>90.77</v>
      </c>
      <c r="R22" s="70"/>
      <c r="S22" s="53">
        <f>R19*'MSFT Black_Scholes &amp; Binomial'!$T$6</f>
        <v>90.77</v>
      </c>
      <c r="T22" s="52"/>
      <c r="U22" s="64">
        <f>T19*'MSFT Black_Scholes &amp; Binomial'!$T$6</f>
        <v>90.77</v>
      </c>
      <c r="V22" s="52"/>
      <c r="W22" s="64">
        <f>V19*'MSFT Black_Scholes &amp; Binomial'!$T$6</f>
        <v>90.77</v>
      </c>
      <c r="X22" s="49"/>
    </row>
    <row r="23" spans="6:24">
      <c r="F23" s="37"/>
      <c r="G23" s="54">
        <f>((H20*'MSFT Black_Scholes &amp; Binomial'!$T$7)+(H26*'MSFT Black_Scholes &amp; Binomial'!$T$8))/POWER(1.001,(1/6))</f>
        <v>7.56988779715111</v>
      </c>
      <c r="H23" s="70"/>
      <c r="I23" s="65">
        <f>((J20*'MSFT Black_Scholes &amp; Binomial'!$T$7)+(J26*'MSFT Black_Scholes &amp; Binomial'!$T$8))/POWER(1.001,(1/6))</f>
        <v>6.0547851090319771</v>
      </c>
      <c r="J23" s="52"/>
      <c r="K23" s="65">
        <f>((L20*'MSFT Black_Scholes &amp; Binomial'!$T$7)+(L26*'MSFT Black_Scholes &amp; Binomial'!$T$8))/POWER(1.001,(1/6))</f>
        <v>4.0347677206349788</v>
      </c>
      <c r="L23" s="52"/>
      <c r="M23" s="65">
        <f>MAX(0,(M22-'MSFT Black_Scholes &amp; Binomial'!$K$10))</f>
        <v>0</v>
      </c>
      <c r="N23" s="49"/>
      <c r="O23" s="49"/>
      <c r="P23" s="50"/>
      <c r="Q23" s="54">
        <f>((R20*'MSFT Black_Scholes &amp; Binomial'!$T$7)+(R26*'MSFT Black_Scholes &amp; Binomial'!$T$8))/POWER(1.001,(1/6))</f>
        <v>7.4791622201164154</v>
      </c>
      <c r="R23" s="70"/>
      <c r="S23" s="65">
        <f>((T20*'MSFT Black_Scholes &amp; Binomial'!$T$7)+(T26*'MSFT Black_Scholes &amp; Binomial'!$T$8))/POWER(1.001,(1/6))</f>
        <v>5.9942910880864222</v>
      </c>
      <c r="T23" s="52"/>
      <c r="U23" s="65">
        <f>((V20*'MSFT Black_Scholes &amp; Binomial'!$T$7)+(V26*'MSFT Black_Scholes &amp; Binomial'!$T$8))/POWER(1.001,(1/6))</f>
        <v>4.0045154098013329</v>
      </c>
      <c r="V23" s="52"/>
      <c r="W23" s="65">
        <f>MAX(0,('MSFT Black_Scholes &amp; Binomial'!$K$10-W22))</f>
        <v>0</v>
      </c>
      <c r="X23" s="49"/>
    </row>
    <row r="24" spans="6:24">
      <c r="F24" s="37"/>
      <c r="G24" s="47"/>
      <c r="H24" s="70"/>
      <c r="I24" s="47"/>
      <c r="J24" s="52"/>
      <c r="K24" s="66"/>
      <c r="L24" s="52"/>
      <c r="M24" s="59"/>
      <c r="N24" s="49"/>
      <c r="O24" s="49"/>
      <c r="P24" s="50"/>
      <c r="Q24" s="47"/>
      <c r="R24" s="70"/>
      <c r="S24" s="47"/>
      <c r="T24" s="52"/>
      <c r="U24" s="66"/>
      <c r="V24" s="52"/>
      <c r="W24" s="59"/>
      <c r="X24" s="49"/>
    </row>
    <row r="25" spans="6:24" ht="15.75" thickBot="1">
      <c r="F25" s="37"/>
      <c r="G25" s="47"/>
      <c r="H25" s="68">
        <f>G22*'MSFT Black_Scholes &amp; Binomial'!$T$6</f>
        <v>83.070425052494201</v>
      </c>
      <c r="I25" s="47"/>
      <c r="J25" s="55">
        <f>I22*'MSFT Black_Scholes &amp; Binomial'!$T$6</f>
        <v>83.070425052494201</v>
      </c>
      <c r="K25" s="66"/>
      <c r="L25" s="55">
        <f>K22*'MSFT Black_Scholes &amp; Binomial'!$T$6</f>
        <v>83.070425052494201</v>
      </c>
      <c r="M25" s="59"/>
      <c r="N25" s="49"/>
      <c r="O25" s="49"/>
      <c r="P25" s="50"/>
      <c r="Q25" s="47"/>
      <c r="R25" s="68">
        <f>Q22*'MSFT Black_Scholes &amp; Binomial'!$T$6</f>
        <v>83.070427798018954</v>
      </c>
      <c r="S25" s="47"/>
      <c r="T25" s="55">
        <f>S22*'MSFT Black_Scholes &amp; Binomial'!$T$6</f>
        <v>83.070427798018954</v>
      </c>
      <c r="U25" s="66"/>
      <c r="V25" s="55">
        <f>U22*'MSFT Black_Scholes &amp; Binomial'!$T$6</f>
        <v>83.070427798018954</v>
      </c>
      <c r="W25" s="59"/>
      <c r="X25" s="49"/>
    </row>
    <row r="26" spans="6:24">
      <c r="F26" s="37"/>
      <c r="G26" s="47"/>
      <c r="H26" s="71">
        <f>((I23*'MSFT Black_Scholes &amp; Binomial'!$T$7)+(I29*'MSFT Black_Scholes &amp; Binomial'!$T$8))/POWER(1.001,(1/6))</f>
        <v>3.3803541154175738</v>
      </c>
      <c r="I26" s="66"/>
      <c r="J26" s="51">
        <f>((K23*'MSFT Black_Scholes &amp; Binomial'!$T$7)+(K29*'MSFT Black_Scholes &amp; Binomial'!$T$8))/POWER(1.001,(1/6))</f>
        <v>1.9314986281250042</v>
      </c>
      <c r="K26" s="66"/>
      <c r="L26" s="51">
        <f>MAX(0,(L25-'MSFT Black_Scholes &amp; Binomial'!$K$10))</f>
        <v>0</v>
      </c>
      <c r="M26" s="59"/>
      <c r="N26" s="49"/>
      <c r="O26" s="49"/>
      <c r="P26" s="50"/>
      <c r="Q26" s="47"/>
      <c r="R26" s="71">
        <f>((S23*'MSFT Black_Scholes &amp; Binomial'!$T$7)+(S29*'MSFT Black_Scholes &amp; Binomial'!$T$8))/POWER(1.001,(1/6))</f>
        <v>11.004317827802279</v>
      </c>
      <c r="S26" s="66"/>
      <c r="T26" s="51">
        <f>((U23*'MSFT Black_Scholes &amp; Binomial'!$T$7)+(U29*'MSFT Black_Scholes &amp; Binomial'!$T$8))/POWER(1.001,(1/6))</f>
        <v>9.5856975560023976</v>
      </c>
      <c r="U26" s="66"/>
      <c r="V26" s="51">
        <f>((W23*'MSFT Black_Scholes &amp; Binomial'!$T$7)+(W29*'MSFT Black_Scholes &amp; Binomial'!$T$8))/POWER(1.001,(1/6))</f>
        <v>7.6844442058568223</v>
      </c>
      <c r="W26" s="59"/>
      <c r="X26" s="49"/>
    </row>
    <row r="27" spans="6:24">
      <c r="F27" s="37"/>
      <c r="G27" s="47"/>
      <c r="H27" s="62"/>
      <c r="I27" s="66"/>
      <c r="J27" s="52"/>
      <c r="K27" s="66"/>
      <c r="L27" s="52"/>
      <c r="M27" s="59"/>
      <c r="N27" s="49"/>
      <c r="O27" s="49"/>
      <c r="P27" s="50"/>
      <c r="Q27" s="47"/>
      <c r="R27" s="62"/>
      <c r="S27" s="66"/>
      <c r="T27" s="52"/>
      <c r="U27" s="66"/>
      <c r="V27" s="52"/>
      <c r="W27" s="59"/>
      <c r="X27" s="49"/>
    </row>
    <row r="28" spans="6:24" ht="15.75" thickBot="1">
      <c r="F28" s="37"/>
      <c r="G28" s="47"/>
      <c r="H28" s="62"/>
      <c r="I28" s="72">
        <f>H25*'MSFT Black_Scholes &amp; Binomial'!$T$6</f>
        <v>76.023969885137873</v>
      </c>
      <c r="J28" s="52"/>
      <c r="K28" s="64">
        <f>J25*'MSFT Black_Scholes &amp; Binomial'!$T$6</f>
        <v>76.023969885137873</v>
      </c>
      <c r="L28" s="52"/>
      <c r="M28" s="64">
        <f>L25*'MSFT Black_Scholes &amp; Binomial'!$T$6</f>
        <v>76.023969885137873</v>
      </c>
      <c r="N28" s="49"/>
      <c r="O28" s="73"/>
      <c r="P28" s="50"/>
      <c r="Q28" s="47"/>
      <c r="R28" s="62"/>
      <c r="S28" s="72">
        <f>R25*'MSFT Black_Scholes &amp; Binomial'!$T$6</f>
        <v>76.023972397773278</v>
      </c>
      <c r="T28" s="52"/>
      <c r="U28" s="64">
        <f>T25*'MSFT Black_Scholes &amp; Binomial'!$T$6</f>
        <v>76.023972397773278</v>
      </c>
      <c r="V28" s="52"/>
      <c r="W28" s="64">
        <f>V25*'MSFT Black_Scholes &amp; Binomial'!$T$6</f>
        <v>76.023972397773278</v>
      </c>
      <c r="X28" s="49"/>
    </row>
    <row r="29" spans="6:24">
      <c r="F29" s="37"/>
      <c r="G29" s="47"/>
      <c r="H29" s="62"/>
      <c r="I29" s="54">
        <f>((J26*'MSFT Black_Scholes &amp; Binomial'!$T$7)+(J32*'MSFT Black_Scholes &amp; Binomial'!$T$8))/POWER(1.001,(1/6))</f>
        <v>0.92463487584897441</v>
      </c>
      <c r="J29" s="52"/>
      <c r="K29" s="65">
        <f>MAX(0,(K28-'MSFT Black_Scholes &amp; Binomial'!$K$10))</f>
        <v>0</v>
      </c>
      <c r="L29" s="52"/>
      <c r="M29" s="65">
        <f>MAX(0,(M28-'MSFT Black_Scholes &amp; Binomial'!$K$10))</f>
        <v>0</v>
      </c>
      <c r="N29" s="49"/>
      <c r="O29" s="49"/>
      <c r="P29" s="50"/>
      <c r="Q29" s="47"/>
      <c r="R29" s="62"/>
      <c r="S29" s="54">
        <f>((T26*'MSFT Black_Scholes &amp; Binomial'!$T$7)+(T32*'MSFT Black_Scholes &amp; Binomial'!$T$8))/POWER(1.001,(1/6))</f>
        <v>15.610172079435157</v>
      </c>
      <c r="T29" s="52"/>
      <c r="U29" s="65">
        <f>((V26*'MSFT Black_Scholes &amp; Binomial'!$T$7)+(V32*'MSFT Black_Scholes &amp; Binomial'!$T$8))/POWER(1.001,(1/6))</f>
        <v>14.715776117273029</v>
      </c>
      <c r="V29" s="52"/>
      <c r="W29" s="65">
        <f>MAX(0,('MSFT Black_Scholes &amp; Binomial'!$K$10-W28))</f>
        <v>14.746024602226726</v>
      </c>
      <c r="X29" s="49"/>
    </row>
    <row r="30" spans="6:24">
      <c r="F30" s="37"/>
      <c r="G30" s="47"/>
      <c r="H30" s="62"/>
      <c r="I30" s="47"/>
      <c r="J30" s="52"/>
      <c r="K30" s="66"/>
      <c r="L30" s="52"/>
      <c r="M30" s="59"/>
      <c r="N30" s="49"/>
      <c r="O30" s="49"/>
      <c r="P30" s="50"/>
      <c r="Q30" s="47"/>
      <c r="R30" s="62"/>
      <c r="S30" s="47"/>
      <c r="T30" s="52"/>
      <c r="U30" s="66"/>
      <c r="V30" s="52"/>
      <c r="W30" s="59"/>
      <c r="X30" s="49"/>
    </row>
    <row r="31" spans="6:24" ht="15.75" thickBot="1">
      <c r="F31" s="37"/>
      <c r="G31" s="47"/>
      <c r="H31" s="62"/>
      <c r="I31" s="47"/>
      <c r="J31" s="68">
        <f>I28*'MSFT Black_Scholes &amp; Binomial'!$T$6</f>
        <v>69.575230817033315</v>
      </c>
      <c r="K31" s="66"/>
      <c r="L31" s="55">
        <f>K28*'MSFT Black_Scholes &amp; Binomial'!$T$6</f>
        <v>69.575230817033315</v>
      </c>
      <c r="M31" s="59"/>
      <c r="N31" s="49"/>
      <c r="O31" s="49"/>
      <c r="P31" s="50"/>
      <c r="Q31" s="47"/>
      <c r="R31" s="62"/>
      <c r="S31" s="47"/>
      <c r="T31" s="68">
        <f>S28*'MSFT Black_Scholes &amp; Binomial'!$T$6</f>
        <v>69.575233116534221</v>
      </c>
      <c r="U31" s="66"/>
      <c r="V31" s="55">
        <f>U28*'MSFT Black_Scholes &amp; Binomial'!$T$6</f>
        <v>69.575233116534221</v>
      </c>
      <c r="W31" s="59"/>
      <c r="X31" s="49"/>
    </row>
    <row r="32" spans="6:24">
      <c r="F32" s="37"/>
      <c r="G32" s="47"/>
      <c r="H32" s="62"/>
      <c r="I32" s="47"/>
      <c r="J32" s="56">
        <f>MAX(0,(J31-'MSFT Black_Scholes &amp; Binomial'!$K$10))</f>
        <v>0</v>
      </c>
      <c r="K32" s="66"/>
      <c r="L32" s="51">
        <f>MAX(0,(L31-'MSFT Black_Scholes &amp; Binomial'!$K$10))</f>
        <v>0</v>
      </c>
      <c r="M32" s="59"/>
      <c r="N32" s="49"/>
      <c r="O32" s="49"/>
      <c r="P32" s="50"/>
      <c r="Q32" s="47"/>
      <c r="R32" s="62"/>
      <c r="S32" s="47"/>
      <c r="T32" s="71">
        <f>((U29*'MSFT Black_Scholes &amp; Binomial'!$T$7)+(U35*'MSFT Black_Scholes &amp; Binomial'!$T$8))/POWER(1.001,(1/6))</f>
        <v>21.149395842266443</v>
      </c>
      <c r="U32" s="66"/>
      <c r="V32" s="51">
        <f>((W29*'MSFT Black_Scholes &amp; Binomial'!$T$7)+(W35*'MSFT Black_Scholes &amp; Binomial'!$T$8))/POWER(1.001,(1/6))</f>
        <v>21.179638575050859</v>
      </c>
      <c r="W32" s="59"/>
      <c r="X32" s="49"/>
    </row>
    <row r="33" spans="6:24">
      <c r="F33" s="37"/>
      <c r="G33" s="47"/>
      <c r="H33" s="62"/>
      <c r="I33" s="47"/>
      <c r="J33" s="62"/>
      <c r="K33" s="66"/>
      <c r="L33" s="52"/>
      <c r="M33" s="59"/>
      <c r="N33" s="49"/>
      <c r="O33" s="49"/>
      <c r="P33" s="50"/>
      <c r="Q33" s="47"/>
      <c r="R33" s="62"/>
      <c r="S33" s="47"/>
      <c r="T33" s="62"/>
      <c r="U33" s="66"/>
      <c r="V33" s="52"/>
      <c r="W33" s="59"/>
      <c r="X33" s="49"/>
    </row>
    <row r="34" spans="6:24" ht="15.75" thickBot="1">
      <c r="F34" s="37"/>
      <c r="G34" s="47"/>
      <c r="H34" s="62"/>
      <c r="I34" s="47"/>
      <c r="J34" s="62"/>
      <c r="K34" s="72">
        <f>J31*'MSFT Black_Scholes &amp; Binomial'!$T$6</f>
        <v>63.673506534283021</v>
      </c>
      <c r="L34" s="52"/>
      <c r="M34" s="64">
        <f>L31*'MSFT Black_Scholes &amp; Binomial'!$T$6</f>
        <v>63.673506534283021</v>
      </c>
      <c r="N34" s="49"/>
      <c r="O34" s="49"/>
      <c r="P34" s="50"/>
      <c r="Q34" s="47"/>
      <c r="R34" s="62"/>
      <c r="S34" s="47"/>
      <c r="T34" s="62"/>
      <c r="U34" s="72">
        <f>T31*'MSFT Black_Scholes &amp; Binomial'!$T$6</f>
        <v>63.673508638728585</v>
      </c>
      <c r="V34" s="52"/>
      <c r="W34" s="64">
        <f>V31*'MSFT Black_Scholes &amp; Binomial'!$T$6</f>
        <v>63.673508638728585</v>
      </c>
      <c r="X34" s="49"/>
    </row>
    <row r="35" spans="6:24">
      <c r="F35" s="37"/>
      <c r="G35" s="47"/>
      <c r="H35" s="62"/>
      <c r="I35" s="47"/>
      <c r="J35" s="62"/>
      <c r="K35" s="74">
        <f>MAX(0,(K34-'MSFT Black_Scholes &amp; Binomial'!$K$10))</f>
        <v>0</v>
      </c>
      <c r="L35" s="52"/>
      <c r="M35" s="65">
        <f>MAX(0,(M34-'MSFT Black_Scholes &amp; Binomial'!$K$10))</f>
        <v>0</v>
      </c>
      <c r="N35" s="49"/>
      <c r="O35" s="49"/>
      <c r="P35" s="50"/>
      <c r="Q35" s="47"/>
      <c r="R35" s="62"/>
      <c r="S35" s="47"/>
      <c r="T35" s="62"/>
      <c r="U35" s="54">
        <f>((V32*'MSFT Black_Scholes &amp; Binomial'!$T$7)+(V38*'MSFT Black_Scholes &amp; Binomial'!$T$8))/POWER(1.001,(1/6))</f>
        <v>27.066241245856819</v>
      </c>
      <c r="V35" s="52"/>
      <c r="W35" s="65">
        <f>MAX(0,('MSFT Black_Scholes &amp; Binomial'!$K$10-W34))</f>
        <v>27.096488361271419</v>
      </c>
      <c r="X35" s="49"/>
    </row>
    <row r="36" spans="6:24">
      <c r="F36" s="37"/>
      <c r="G36" s="47"/>
      <c r="H36" s="62"/>
      <c r="I36" s="47"/>
      <c r="J36" s="62"/>
      <c r="K36" s="47"/>
      <c r="L36" s="52"/>
      <c r="M36" s="59"/>
      <c r="N36" s="49"/>
      <c r="O36" s="49"/>
      <c r="P36" s="50"/>
      <c r="Q36" s="47"/>
      <c r="R36" s="62"/>
      <c r="S36" s="47"/>
      <c r="T36" s="62"/>
      <c r="U36" s="47"/>
      <c r="V36" s="52"/>
      <c r="W36" s="59"/>
      <c r="X36" s="49"/>
    </row>
    <row r="37" spans="6:24" ht="15.75" thickBot="1">
      <c r="F37" s="37"/>
      <c r="G37" s="47"/>
      <c r="H37" s="62"/>
      <c r="I37" s="47"/>
      <c r="J37" s="62"/>
      <c r="K37" s="47"/>
      <c r="L37" s="55">
        <f>K34*'MSFT Black_Scholes &amp; Binomial'!$T$6</f>
        <v>58.272396465824023</v>
      </c>
      <c r="M37" s="59"/>
      <c r="N37" s="49"/>
      <c r="O37" s="73"/>
      <c r="P37" s="50"/>
      <c r="Q37" s="47"/>
      <c r="R37" s="62"/>
      <c r="S37" s="47"/>
      <c r="T37" s="62"/>
      <c r="U37" s="47"/>
      <c r="V37" s="55">
        <f>U34*'MSFT Black_Scholes &amp; Binomial'!$T$6</f>
        <v>58.272398391759829</v>
      </c>
      <c r="W37" s="59"/>
      <c r="X37" s="49"/>
    </row>
    <row r="38" spans="6:24">
      <c r="F38" s="34"/>
      <c r="G38" s="75"/>
      <c r="H38" s="76"/>
      <c r="I38" s="75"/>
      <c r="J38" s="76"/>
      <c r="K38" s="75"/>
      <c r="L38" s="56">
        <f>MAX(0,(L37-'MSFT Black_Scholes &amp; Binomial'!$K$10))</f>
        <v>0</v>
      </c>
      <c r="M38" s="77"/>
      <c r="N38" s="49"/>
      <c r="O38" s="49"/>
      <c r="P38" s="78"/>
      <c r="Q38" s="75"/>
      <c r="R38" s="76"/>
      <c r="S38" s="75"/>
      <c r="T38" s="76"/>
      <c r="U38" s="75"/>
      <c r="V38" s="71">
        <f>((W35*'MSFT Black_Scholes &amp; Binomial'!$T$7)+(W41*'MSFT Black_Scholes &amp; Binomial'!$T$8))/POWER(1.001,(1/6))</f>
        <v>32.482474241100718</v>
      </c>
      <c r="W38" s="77"/>
      <c r="X38" s="49"/>
    </row>
    <row r="39" spans="6:24">
      <c r="F39" s="34"/>
      <c r="G39" s="79"/>
      <c r="H39" s="80"/>
      <c r="I39" s="79"/>
      <c r="J39" s="80"/>
      <c r="K39" s="79"/>
      <c r="L39" s="80"/>
      <c r="M39" s="77"/>
      <c r="N39" s="49"/>
      <c r="O39" s="49"/>
      <c r="P39" s="78"/>
      <c r="Q39" s="79"/>
      <c r="R39" s="80"/>
      <c r="S39" s="79"/>
      <c r="T39" s="80"/>
      <c r="U39" s="79"/>
      <c r="V39" s="80"/>
      <c r="W39" s="77"/>
      <c r="X39" s="49"/>
    </row>
    <row r="40" spans="6:24" ht="15.75" thickBot="1">
      <c r="F40" s="34"/>
      <c r="G40" s="79"/>
      <c r="H40" s="80"/>
      <c r="I40" s="79"/>
      <c r="J40" s="80"/>
      <c r="K40" s="79"/>
      <c r="L40" s="80"/>
      <c r="M40" s="64">
        <f>L37*'MSFT Black_Scholes &amp; Binomial'!$T$6</f>
        <v>53.329435972587525</v>
      </c>
      <c r="N40" s="49"/>
      <c r="O40" s="49"/>
      <c r="P40" s="78"/>
      <c r="Q40" s="79"/>
      <c r="R40" s="80"/>
      <c r="S40" s="79"/>
      <c r="T40" s="80"/>
      <c r="U40" s="79"/>
      <c r="V40" s="80"/>
      <c r="W40" s="64">
        <f>V37*'MSFT Black_Scholes &amp; Binomial'!$T$6</f>
        <v>53.329437735155679</v>
      </c>
      <c r="X40" s="49"/>
    </row>
    <row r="41" spans="6:24">
      <c r="F41" s="34"/>
      <c r="G41" s="79"/>
      <c r="H41" s="80"/>
      <c r="I41" s="79"/>
      <c r="J41" s="80"/>
      <c r="K41" s="79"/>
      <c r="L41" s="80"/>
      <c r="M41" s="74">
        <f>MAX(0,(M40-'MSFT Black_Scholes &amp; Binomial'!$K$10))</f>
        <v>0</v>
      </c>
      <c r="N41" s="49"/>
      <c r="O41" s="49"/>
      <c r="P41" s="78"/>
      <c r="Q41" s="79"/>
      <c r="R41" s="80"/>
      <c r="S41" s="79"/>
      <c r="T41" s="80"/>
      <c r="U41" s="79"/>
      <c r="V41" s="80"/>
      <c r="W41" s="74">
        <f>MAX(0,('MSFT Black_Scholes &amp; Binomial'!$K$10-W40))</f>
        <v>37.440559264844325</v>
      </c>
      <c r="X41" s="49"/>
    </row>
    <row r="42" spans="6:24" ht="15.75" thickBot="1">
      <c r="F42" s="36"/>
      <c r="G42" s="39"/>
      <c r="H42" s="31"/>
      <c r="I42" s="39"/>
      <c r="J42" s="31"/>
      <c r="K42" s="39"/>
      <c r="L42" s="31"/>
      <c r="M42" s="39"/>
      <c r="P42" s="36"/>
      <c r="Q42" s="39"/>
      <c r="R42" s="31"/>
      <c r="S42" s="39"/>
      <c r="T42" s="31"/>
      <c r="U42" s="39"/>
      <c r="V42" s="31"/>
      <c r="W42" s="39"/>
    </row>
    <row r="43" spans="6:24" ht="15.75" thickBot="1">
      <c r="F43" s="36" t="s">
        <v>46</v>
      </c>
      <c r="G43" s="44" t="s">
        <v>45</v>
      </c>
      <c r="H43" s="45" t="s">
        <v>39</v>
      </c>
      <c r="I43" s="44" t="s">
        <v>40</v>
      </c>
      <c r="J43" s="45" t="s">
        <v>41</v>
      </c>
      <c r="K43" s="44" t="s">
        <v>42</v>
      </c>
      <c r="L43" s="45" t="s">
        <v>43</v>
      </c>
      <c r="M43" s="44" t="s">
        <v>44</v>
      </c>
      <c r="P43" s="36" t="s">
        <v>46</v>
      </c>
      <c r="Q43" s="44" t="s">
        <v>45</v>
      </c>
      <c r="R43" s="45" t="s">
        <v>39</v>
      </c>
      <c r="S43" s="44" t="s">
        <v>40</v>
      </c>
      <c r="T43" s="45" t="s">
        <v>41</v>
      </c>
      <c r="U43" s="44" t="s">
        <v>42</v>
      </c>
      <c r="V43" s="45" t="s">
        <v>43</v>
      </c>
      <c r="W43" s="44" t="s">
        <v>44</v>
      </c>
    </row>
  </sheetData>
  <mergeCells count="8">
    <mergeCell ref="Q1:W1"/>
    <mergeCell ref="G2:H2"/>
    <mergeCell ref="Q2:R2"/>
    <mergeCell ref="G3:J3"/>
    <mergeCell ref="G4:J4"/>
    <mergeCell ref="Q3:T3"/>
    <mergeCell ref="Q4:T4"/>
    <mergeCell ref="G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F1080"/>
  <sheetViews>
    <sheetView workbookViewId="0">
      <selection sqref="A1:C1048576"/>
    </sheetView>
  </sheetViews>
  <sheetFormatPr defaultRowHeight="15"/>
  <cols>
    <col min="1" max="1" width="10.7109375" bestFit="1" customWidth="1"/>
    <col min="2" max="2" width="9.140625" style="15"/>
    <col min="3" max="3" width="11.42578125" style="3" bestFit="1" customWidth="1"/>
    <col min="4" max="4" width="11.42578125" style="3" customWidth="1"/>
    <col min="5" max="5" width="12.85546875" bestFit="1" customWidth="1"/>
    <col min="6" max="6" width="11" customWidth="1"/>
  </cols>
  <sheetData>
    <row r="1" spans="1:6">
      <c r="A1" t="s">
        <v>0</v>
      </c>
      <c r="B1" s="15" t="s">
        <v>1</v>
      </c>
      <c r="C1" s="3" t="s">
        <v>2</v>
      </c>
    </row>
    <row r="2" spans="1:6">
      <c r="A2" s="1">
        <v>41641</v>
      </c>
      <c r="B2" s="15">
        <v>95.14</v>
      </c>
      <c r="C2" s="3" t="s">
        <v>3</v>
      </c>
    </row>
    <row r="3" spans="1:6">
      <c r="A3" s="1">
        <v>41642</v>
      </c>
      <c r="B3" s="15">
        <v>93.66</v>
      </c>
      <c r="C3" s="4">
        <f t="shared" ref="C3:C66" si="0">(B3-B2)/B2</f>
        <v>-1.5556022703384527E-2</v>
      </c>
      <c r="D3" s="4"/>
      <c r="E3" s="10" t="s">
        <v>7</v>
      </c>
      <c r="F3" s="11" t="s">
        <v>1</v>
      </c>
    </row>
    <row r="4" spans="1:6">
      <c r="A4" s="1">
        <v>41645</v>
      </c>
      <c r="B4" s="15">
        <v>93.12</v>
      </c>
      <c r="C4" s="4">
        <f t="shared" si="0"/>
        <v>-5.7655349135168916E-3</v>
      </c>
      <c r="D4" s="4"/>
      <c r="E4" s="8" t="s">
        <v>4</v>
      </c>
      <c r="F4" s="17">
        <f>STDEV(C3:C1080)</f>
        <v>2.3590242251742673E-2</v>
      </c>
    </row>
    <row r="5" spans="1:6">
      <c r="A5" s="1">
        <v>41646</v>
      </c>
      <c r="B5" s="15">
        <v>93.31</v>
      </c>
      <c r="C5" s="4">
        <f t="shared" si="0"/>
        <v>2.0403780068728276E-3</v>
      </c>
      <c r="D5" s="4"/>
      <c r="E5" s="8" t="s">
        <v>5</v>
      </c>
      <c r="F5" s="9">
        <v>255</v>
      </c>
    </row>
    <row r="6" spans="1:6">
      <c r="A6" s="1">
        <v>41647</v>
      </c>
      <c r="B6" s="15">
        <v>91.9</v>
      </c>
      <c r="C6" s="4">
        <f t="shared" si="0"/>
        <v>-1.5110920587289642E-2</v>
      </c>
      <c r="D6" s="4"/>
      <c r="E6" s="12" t="s">
        <v>6</v>
      </c>
      <c r="F6" s="13">
        <f>F4*SQRT(F5)</f>
        <v>0.37670595963092462</v>
      </c>
    </row>
    <row r="7" spans="1:6">
      <c r="A7" s="1">
        <v>41648</v>
      </c>
      <c r="B7" s="15">
        <v>91.36</v>
      </c>
      <c r="C7" s="4">
        <f t="shared" si="0"/>
        <v>-5.8759521218716675E-3</v>
      </c>
      <c r="D7" s="4"/>
      <c r="E7" s="12" t="s">
        <v>8</v>
      </c>
      <c r="F7" s="16">
        <f>AVERAGE(Table1[Value])</f>
        <v>59.099870250231753</v>
      </c>
    </row>
    <row r="8" spans="1:6">
      <c r="A8" s="1">
        <v>41649</v>
      </c>
      <c r="B8" s="15">
        <v>92.39</v>
      </c>
      <c r="C8" s="4">
        <f t="shared" si="0"/>
        <v>1.1274080560420327E-2</v>
      </c>
      <c r="D8" s="4"/>
      <c r="E8" s="12" t="s">
        <v>9</v>
      </c>
      <c r="F8" s="16">
        <f>MIN(Table1[Value])</f>
        <v>26.19</v>
      </c>
    </row>
    <row r="9" spans="1:6">
      <c r="A9" s="1">
        <v>41652</v>
      </c>
      <c r="B9" s="15">
        <v>91.45</v>
      </c>
      <c r="C9" s="4">
        <f t="shared" si="0"/>
        <v>-1.0174261283688686E-2</v>
      </c>
      <c r="D9" s="4"/>
      <c r="E9" s="12" t="s">
        <v>10</v>
      </c>
      <c r="F9" s="16">
        <f>MAX(Table1[Value])</f>
        <v>107.95</v>
      </c>
    </row>
    <row r="10" spans="1:6">
      <c r="A10" s="1">
        <v>41653</v>
      </c>
      <c r="B10" s="15">
        <v>92.15</v>
      </c>
      <c r="C10" s="4">
        <f t="shared" si="0"/>
        <v>7.6544559868781063E-3</v>
      </c>
      <c r="D10" s="4"/>
    </row>
    <row r="11" spans="1:6">
      <c r="A11" s="1">
        <v>41654</v>
      </c>
      <c r="B11" s="15">
        <v>93.78</v>
      </c>
      <c r="C11" s="4">
        <f t="shared" si="0"/>
        <v>1.7688551275094902E-2</v>
      </c>
      <c r="D11" s="4"/>
    </row>
    <row r="12" spans="1:6">
      <c r="A12" s="1">
        <v>41655</v>
      </c>
      <c r="B12" s="15">
        <v>93.54</v>
      </c>
      <c r="C12" s="4">
        <f t="shared" si="0"/>
        <v>-2.559181062060086E-3</v>
      </c>
      <c r="D12" s="4"/>
    </row>
    <row r="13" spans="1:6">
      <c r="A13" s="1">
        <v>41656</v>
      </c>
      <c r="B13" s="15">
        <v>93.96</v>
      </c>
      <c r="C13" s="4">
        <f t="shared" si="0"/>
        <v>4.4900577293135284E-3</v>
      </c>
      <c r="D13" s="4"/>
    </row>
    <row r="14" spans="1:6">
      <c r="A14" s="1">
        <v>41660</v>
      </c>
      <c r="B14" s="15">
        <v>94.51</v>
      </c>
      <c r="C14" s="4">
        <f t="shared" si="0"/>
        <v>5.8535547041295381E-3</v>
      </c>
      <c r="D14" s="4"/>
    </row>
    <row r="15" spans="1:6">
      <c r="A15" s="1">
        <v>41661</v>
      </c>
      <c r="B15" s="15">
        <v>96.35</v>
      </c>
      <c r="C15" s="4">
        <f t="shared" si="0"/>
        <v>1.9468839276266945E-2</v>
      </c>
      <c r="D15" s="4"/>
    </row>
    <row r="16" spans="1:6">
      <c r="A16" s="1">
        <v>41662</v>
      </c>
      <c r="B16" s="15">
        <v>97.23</v>
      </c>
      <c r="C16" s="4">
        <f t="shared" si="0"/>
        <v>9.1333679294240758E-3</v>
      </c>
      <c r="D16" s="4"/>
    </row>
    <row r="17" spans="1:4">
      <c r="A17" s="1">
        <v>41663</v>
      </c>
      <c r="B17" s="15">
        <v>96.66</v>
      </c>
      <c r="C17" s="4">
        <f t="shared" si="0"/>
        <v>-5.8623881518050742E-3</v>
      </c>
      <c r="D17" s="4"/>
    </row>
    <row r="18" spans="1:4">
      <c r="A18" s="1">
        <v>41666</v>
      </c>
      <c r="B18" s="15">
        <v>95.82</v>
      </c>
      <c r="C18" s="4">
        <f t="shared" si="0"/>
        <v>-8.6902545003104022E-3</v>
      </c>
      <c r="D18" s="4"/>
    </row>
    <row r="19" spans="1:4">
      <c r="A19" s="1">
        <v>41667</v>
      </c>
      <c r="B19" s="15">
        <v>97.49</v>
      </c>
      <c r="C19" s="4">
        <f t="shared" si="0"/>
        <v>1.7428511792945123E-2</v>
      </c>
      <c r="D19" s="4"/>
    </row>
    <row r="20" spans="1:4">
      <c r="A20" s="1">
        <v>41668</v>
      </c>
      <c r="B20" s="15">
        <v>97.34</v>
      </c>
      <c r="C20" s="4">
        <f t="shared" si="0"/>
        <v>-1.5386193455738176E-3</v>
      </c>
      <c r="D20" s="4"/>
    </row>
    <row r="21" spans="1:4">
      <c r="A21" s="1">
        <v>41669</v>
      </c>
      <c r="B21" s="15">
        <v>98.25</v>
      </c>
      <c r="C21" s="4">
        <f t="shared" si="0"/>
        <v>9.3486747483048759E-3</v>
      </c>
      <c r="D21" s="4"/>
    </row>
    <row r="22" spans="1:4">
      <c r="A22" s="1">
        <v>41670</v>
      </c>
      <c r="B22" s="15">
        <v>97.55</v>
      </c>
      <c r="C22" s="4">
        <f t="shared" si="0"/>
        <v>-7.1246819338422682E-3</v>
      </c>
      <c r="D22" s="4"/>
    </row>
    <row r="23" spans="1:4">
      <c r="A23" s="1">
        <v>41673</v>
      </c>
      <c r="B23" s="15">
        <v>96.44</v>
      </c>
      <c r="C23" s="4">
        <f t="shared" si="0"/>
        <v>-1.1378780112762681E-2</v>
      </c>
      <c r="D23" s="4"/>
    </row>
    <row r="24" spans="1:4">
      <c r="A24" s="1">
        <v>41674</v>
      </c>
      <c r="B24" s="15">
        <v>97.24</v>
      </c>
      <c r="C24" s="4">
        <f t="shared" si="0"/>
        <v>8.2953131480713108E-3</v>
      </c>
      <c r="D24" s="4"/>
    </row>
    <row r="25" spans="1:4">
      <c r="A25" s="1">
        <v>41675</v>
      </c>
      <c r="B25" s="15">
        <v>97.4</v>
      </c>
      <c r="C25" s="4">
        <f t="shared" si="0"/>
        <v>1.6454134101194036E-3</v>
      </c>
      <c r="D25" s="4"/>
    </row>
    <row r="26" spans="1:4">
      <c r="A26" s="1">
        <v>41676</v>
      </c>
      <c r="B26" s="15">
        <v>97.84</v>
      </c>
      <c r="C26" s="4">
        <f t="shared" si="0"/>
        <v>4.5174537987679435E-3</v>
      </c>
      <c r="D26" s="4"/>
    </row>
    <row r="27" spans="1:4">
      <c r="A27" s="1">
        <v>41677</v>
      </c>
      <c r="B27" s="15">
        <v>99.98</v>
      </c>
      <c r="C27" s="4">
        <f t="shared" si="0"/>
        <v>2.1872444807849556E-2</v>
      </c>
      <c r="D27" s="4"/>
    </row>
    <row r="28" spans="1:4">
      <c r="A28" s="1">
        <v>41680</v>
      </c>
      <c r="B28" s="15">
        <v>100.12</v>
      </c>
      <c r="C28" s="4">
        <f t="shared" si="0"/>
        <v>1.4002800560112079E-3</v>
      </c>
      <c r="D28" s="4"/>
    </row>
    <row r="29" spans="1:4">
      <c r="A29" s="1">
        <v>41681</v>
      </c>
      <c r="B29" s="15">
        <v>99.96</v>
      </c>
      <c r="C29" s="4">
        <f t="shared" si="0"/>
        <v>-1.5980823012386215E-3</v>
      </c>
      <c r="D29" s="4"/>
    </row>
    <row r="30" spans="1:4">
      <c r="A30" s="1">
        <v>41682</v>
      </c>
      <c r="B30" s="15">
        <v>100.38</v>
      </c>
      <c r="C30" s="4">
        <f t="shared" si="0"/>
        <v>4.2016806722689247E-3</v>
      </c>
      <c r="D30" s="4"/>
    </row>
    <row r="31" spans="1:4">
      <c r="A31" s="1">
        <v>41683</v>
      </c>
      <c r="B31" s="15">
        <v>100.27</v>
      </c>
      <c r="C31" s="4">
        <f t="shared" si="0"/>
        <v>-1.095835823869291E-3</v>
      </c>
      <c r="D31" s="4"/>
    </row>
    <row r="32" spans="1:4">
      <c r="A32" s="1">
        <v>41684</v>
      </c>
      <c r="B32" s="15">
        <v>100.31</v>
      </c>
      <c r="C32" s="4">
        <f t="shared" si="0"/>
        <v>3.9892290814806279E-4</v>
      </c>
      <c r="D32" s="4"/>
    </row>
    <row r="33" spans="1:4">
      <c r="A33" s="1">
        <v>41688</v>
      </c>
      <c r="B33" s="15">
        <v>102.54</v>
      </c>
      <c r="C33" s="4">
        <f t="shared" si="0"/>
        <v>2.2231083640713828E-2</v>
      </c>
      <c r="D33" s="4"/>
    </row>
    <row r="34" spans="1:4">
      <c r="A34" s="1">
        <v>41689</v>
      </c>
      <c r="B34" s="15">
        <v>103.46</v>
      </c>
      <c r="C34" s="4">
        <f t="shared" si="0"/>
        <v>8.9721084454845671E-3</v>
      </c>
      <c r="D34" s="4"/>
    </row>
    <row r="35" spans="1:4">
      <c r="A35" s="1">
        <v>41690</v>
      </c>
      <c r="B35" s="15">
        <v>103.2</v>
      </c>
      <c r="C35" s="4">
        <f t="shared" si="0"/>
        <v>-2.5130485211675132E-3</v>
      </c>
      <c r="D35" s="4"/>
    </row>
    <row r="36" spans="1:4">
      <c r="A36" s="1">
        <v>41691</v>
      </c>
      <c r="B36" s="15">
        <v>102.53</v>
      </c>
      <c r="C36" s="4">
        <f t="shared" si="0"/>
        <v>-6.4922480620155203E-3</v>
      </c>
      <c r="D36" s="4"/>
    </row>
    <row r="37" spans="1:4">
      <c r="A37" s="1">
        <v>41694</v>
      </c>
      <c r="B37" s="15">
        <v>103.17</v>
      </c>
      <c r="C37" s="4">
        <f t="shared" si="0"/>
        <v>6.2420754901004643E-3</v>
      </c>
      <c r="D37" s="4"/>
    </row>
    <row r="38" spans="1:4">
      <c r="A38" s="1">
        <v>41695</v>
      </c>
      <c r="B38" s="15">
        <v>102.2</v>
      </c>
      <c r="C38" s="4">
        <f t="shared" si="0"/>
        <v>-9.4019579335077909E-3</v>
      </c>
      <c r="D38" s="4"/>
    </row>
    <row r="39" spans="1:4">
      <c r="A39" s="1">
        <v>41696</v>
      </c>
      <c r="B39" s="15">
        <v>102.93</v>
      </c>
      <c r="C39" s="4">
        <f t="shared" si="0"/>
        <v>7.1428571428571817E-3</v>
      </c>
      <c r="D39" s="4"/>
    </row>
    <row r="40" spans="1:4">
      <c r="A40" s="1">
        <v>41697</v>
      </c>
      <c r="B40" s="15">
        <v>102.68</v>
      </c>
      <c r="C40" s="4">
        <f t="shared" si="0"/>
        <v>-2.4288351306713299E-3</v>
      </c>
      <c r="D40" s="4"/>
    </row>
    <row r="41" spans="1:4">
      <c r="A41" s="1">
        <v>41698</v>
      </c>
      <c r="B41" s="15">
        <v>102.88</v>
      </c>
      <c r="C41" s="4">
        <f t="shared" si="0"/>
        <v>1.9477989871444158E-3</v>
      </c>
      <c r="D41" s="4"/>
    </row>
    <row r="42" spans="1:4">
      <c r="A42" s="1">
        <v>41701</v>
      </c>
      <c r="B42" s="15">
        <v>105.34</v>
      </c>
      <c r="C42" s="4">
        <f t="shared" si="0"/>
        <v>2.3911353032659486E-2</v>
      </c>
      <c r="D42" s="4"/>
    </row>
    <row r="43" spans="1:4">
      <c r="A43" s="1">
        <v>41702</v>
      </c>
      <c r="B43" s="15">
        <v>103.64</v>
      </c>
      <c r="C43" s="4">
        <f t="shared" si="0"/>
        <v>-1.6138219100056986E-2</v>
      </c>
      <c r="D43" s="4"/>
    </row>
    <row r="44" spans="1:4">
      <c r="A44" s="1">
        <v>41703</v>
      </c>
      <c r="B44" s="15">
        <v>101.75</v>
      </c>
      <c r="C44" s="4">
        <f t="shared" si="0"/>
        <v>-1.8236202238517952E-2</v>
      </c>
      <c r="D44" s="4"/>
    </row>
    <row r="45" spans="1:4">
      <c r="A45" s="1">
        <v>41704</v>
      </c>
      <c r="B45" s="15">
        <v>101.82</v>
      </c>
      <c r="C45" s="4">
        <f t="shared" si="0"/>
        <v>6.8796068796062092E-4</v>
      </c>
      <c r="D45" s="4"/>
    </row>
    <row r="46" spans="1:4">
      <c r="A46" s="1">
        <v>41705</v>
      </c>
      <c r="B46" s="15">
        <v>102.82</v>
      </c>
      <c r="C46" s="4">
        <f t="shared" si="0"/>
        <v>9.8212531919072872E-3</v>
      </c>
      <c r="D46" s="4"/>
    </row>
    <row r="47" spans="1:4">
      <c r="A47" s="1">
        <v>41708</v>
      </c>
      <c r="B47" s="15">
        <v>101.39</v>
      </c>
      <c r="C47" s="4">
        <f t="shared" si="0"/>
        <v>-1.3907800038902867E-2</v>
      </c>
      <c r="D47" s="4"/>
    </row>
    <row r="48" spans="1:4">
      <c r="A48" s="1">
        <v>41709</v>
      </c>
      <c r="B48" s="15">
        <v>100.29</v>
      </c>
      <c r="C48" s="4">
        <f t="shared" si="0"/>
        <v>-1.0849196173192566E-2</v>
      </c>
      <c r="D48" s="4"/>
    </row>
    <row r="49" spans="1:4">
      <c r="A49" s="1">
        <v>41710</v>
      </c>
      <c r="B49" s="15">
        <v>98.29</v>
      </c>
      <c r="C49" s="4">
        <f t="shared" si="0"/>
        <v>-1.9942167713630471E-2</v>
      </c>
      <c r="D49" s="4"/>
    </row>
    <row r="50" spans="1:4">
      <c r="A50" s="1">
        <v>41711</v>
      </c>
      <c r="B50" s="15">
        <v>98.57</v>
      </c>
      <c r="C50" s="4">
        <f t="shared" si="0"/>
        <v>2.8487129921659061E-3</v>
      </c>
      <c r="D50" s="4"/>
    </row>
    <row r="51" spans="1:4">
      <c r="A51" s="1">
        <v>41712</v>
      </c>
      <c r="B51" s="15">
        <v>99.23</v>
      </c>
      <c r="C51" s="4">
        <f t="shared" si="0"/>
        <v>6.6957492137568308E-3</v>
      </c>
      <c r="D51" s="4"/>
    </row>
    <row r="52" spans="1:4">
      <c r="A52" s="1">
        <v>41715</v>
      </c>
      <c r="B52" s="15">
        <v>98.43</v>
      </c>
      <c r="C52" s="4">
        <f t="shared" si="0"/>
        <v>-8.062078000604626E-3</v>
      </c>
      <c r="D52" s="4"/>
    </row>
    <row r="53" spans="1:4">
      <c r="A53" s="1">
        <v>41716</v>
      </c>
      <c r="B53" s="15">
        <v>100.08</v>
      </c>
      <c r="C53" s="4">
        <f t="shared" si="0"/>
        <v>1.6763181956720424E-2</v>
      </c>
      <c r="D53" s="4"/>
    </row>
    <row r="54" spans="1:4">
      <c r="A54" s="1">
        <v>41717</v>
      </c>
      <c r="B54" s="15">
        <v>100.71</v>
      </c>
      <c r="C54" s="4">
        <f t="shared" si="0"/>
        <v>6.2949640287769332E-3</v>
      </c>
      <c r="D54" s="4"/>
    </row>
    <row r="55" spans="1:4">
      <c r="A55" s="1">
        <v>41718</v>
      </c>
      <c r="B55" s="15">
        <v>99.68</v>
      </c>
      <c r="C55" s="4">
        <f t="shared" si="0"/>
        <v>-1.0227385562506077E-2</v>
      </c>
      <c r="D55" s="4"/>
    </row>
    <row r="56" spans="1:4">
      <c r="A56" s="1">
        <v>41719</v>
      </c>
      <c r="B56" s="15">
        <v>99.97</v>
      </c>
      <c r="C56" s="4">
        <f t="shared" si="0"/>
        <v>2.9093097913321831E-3</v>
      </c>
      <c r="D56" s="4"/>
    </row>
    <row r="57" spans="1:4">
      <c r="A57" s="1">
        <v>41722</v>
      </c>
      <c r="B57" s="15">
        <v>100.05</v>
      </c>
      <c r="C57" s="4">
        <f t="shared" si="0"/>
        <v>8.0024007202158945E-4</v>
      </c>
      <c r="D57" s="4"/>
    </row>
    <row r="58" spans="1:4">
      <c r="A58" s="1">
        <v>41723</v>
      </c>
      <c r="B58" s="15">
        <v>99.66</v>
      </c>
      <c r="C58" s="4">
        <f t="shared" si="0"/>
        <v>-3.8980509745127493E-3</v>
      </c>
      <c r="D58" s="4"/>
    </row>
    <row r="59" spans="1:4">
      <c r="A59" s="1">
        <v>41724</v>
      </c>
      <c r="B59" s="15">
        <v>100.61</v>
      </c>
      <c r="C59" s="4">
        <f t="shared" si="0"/>
        <v>9.5324101946618785E-3</v>
      </c>
      <c r="D59" s="4"/>
    </row>
    <row r="60" spans="1:4">
      <c r="A60" s="1">
        <v>41725</v>
      </c>
      <c r="B60" s="15">
        <v>101.25</v>
      </c>
      <c r="C60" s="4">
        <f t="shared" si="0"/>
        <v>6.3611967001292171E-3</v>
      </c>
      <c r="D60" s="4"/>
    </row>
    <row r="61" spans="1:4">
      <c r="A61" s="1">
        <v>41726</v>
      </c>
      <c r="B61" s="15">
        <v>101.73</v>
      </c>
      <c r="C61" s="4">
        <f t="shared" si="0"/>
        <v>4.7407407407407797E-3</v>
      </c>
      <c r="D61" s="4"/>
    </row>
    <row r="62" spans="1:4">
      <c r="A62" s="1">
        <v>41729</v>
      </c>
      <c r="B62" s="15">
        <v>101.57</v>
      </c>
      <c r="C62" s="4">
        <f t="shared" si="0"/>
        <v>-1.572790720534855E-3</v>
      </c>
      <c r="D62" s="4"/>
    </row>
    <row r="63" spans="1:4">
      <c r="A63" s="1">
        <v>41730</v>
      </c>
      <c r="B63" s="15">
        <v>99.69</v>
      </c>
      <c r="C63" s="4">
        <f t="shared" si="0"/>
        <v>-1.8509402382593243E-2</v>
      </c>
      <c r="D63" s="4"/>
    </row>
    <row r="64" spans="1:4">
      <c r="A64" s="1">
        <v>41731</v>
      </c>
      <c r="B64" s="15">
        <v>99.6</v>
      </c>
      <c r="C64" s="4">
        <f t="shared" si="0"/>
        <v>-9.0279867589530957E-4</v>
      </c>
      <c r="D64" s="4"/>
    </row>
    <row r="65" spans="1:4">
      <c r="A65" s="1">
        <v>41732</v>
      </c>
      <c r="B65" s="15">
        <v>100.29</v>
      </c>
      <c r="C65" s="4">
        <f t="shared" si="0"/>
        <v>6.9277108433736141E-3</v>
      </c>
      <c r="D65" s="4"/>
    </row>
    <row r="66" spans="1:4">
      <c r="A66" s="1">
        <v>41733</v>
      </c>
      <c r="B66" s="15">
        <v>101.16</v>
      </c>
      <c r="C66" s="4">
        <f t="shared" si="0"/>
        <v>8.674842955429158E-3</v>
      </c>
      <c r="D66" s="4"/>
    </row>
    <row r="67" spans="1:4">
      <c r="A67" s="1">
        <v>41736</v>
      </c>
      <c r="B67" s="15">
        <v>100.43</v>
      </c>
      <c r="C67" s="4">
        <f t="shared" ref="C67:C130" si="1">(B67-B66)/B66</f>
        <v>-7.2162910241201049E-3</v>
      </c>
      <c r="D67" s="4"/>
    </row>
    <row r="68" spans="1:4">
      <c r="A68" s="1">
        <v>41737</v>
      </c>
      <c r="B68" s="15">
        <v>102.57</v>
      </c>
      <c r="C68" s="4">
        <f t="shared" si="1"/>
        <v>2.130837399183497E-2</v>
      </c>
      <c r="D68" s="4"/>
    </row>
    <row r="69" spans="1:4">
      <c r="A69" s="1">
        <v>41738</v>
      </c>
      <c r="B69" s="15">
        <v>103.55</v>
      </c>
      <c r="C69" s="4">
        <f t="shared" si="1"/>
        <v>9.554450619089442E-3</v>
      </c>
      <c r="D69" s="4"/>
    </row>
    <row r="70" spans="1:4">
      <c r="A70" s="1">
        <v>41739</v>
      </c>
      <c r="B70" s="15">
        <v>103.37</v>
      </c>
      <c r="C70" s="4">
        <f t="shared" si="1"/>
        <v>-1.7382906808304454E-3</v>
      </c>
      <c r="D70" s="4"/>
    </row>
    <row r="71" spans="1:4">
      <c r="A71" s="1">
        <v>41740</v>
      </c>
      <c r="B71" s="15">
        <v>103.68</v>
      </c>
      <c r="C71" s="4">
        <f t="shared" si="1"/>
        <v>2.9989358614685331E-3</v>
      </c>
      <c r="D71" s="4"/>
    </row>
    <row r="72" spans="1:4">
      <c r="A72" s="1">
        <v>41743</v>
      </c>
      <c r="B72" s="15">
        <v>104.05</v>
      </c>
      <c r="C72" s="4">
        <f t="shared" si="1"/>
        <v>3.5686728395060794E-3</v>
      </c>
      <c r="D72" s="4"/>
    </row>
    <row r="73" spans="1:4">
      <c r="A73" s="1">
        <v>41744</v>
      </c>
      <c r="B73" s="15">
        <v>103.7</v>
      </c>
      <c r="C73" s="4">
        <f t="shared" si="1"/>
        <v>-3.3637674195097964E-3</v>
      </c>
      <c r="D73" s="4"/>
    </row>
    <row r="74" spans="1:4">
      <c r="A74" s="1">
        <v>41745</v>
      </c>
      <c r="B74" s="15">
        <v>103.71</v>
      </c>
      <c r="C74" s="4">
        <f t="shared" si="1"/>
        <v>9.643201542903476E-5</v>
      </c>
      <c r="D74" s="4"/>
    </row>
    <row r="75" spans="1:4">
      <c r="A75" s="1">
        <v>41746</v>
      </c>
      <c r="B75" s="15">
        <v>104.33</v>
      </c>
      <c r="C75" s="4">
        <f t="shared" si="1"/>
        <v>5.9782084659146138E-3</v>
      </c>
      <c r="D75" s="4"/>
    </row>
    <row r="76" spans="1:4">
      <c r="A76" s="1">
        <v>41750</v>
      </c>
      <c r="B76" s="15">
        <v>104.35</v>
      </c>
      <c r="C76" s="4">
        <f t="shared" si="1"/>
        <v>1.9169941531674514E-4</v>
      </c>
      <c r="D76" s="4"/>
    </row>
    <row r="77" spans="1:4">
      <c r="A77" s="1">
        <v>41751</v>
      </c>
      <c r="B77" s="15">
        <v>101.69</v>
      </c>
      <c r="C77" s="4">
        <f t="shared" si="1"/>
        <v>-2.5491135601341607E-2</v>
      </c>
      <c r="D77" s="4"/>
    </row>
    <row r="78" spans="1:4">
      <c r="A78" s="1">
        <v>41752</v>
      </c>
      <c r="B78" s="15">
        <v>101.47</v>
      </c>
      <c r="C78" s="4">
        <f t="shared" si="1"/>
        <v>-2.1634378994984647E-3</v>
      </c>
      <c r="D78" s="4"/>
    </row>
    <row r="79" spans="1:4">
      <c r="A79" s="1">
        <v>41753</v>
      </c>
      <c r="B79" s="15">
        <v>102.2</v>
      </c>
      <c r="C79" s="4">
        <f t="shared" si="1"/>
        <v>7.1942446043165862E-3</v>
      </c>
      <c r="D79" s="4"/>
    </row>
    <row r="80" spans="1:4">
      <c r="A80" s="1">
        <v>41754</v>
      </c>
      <c r="B80" s="15">
        <v>100.85</v>
      </c>
      <c r="C80" s="4">
        <f t="shared" si="1"/>
        <v>-1.320939334637973E-2</v>
      </c>
      <c r="D80" s="4"/>
    </row>
    <row r="81" spans="1:4">
      <c r="A81" s="1">
        <v>41757</v>
      </c>
      <c r="B81" s="15">
        <v>101.13</v>
      </c>
      <c r="C81" s="4">
        <f t="shared" si="1"/>
        <v>2.776400594942996E-3</v>
      </c>
      <c r="D81" s="4"/>
    </row>
    <row r="82" spans="1:4">
      <c r="A82" s="1">
        <v>41758</v>
      </c>
      <c r="B82" s="15">
        <v>101.56</v>
      </c>
      <c r="C82" s="4">
        <f t="shared" si="1"/>
        <v>4.2519529318699378E-3</v>
      </c>
      <c r="D82" s="4"/>
    </row>
    <row r="83" spans="1:4">
      <c r="A83" s="1">
        <v>41759</v>
      </c>
      <c r="B83" s="15">
        <v>100.07</v>
      </c>
      <c r="C83" s="4">
        <f t="shared" si="1"/>
        <v>-1.4671130366286029E-2</v>
      </c>
      <c r="D83" s="4"/>
    </row>
    <row r="84" spans="1:4">
      <c r="A84" s="1">
        <v>41760</v>
      </c>
      <c r="B84" s="15">
        <v>99.69</v>
      </c>
      <c r="C84" s="4">
        <f t="shared" si="1"/>
        <v>-3.7973418606974665E-3</v>
      </c>
      <c r="D84" s="4"/>
    </row>
    <row r="85" spans="1:4">
      <c r="A85" s="1">
        <v>41761</v>
      </c>
      <c r="B85" s="15">
        <v>100.09</v>
      </c>
      <c r="C85" s="4">
        <f t="shared" si="1"/>
        <v>4.0124385595346141E-3</v>
      </c>
      <c r="D85" s="4"/>
    </row>
    <row r="86" spans="1:4">
      <c r="A86" s="1">
        <v>41764</v>
      </c>
      <c r="B86" s="15">
        <v>99.74</v>
      </c>
      <c r="C86" s="4">
        <f t="shared" si="1"/>
        <v>-3.4968528324508794E-3</v>
      </c>
      <c r="D86" s="4"/>
    </row>
    <row r="87" spans="1:4">
      <c r="A87" s="1">
        <v>41765</v>
      </c>
      <c r="B87" s="15">
        <v>99.81</v>
      </c>
      <c r="C87" s="4">
        <f t="shared" si="1"/>
        <v>7.0182474433534584E-4</v>
      </c>
      <c r="D87" s="4"/>
    </row>
    <row r="88" spans="1:4">
      <c r="A88" s="1">
        <v>41766</v>
      </c>
      <c r="B88" s="15">
        <v>101.06</v>
      </c>
      <c r="C88" s="4">
        <f t="shared" si="1"/>
        <v>1.2523795210900711E-2</v>
      </c>
      <c r="D88" s="4"/>
    </row>
    <row r="89" spans="1:4">
      <c r="A89" s="1">
        <v>41767</v>
      </c>
      <c r="B89" s="15">
        <v>100.52</v>
      </c>
      <c r="C89" s="4">
        <f t="shared" si="1"/>
        <v>-5.3433603799723558E-3</v>
      </c>
      <c r="D89" s="4"/>
    </row>
    <row r="90" spans="1:4">
      <c r="A90" s="1">
        <v>41768</v>
      </c>
      <c r="B90" s="15">
        <v>100.32</v>
      </c>
      <c r="C90" s="4">
        <f t="shared" si="1"/>
        <v>-1.9896538002387868E-3</v>
      </c>
      <c r="D90" s="4"/>
    </row>
    <row r="91" spans="1:4">
      <c r="A91" s="1">
        <v>41771</v>
      </c>
      <c r="B91" s="15">
        <v>100.89</v>
      </c>
      <c r="C91" s="4">
        <f t="shared" si="1"/>
        <v>5.6818181818182557E-3</v>
      </c>
      <c r="D91" s="4"/>
    </row>
    <row r="92" spans="1:4">
      <c r="A92" s="1">
        <v>41772</v>
      </c>
      <c r="B92" s="15">
        <v>102.01</v>
      </c>
      <c r="C92" s="4">
        <f t="shared" si="1"/>
        <v>1.1101199325998658E-2</v>
      </c>
      <c r="D92" s="4"/>
    </row>
    <row r="93" spans="1:4">
      <c r="A93" s="1">
        <v>41773</v>
      </c>
      <c r="B93" s="15">
        <v>102.63</v>
      </c>
      <c r="C93" s="4">
        <f t="shared" si="1"/>
        <v>6.0778355063228146E-3</v>
      </c>
      <c r="D93" s="4"/>
    </row>
    <row r="94" spans="1:4">
      <c r="A94" s="1">
        <v>41774</v>
      </c>
      <c r="B94" s="15">
        <v>101.74</v>
      </c>
      <c r="C94" s="4">
        <f t="shared" si="1"/>
        <v>-8.6719282860762015E-3</v>
      </c>
      <c r="D94" s="4"/>
    </row>
    <row r="95" spans="1:4">
      <c r="A95" s="1">
        <v>41775</v>
      </c>
      <c r="B95" s="15">
        <v>102.31</v>
      </c>
      <c r="C95" s="4">
        <f t="shared" si="1"/>
        <v>5.6025162178101771E-3</v>
      </c>
      <c r="D95" s="4"/>
    </row>
    <row r="96" spans="1:4">
      <c r="A96" s="1">
        <v>41778</v>
      </c>
      <c r="B96" s="15">
        <v>102.95</v>
      </c>
      <c r="C96" s="4">
        <f t="shared" si="1"/>
        <v>6.2554979962858035E-3</v>
      </c>
      <c r="D96" s="4"/>
    </row>
    <row r="97" spans="1:4">
      <c r="A97" s="1">
        <v>41779</v>
      </c>
      <c r="B97" s="15">
        <v>102.8</v>
      </c>
      <c r="C97" s="4">
        <f t="shared" si="1"/>
        <v>-1.4570179698883505E-3</v>
      </c>
      <c r="D97" s="4"/>
    </row>
    <row r="98" spans="1:4">
      <c r="A98" s="1">
        <v>41780</v>
      </c>
      <c r="B98" s="15">
        <v>104.31</v>
      </c>
      <c r="C98" s="4">
        <f t="shared" si="1"/>
        <v>1.4688715953307443E-2</v>
      </c>
      <c r="D98" s="4"/>
    </row>
    <row r="99" spans="1:4">
      <c r="A99" s="1">
        <v>41781</v>
      </c>
      <c r="B99" s="15">
        <v>104.03</v>
      </c>
      <c r="C99" s="4">
        <f t="shared" si="1"/>
        <v>-2.6843063944013146E-3</v>
      </c>
      <c r="D99" s="4"/>
    </row>
    <row r="100" spans="1:4">
      <c r="A100" s="1">
        <v>41782</v>
      </c>
      <c r="B100" s="15">
        <v>105.01</v>
      </c>
      <c r="C100" s="4">
        <f t="shared" si="1"/>
        <v>9.4203595116793618E-3</v>
      </c>
      <c r="D100" s="4"/>
    </row>
    <row r="101" spans="1:4">
      <c r="A101" s="1">
        <v>41786</v>
      </c>
      <c r="B101" s="15">
        <v>104.78</v>
      </c>
      <c r="C101" s="4">
        <f t="shared" si="1"/>
        <v>-2.1902675935625555E-3</v>
      </c>
      <c r="D101" s="4"/>
    </row>
    <row r="102" spans="1:4">
      <c r="A102" s="1">
        <v>41787</v>
      </c>
      <c r="B102" s="15">
        <v>103.37</v>
      </c>
      <c r="C102" s="4">
        <f t="shared" si="1"/>
        <v>-1.3456766558503499E-2</v>
      </c>
      <c r="D102" s="4"/>
    </row>
    <row r="103" spans="1:4">
      <c r="A103" s="1">
        <v>41788</v>
      </c>
      <c r="B103" s="15">
        <v>104.26</v>
      </c>
      <c r="C103" s="4">
        <f t="shared" si="1"/>
        <v>8.6098481184096014E-3</v>
      </c>
      <c r="D103" s="4"/>
    </row>
    <row r="104" spans="1:4">
      <c r="A104" s="1">
        <v>41789</v>
      </c>
      <c r="B104" s="15">
        <v>103.4</v>
      </c>
      <c r="C104" s="4">
        <f t="shared" si="1"/>
        <v>-8.248609246115474E-3</v>
      </c>
      <c r="D104" s="4"/>
    </row>
    <row r="105" spans="1:4">
      <c r="A105" s="1">
        <v>41792</v>
      </c>
      <c r="B105" s="15">
        <v>103.07</v>
      </c>
      <c r="C105" s="4">
        <f t="shared" si="1"/>
        <v>-3.1914893617022485E-3</v>
      </c>
      <c r="D105" s="4"/>
    </row>
    <row r="106" spans="1:4">
      <c r="A106" s="1">
        <v>41793</v>
      </c>
      <c r="B106" s="15">
        <v>103.34</v>
      </c>
      <c r="C106" s="4">
        <f t="shared" si="1"/>
        <v>2.6195789269429538E-3</v>
      </c>
      <c r="D106" s="4"/>
    </row>
    <row r="107" spans="1:4">
      <c r="A107" s="1">
        <v>41794</v>
      </c>
      <c r="B107" s="15">
        <v>103.27</v>
      </c>
      <c r="C107" s="4">
        <f t="shared" si="1"/>
        <v>-6.7737565318373705E-4</v>
      </c>
      <c r="D107" s="4"/>
    </row>
    <row r="108" spans="1:4">
      <c r="A108" s="1">
        <v>41795</v>
      </c>
      <c r="B108" s="15">
        <v>103.17</v>
      </c>
      <c r="C108" s="4">
        <f t="shared" si="1"/>
        <v>-9.6833543139337964E-4</v>
      </c>
      <c r="D108" s="4"/>
    </row>
    <row r="109" spans="1:4">
      <c r="A109" s="1">
        <v>41796</v>
      </c>
      <c r="B109" s="15">
        <v>103.32</v>
      </c>
      <c r="C109" s="4">
        <f t="shared" si="1"/>
        <v>1.4539110206454539E-3</v>
      </c>
      <c r="D109" s="4"/>
    </row>
    <row r="110" spans="1:4">
      <c r="A110" s="1">
        <v>41799</v>
      </c>
      <c r="B110" s="15">
        <v>105.09</v>
      </c>
      <c r="C110" s="4">
        <f t="shared" si="1"/>
        <v>1.7131242740998937E-2</v>
      </c>
      <c r="D110" s="4"/>
    </row>
    <row r="111" spans="1:4">
      <c r="A111" s="1">
        <v>41800</v>
      </c>
      <c r="B111" s="15">
        <v>105.02</v>
      </c>
      <c r="C111" s="4">
        <f t="shared" si="1"/>
        <v>-6.6609572747176123E-4</v>
      </c>
      <c r="D111" s="4"/>
    </row>
    <row r="112" spans="1:4">
      <c r="A112" s="1">
        <v>41801</v>
      </c>
      <c r="B112" s="15">
        <v>105.04</v>
      </c>
      <c r="C112" s="4">
        <f t="shared" si="1"/>
        <v>1.9043991620653432E-4</v>
      </c>
      <c r="D112" s="4"/>
    </row>
    <row r="113" spans="1:4">
      <c r="A113" s="1">
        <v>41802</v>
      </c>
      <c r="B113" s="15">
        <v>107.2</v>
      </c>
      <c r="C113" s="4">
        <f t="shared" si="1"/>
        <v>2.056359482102053E-2</v>
      </c>
      <c r="D113" s="4"/>
    </row>
    <row r="114" spans="1:4">
      <c r="A114" s="1">
        <v>41803</v>
      </c>
      <c r="B114" s="15">
        <v>107.49</v>
      </c>
      <c r="C114" s="4">
        <f t="shared" si="1"/>
        <v>2.7052238805969405E-3</v>
      </c>
      <c r="D114" s="4"/>
    </row>
    <row r="115" spans="1:4">
      <c r="A115" s="1">
        <v>41806</v>
      </c>
      <c r="B115" s="15">
        <v>107.52</v>
      </c>
      <c r="C115" s="4">
        <f t="shared" si="1"/>
        <v>2.7909572983534411E-4</v>
      </c>
      <c r="D115" s="4"/>
    </row>
    <row r="116" spans="1:4">
      <c r="A116" s="1">
        <v>41807</v>
      </c>
      <c r="B116" s="15">
        <v>106.95</v>
      </c>
      <c r="C116" s="4">
        <f t="shared" si="1"/>
        <v>-5.3013392857142226E-3</v>
      </c>
      <c r="D116" s="4"/>
    </row>
    <row r="117" spans="1:4">
      <c r="A117" s="1">
        <v>41808</v>
      </c>
      <c r="B117" s="15">
        <v>106.64</v>
      </c>
      <c r="C117" s="4">
        <f t="shared" si="1"/>
        <v>-2.8985507246377024E-3</v>
      </c>
      <c r="D117" s="4"/>
    </row>
    <row r="118" spans="1:4">
      <c r="A118" s="1">
        <v>41809</v>
      </c>
      <c r="B118" s="15">
        <v>107.08</v>
      </c>
      <c r="C118" s="4">
        <f t="shared" si="1"/>
        <v>4.1260315078769476E-3</v>
      </c>
      <c r="D118" s="4"/>
    </row>
    <row r="119" spans="1:4">
      <c r="A119" s="1">
        <v>41810</v>
      </c>
      <c r="B119" s="15">
        <v>107.95</v>
      </c>
      <c r="C119" s="4">
        <f t="shared" si="1"/>
        <v>8.124766529697465E-3</v>
      </c>
      <c r="D119" s="4"/>
    </row>
    <row r="120" spans="1:4">
      <c r="A120" s="1">
        <v>41813</v>
      </c>
      <c r="B120" s="15">
        <v>106.83</v>
      </c>
      <c r="C120" s="4">
        <f t="shared" si="1"/>
        <v>-1.0375173691523895E-2</v>
      </c>
      <c r="D120" s="4"/>
    </row>
    <row r="121" spans="1:4">
      <c r="A121" s="1">
        <v>41814</v>
      </c>
      <c r="B121" s="15">
        <v>106.64</v>
      </c>
      <c r="C121" s="4">
        <f t="shared" si="1"/>
        <v>-1.7785266310961128E-3</v>
      </c>
      <c r="D121" s="4"/>
    </row>
    <row r="122" spans="1:4">
      <c r="A122" s="1">
        <v>41815</v>
      </c>
      <c r="B122" s="15">
        <v>107.04</v>
      </c>
      <c r="C122" s="4">
        <f t="shared" si="1"/>
        <v>3.7509377344336617E-3</v>
      </c>
      <c r="D122" s="4"/>
    </row>
    <row r="123" spans="1:4">
      <c r="A123" s="1">
        <v>41816</v>
      </c>
      <c r="B123" s="15">
        <v>106.49</v>
      </c>
      <c r="C123" s="4">
        <f t="shared" si="1"/>
        <v>-5.1382660687594485E-3</v>
      </c>
      <c r="D123" s="4"/>
    </row>
    <row r="124" spans="1:4">
      <c r="A124" s="1">
        <v>41817</v>
      </c>
      <c r="B124" s="15">
        <v>106.46</v>
      </c>
      <c r="C124" s="4">
        <f t="shared" si="1"/>
        <v>-2.817165931073447E-4</v>
      </c>
      <c r="D124" s="4"/>
    </row>
    <row r="125" spans="1:4">
      <c r="A125" s="1">
        <v>41820</v>
      </c>
      <c r="B125" s="15">
        <v>106.07</v>
      </c>
      <c r="C125" s="4">
        <f t="shared" si="1"/>
        <v>-3.6633477362389686E-3</v>
      </c>
      <c r="D125" s="4"/>
    </row>
    <row r="126" spans="1:4">
      <c r="A126" s="1">
        <v>41821</v>
      </c>
      <c r="B126" s="15">
        <v>106.06</v>
      </c>
      <c r="C126" s="4">
        <f t="shared" si="1"/>
        <v>-9.4277364004816678E-5</v>
      </c>
      <c r="D126" s="4"/>
    </row>
    <row r="127" spans="1:4">
      <c r="A127" s="1">
        <v>41822</v>
      </c>
      <c r="B127" s="15">
        <v>105.18</v>
      </c>
      <c r="C127" s="4">
        <f t="shared" si="1"/>
        <v>-8.2971902696586403E-3</v>
      </c>
      <c r="D127" s="4"/>
    </row>
    <row r="128" spans="1:4">
      <c r="A128" s="1">
        <v>41823</v>
      </c>
      <c r="B128" s="15">
        <v>104.76</v>
      </c>
      <c r="C128" s="4">
        <f t="shared" si="1"/>
        <v>-3.9931545921277969E-3</v>
      </c>
      <c r="D128" s="4"/>
    </row>
    <row r="129" spans="1:4">
      <c r="A129" s="1">
        <v>41827</v>
      </c>
      <c r="B129" s="15">
        <v>104.19</v>
      </c>
      <c r="C129" s="4">
        <f t="shared" si="1"/>
        <v>-5.441008018327676E-3</v>
      </c>
      <c r="D129" s="4"/>
    </row>
    <row r="130" spans="1:4">
      <c r="A130" s="1">
        <v>41828</v>
      </c>
      <c r="B130" s="15">
        <v>104.06</v>
      </c>
      <c r="C130" s="4">
        <f t="shared" si="1"/>
        <v>-1.2477205106055807E-3</v>
      </c>
      <c r="D130" s="4"/>
    </row>
    <row r="131" spans="1:4">
      <c r="A131" s="1">
        <v>41829</v>
      </c>
      <c r="B131" s="15">
        <v>102.93</v>
      </c>
      <c r="C131" s="4">
        <f t="shared" ref="C131:C194" si="2">(B131-B130)/B130</f>
        <v>-1.0859119738612295E-2</v>
      </c>
      <c r="D131" s="4"/>
    </row>
    <row r="132" spans="1:4">
      <c r="A132" s="1">
        <v>41830</v>
      </c>
      <c r="B132" s="15">
        <v>103.61</v>
      </c>
      <c r="C132" s="4">
        <f t="shared" si="2"/>
        <v>6.6064315554259451E-3</v>
      </c>
      <c r="D132" s="4"/>
    </row>
    <row r="133" spans="1:4">
      <c r="A133" s="1">
        <v>41831</v>
      </c>
      <c r="B133" s="15">
        <v>101.48</v>
      </c>
      <c r="C133" s="4">
        <f t="shared" si="2"/>
        <v>-2.0557861210307841E-2</v>
      </c>
      <c r="D133" s="4"/>
    </row>
    <row r="134" spans="1:4">
      <c r="A134" s="1">
        <v>41834</v>
      </c>
      <c r="B134" s="15">
        <v>101.73</v>
      </c>
      <c r="C134" s="4">
        <f t="shared" si="2"/>
        <v>2.4635396137169885E-3</v>
      </c>
      <c r="D134" s="4"/>
    </row>
    <row r="135" spans="1:4">
      <c r="A135" s="1">
        <v>41835</v>
      </c>
      <c r="B135" s="15">
        <v>100.56</v>
      </c>
      <c r="C135" s="4">
        <f t="shared" si="2"/>
        <v>-1.1501032143910368E-2</v>
      </c>
      <c r="D135" s="4"/>
    </row>
    <row r="136" spans="1:4">
      <c r="A136" s="1">
        <v>41836</v>
      </c>
      <c r="B136" s="15">
        <v>101.88</v>
      </c>
      <c r="C136" s="4">
        <f t="shared" si="2"/>
        <v>1.3126491646777975E-2</v>
      </c>
      <c r="D136" s="4"/>
    </row>
    <row r="137" spans="1:4">
      <c r="A137" s="1">
        <v>41837</v>
      </c>
      <c r="B137" s="15">
        <v>103.84</v>
      </c>
      <c r="C137" s="4">
        <f t="shared" si="2"/>
        <v>1.9238319591676562E-2</v>
      </c>
      <c r="D137" s="4"/>
    </row>
    <row r="138" spans="1:4">
      <c r="A138" s="1">
        <v>41838</v>
      </c>
      <c r="B138" s="15">
        <v>103.83</v>
      </c>
      <c r="C138" s="4">
        <f t="shared" si="2"/>
        <v>-9.6302003081713365E-5</v>
      </c>
      <c r="D138" s="4"/>
    </row>
    <row r="139" spans="1:4">
      <c r="A139" s="1">
        <v>41841</v>
      </c>
      <c r="B139" s="15">
        <v>105.34</v>
      </c>
      <c r="C139" s="4">
        <f t="shared" si="2"/>
        <v>1.4543002985649669E-2</v>
      </c>
      <c r="D139" s="4"/>
    </row>
    <row r="140" spans="1:4">
      <c r="A140" s="1">
        <v>41842</v>
      </c>
      <c r="B140" s="15">
        <v>104.59</v>
      </c>
      <c r="C140" s="4">
        <f t="shared" si="2"/>
        <v>-7.1198025441427757E-3</v>
      </c>
      <c r="D140" s="4"/>
    </row>
    <row r="141" spans="1:4">
      <c r="A141" s="1">
        <v>41843</v>
      </c>
      <c r="B141" s="15">
        <v>103.81</v>
      </c>
      <c r="C141" s="4">
        <f t="shared" si="2"/>
        <v>-7.4576919399560295E-3</v>
      </c>
      <c r="D141" s="4"/>
    </row>
    <row r="142" spans="1:4">
      <c r="A142" s="1">
        <v>41844</v>
      </c>
      <c r="B142" s="15">
        <v>102.76</v>
      </c>
      <c r="C142" s="4">
        <f t="shared" si="2"/>
        <v>-1.0114632501685745E-2</v>
      </c>
      <c r="D142" s="4"/>
    </row>
    <row r="143" spans="1:4">
      <c r="A143" s="1">
        <v>41845</v>
      </c>
      <c r="B143" s="15">
        <v>105.23</v>
      </c>
      <c r="C143" s="4">
        <f t="shared" si="2"/>
        <v>2.4036590112884379E-2</v>
      </c>
      <c r="D143" s="4"/>
    </row>
    <row r="144" spans="1:4">
      <c r="A144" s="1">
        <v>41848</v>
      </c>
      <c r="B144" s="15">
        <v>105.68</v>
      </c>
      <c r="C144" s="4">
        <f t="shared" si="2"/>
        <v>4.276347049320563E-3</v>
      </c>
      <c r="D144" s="4"/>
    </row>
    <row r="145" spans="1:4">
      <c r="A145" s="1">
        <v>41849</v>
      </c>
      <c r="B145" s="15">
        <v>104.91</v>
      </c>
      <c r="C145" s="4">
        <f t="shared" si="2"/>
        <v>-7.2861468584406713E-3</v>
      </c>
      <c r="D145" s="4"/>
    </row>
    <row r="146" spans="1:4">
      <c r="A146" s="1">
        <v>41850</v>
      </c>
      <c r="B146" s="15">
        <v>104.29</v>
      </c>
      <c r="C146" s="4">
        <f t="shared" si="2"/>
        <v>-5.9098274711656693E-3</v>
      </c>
      <c r="D146" s="4"/>
    </row>
    <row r="147" spans="1:4">
      <c r="A147" s="1">
        <v>41851</v>
      </c>
      <c r="B147" s="15">
        <v>98.23</v>
      </c>
      <c r="C147" s="4">
        <f t="shared" si="2"/>
        <v>-5.8107201073928486E-2</v>
      </c>
      <c r="D147" s="4"/>
    </row>
    <row r="148" spans="1:4">
      <c r="A148" s="1">
        <v>41852</v>
      </c>
      <c r="B148" s="15">
        <v>97.86</v>
      </c>
      <c r="C148" s="4">
        <f t="shared" si="2"/>
        <v>-3.7666700600631634E-3</v>
      </c>
      <c r="D148" s="4"/>
    </row>
    <row r="149" spans="1:4">
      <c r="A149" s="1">
        <v>41855</v>
      </c>
      <c r="B149" s="15">
        <v>98.26</v>
      </c>
      <c r="C149" s="4">
        <f t="shared" si="2"/>
        <v>4.0874718986307554E-3</v>
      </c>
      <c r="D149" s="4"/>
    </row>
    <row r="150" spans="1:4">
      <c r="A150" s="1">
        <v>41856</v>
      </c>
      <c r="B150" s="15">
        <v>97.34</v>
      </c>
      <c r="C150" s="4">
        <f t="shared" si="2"/>
        <v>-9.3629147160594513E-3</v>
      </c>
      <c r="D150" s="4"/>
    </row>
    <row r="151" spans="1:4">
      <c r="A151" s="1">
        <v>41857</v>
      </c>
      <c r="B151" s="15">
        <v>96.93</v>
      </c>
      <c r="C151" s="4">
        <f t="shared" si="2"/>
        <v>-4.2120402712142648E-3</v>
      </c>
      <c r="D151" s="4"/>
    </row>
    <row r="152" spans="1:4">
      <c r="A152" s="1">
        <v>41858</v>
      </c>
      <c r="B152" s="15">
        <v>97.34</v>
      </c>
      <c r="C152" s="4">
        <f t="shared" si="2"/>
        <v>4.2298565975445847E-3</v>
      </c>
      <c r="D152" s="4"/>
    </row>
    <row r="153" spans="1:4">
      <c r="A153" s="1">
        <v>41859</v>
      </c>
      <c r="B153" s="15">
        <v>97.61</v>
      </c>
      <c r="C153" s="4">
        <f t="shared" si="2"/>
        <v>2.7737826176288884E-3</v>
      </c>
      <c r="D153" s="4"/>
    </row>
    <row r="154" spans="1:4">
      <c r="A154" s="1">
        <v>41862</v>
      </c>
      <c r="B154" s="15">
        <v>98.09</v>
      </c>
      <c r="C154" s="4">
        <f t="shared" si="2"/>
        <v>4.9175289417068332E-3</v>
      </c>
      <c r="D154" s="4"/>
    </row>
    <row r="155" spans="1:4">
      <c r="A155" s="1">
        <v>41863</v>
      </c>
      <c r="B155" s="15">
        <v>97.36</v>
      </c>
      <c r="C155" s="4">
        <f t="shared" si="2"/>
        <v>-7.4421449689061467E-3</v>
      </c>
      <c r="D155" s="4"/>
    </row>
    <row r="156" spans="1:4">
      <c r="A156" s="1">
        <v>41864</v>
      </c>
      <c r="B156" s="15">
        <v>97.57</v>
      </c>
      <c r="C156" s="4">
        <f t="shared" si="2"/>
        <v>2.1569433032045371E-3</v>
      </c>
      <c r="D156" s="4"/>
    </row>
    <row r="157" spans="1:4">
      <c r="A157" s="1">
        <v>41865</v>
      </c>
      <c r="B157" s="15">
        <v>95.54</v>
      </c>
      <c r="C157" s="4">
        <f t="shared" si="2"/>
        <v>-2.0805575484267574E-2</v>
      </c>
      <c r="D157" s="4"/>
    </row>
    <row r="158" spans="1:4">
      <c r="A158" s="1">
        <v>41866</v>
      </c>
      <c r="B158" s="15">
        <v>97.3</v>
      </c>
      <c r="C158" s="4">
        <f t="shared" si="2"/>
        <v>1.8421603516851483E-2</v>
      </c>
      <c r="D158" s="4"/>
    </row>
    <row r="159" spans="1:4">
      <c r="A159" s="1">
        <v>41869</v>
      </c>
      <c r="B159" s="15">
        <v>96.44</v>
      </c>
      <c r="C159" s="4">
        <f t="shared" si="2"/>
        <v>-8.8386433710174669E-3</v>
      </c>
      <c r="D159" s="4"/>
    </row>
    <row r="160" spans="1:4">
      <c r="A160" s="1">
        <v>41870</v>
      </c>
      <c r="B160" s="15">
        <v>94.35</v>
      </c>
      <c r="C160" s="4">
        <f t="shared" si="2"/>
        <v>-2.1671505599336411E-2</v>
      </c>
      <c r="D160" s="4"/>
    </row>
    <row r="161" spans="1:4">
      <c r="A161" s="1">
        <v>41871</v>
      </c>
      <c r="B161" s="15">
        <v>96.4</v>
      </c>
      <c r="C161" s="4">
        <f t="shared" si="2"/>
        <v>2.1727609962904203E-2</v>
      </c>
      <c r="D161" s="4"/>
    </row>
    <row r="162" spans="1:4">
      <c r="A162" s="1">
        <v>41872</v>
      </c>
      <c r="B162" s="15">
        <v>93.97</v>
      </c>
      <c r="C162" s="4">
        <f t="shared" si="2"/>
        <v>-2.520746887966812E-2</v>
      </c>
      <c r="D162" s="4"/>
    </row>
    <row r="163" spans="1:4">
      <c r="A163" s="1">
        <v>41873</v>
      </c>
      <c r="B163" s="15">
        <v>93.61</v>
      </c>
      <c r="C163" s="4">
        <f t="shared" si="2"/>
        <v>-3.8310098967755607E-3</v>
      </c>
      <c r="D163" s="4"/>
    </row>
    <row r="164" spans="1:4">
      <c r="A164" s="1">
        <v>41876</v>
      </c>
      <c r="B164" s="15">
        <v>95.39</v>
      </c>
      <c r="C164" s="4">
        <f t="shared" si="2"/>
        <v>1.9015062493323374E-2</v>
      </c>
      <c r="D164" s="4"/>
    </row>
    <row r="165" spans="1:4">
      <c r="A165" s="1">
        <v>41877</v>
      </c>
      <c r="B165" s="15">
        <v>95.78</v>
      </c>
      <c r="C165" s="4">
        <f t="shared" si="2"/>
        <v>4.0884788761924792E-3</v>
      </c>
      <c r="D165" s="4"/>
    </row>
    <row r="166" spans="1:4">
      <c r="A166" s="1">
        <v>41878</v>
      </c>
      <c r="B166" s="15">
        <v>95.82</v>
      </c>
      <c r="C166" s="4">
        <f t="shared" si="2"/>
        <v>4.1762372102727125E-4</v>
      </c>
      <c r="D166" s="4"/>
    </row>
    <row r="167" spans="1:4">
      <c r="A167" s="1">
        <v>41879</v>
      </c>
      <c r="B167" s="15">
        <v>96.44</v>
      </c>
      <c r="C167" s="4">
        <f t="shared" si="2"/>
        <v>6.4704654560635002E-3</v>
      </c>
      <c r="D167" s="4"/>
    </row>
    <row r="168" spans="1:4">
      <c r="A168" s="1">
        <v>41880</v>
      </c>
      <c r="B168" s="15">
        <v>97.86</v>
      </c>
      <c r="C168" s="4">
        <f t="shared" si="2"/>
        <v>1.4724180837826647E-2</v>
      </c>
      <c r="D168" s="4"/>
    </row>
    <row r="169" spans="1:4">
      <c r="A169" s="1">
        <v>41884</v>
      </c>
      <c r="B169" s="15">
        <v>92.92</v>
      </c>
      <c r="C169" s="4">
        <f t="shared" si="2"/>
        <v>-5.0480277948089083E-2</v>
      </c>
      <c r="D169" s="4"/>
    </row>
    <row r="170" spans="1:4">
      <c r="A170" s="1">
        <v>41885</v>
      </c>
      <c r="B170" s="15">
        <v>95.5</v>
      </c>
      <c r="C170" s="4">
        <f t="shared" si="2"/>
        <v>2.7765820060266878E-2</v>
      </c>
      <c r="D170" s="4"/>
    </row>
    <row r="171" spans="1:4">
      <c r="A171" s="1">
        <v>41886</v>
      </c>
      <c r="B171" s="15">
        <v>94.51</v>
      </c>
      <c r="C171" s="4">
        <f t="shared" si="2"/>
        <v>-1.0366492146596806E-2</v>
      </c>
      <c r="D171" s="4"/>
    </row>
    <row r="172" spans="1:4">
      <c r="A172" s="1">
        <v>41887</v>
      </c>
      <c r="B172" s="15">
        <v>93.32</v>
      </c>
      <c r="C172" s="4">
        <f t="shared" si="2"/>
        <v>-1.2591260184107627E-2</v>
      </c>
      <c r="D172" s="4"/>
    </row>
    <row r="173" spans="1:4">
      <c r="A173" s="1">
        <v>41890</v>
      </c>
      <c r="B173" s="15">
        <v>92.64</v>
      </c>
      <c r="C173" s="4">
        <f t="shared" si="2"/>
        <v>-7.2867552507500282E-3</v>
      </c>
      <c r="D173" s="4"/>
    </row>
    <row r="174" spans="1:4">
      <c r="A174" s="1">
        <v>41891</v>
      </c>
      <c r="B174" s="15">
        <v>92.73</v>
      </c>
      <c r="C174" s="4">
        <f t="shared" si="2"/>
        <v>9.7150259067361197E-4</v>
      </c>
      <c r="D174" s="4"/>
    </row>
    <row r="175" spans="1:4">
      <c r="A175" s="1">
        <v>41892</v>
      </c>
      <c r="B175" s="15">
        <v>91.71</v>
      </c>
      <c r="C175" s="4">
        <f t="shared" si="2"/>
        <v>-1.0999676480103636E-2</v>
      </c>
      <c r="D175" s="4"/>
    </row>
    <row r="176" spans="1:4">
      <c r="A176" s="1">
        <v>41893</v>
      </c>
      <c r="B176" s="15">
        <v>92.89</v>
      </c>
      <c r="C176" s="4">
        <f t="shared" si="2"/>
        <v>1.28666448587941E-2</v>
      </c>
      <c r="D176" s="4"/>
    </row>
    <row r="177" spans="1:4">
      <c r="A177" s="1">
        <v>41894</v>
      </c>
      <c r="B177" s="15">
        <v>92.18</v>
      </c>
      <c r="C177" s="4">
        <f t="shared" si="2"/>
        <v>-7.6434492410377194E-3</v>
      </c>
      <c r="D177" s="4"/>
    </row>
    <row r="178" spans="1:4">
      <c r="A178" s="1">
        <v>41897</v>
      </c>
      <c r="B178" s="15">
        <v>92.86</v>
      </c>
      <c r="C178" s="4">
        <f t="shared" si="2"/>
        <v>7.3768713386851001E-3</v>
      </c>
      <c r="D178" s="4"/>
    </row>
    <row r="179" spans="1:4">
      <c r="A179" s="1">
        <v>41898</v>
      </c>
      <c r="B179" s="15">
        <v>94.91</v>
      </c>
      <c r="C179" s="4">
        <f t="shared" si="2"/>
        <v>2.2076243807882805E-2</v>
      </c>
      <c r="D179" s="4"/>
    </row>
    <row r="180" spans="1:4">
      <c r="A180" s="1">
        <v>41899</v>
      </c>
      <c r="B180" s="15">
        <v>94.33</v>
      </c>
      <c r="C180" s="4">
        <f t="shared" si="2"/>
        <v>-6.1110525761247318E-3</v>
      </c>
      <c r="D180" s="4"/>
    </row>
    <row r="181" spans="1:4">
      <c r="A181" s="1">
        <v>41900</v>
      </c>
      <c r="B181" s="15">
        <v>93.07</v>
      </c>
      <c r="C181" s="4">
        <f t="shared" si="2"/>
        <v>-1.3357362450970054E-2</v>
      </c>
      <c r="D181" s="4"/>
    </row>
    <row r="182" spans="1:4">
      <c r="A182" s="1">
        <v>41901</v>
      </c>
      <c r="B182" s="15">
        <v>92.43</v>
      </c>
      <c r="C182" s="4">
        <f t="shared" si="2"/>
        <v>-6.8765445363703276E-3</v>
      </c>
      <c r="D182" s="4"/>
    </row>
    <row r="183" spans="1:4">
      <c r="A183" s="1">
        <v>41904</v>
      </c>
      <c r="B183" s="15">
        <v>91.46</v>
      </c>
      <c r="C183" s="4">
        <f t="shared" si="2"/>
        <v>-1.0494428215947343E-2</v>
      </c>
      <c r="D183" s="4"/>
    </row>
    <row r="184" spans="1:4">
      <c r="A184" s="1">
        <v>41905</v>
      </c>
      <c r="B184" s="15">
        <v>91.55</v>
      </c>
      <c r="C184" s="4">
        <f t="shared" si="2"/>
        <v>9.8403673737156592E-4</v>
      </c>
      <c r="D184" s="4"/>
    </row>
    <row r="185" spans="1:4">
      <c r="A185" s="1">
        <v>41906</v>
      </c>
      <c r="B185" s="15">
        <v>93.6</v>
      </c>
      <c r="C185" s="4">
        <f t="shared" si="2"/>
        <v>2.239213544511193E-2</v>
      </c>
      <c r="D185" s="4"/>
    </row>
    <row r="186" spans="1:4">
      <c r="A186" s="1">
        <v>41907</v>
      </c>
      <c r="B186" s="15">
        <v>93.59</v>
      </c>
      <c r="C186" s="4">
        <f t="shared" si="2"/>
        <v>-1.0683760683750968E-4</v>
      </c>
      <c r="D186" s="4"/>
    </row>
    <row r="187" spans="1:4">
      <c r="A187" s="1">
        <v>41908</v>
      </c>
      <c r="B187" s="15">
        <v>95.55</v>
      </c>
      <c r="C187" s="4">
        <f t="shared" si="2"/>
        <v>2.0942408376963283E-2</v>
      </c>
      <c r="D187" s="4"/>
    </row>
    <row r="188" spans="1:4">
      <c r="A188" s="1">
        <v>41911</v>
      </c>
      <c r="B188" s="15">
        <v>94.53</v>
      </c>
      <c r="C188" s="4">
        <f t="shared" si="2"/>
        <v>-1.0675039246467776E-2</v>
      </c>
      <c r="D188" s="4"/>
    </row>
    <row r="189" spans="1:4">
      <c r="A189" s="1">
        <v>41912</v>
      </c>
      <c r="B189" s="15">
        <v>91.17</v>
      </c>
      <c r="C189" s="4">
        <f t="shared" si="2"/>
        <v>-3.5544271659790537E-2</v>
      </c>
      <c r="D189" s="4"/>
    </row>
    <row r="190" spans="1:4">
      <c r="A190" s="1">
        <v>41913</v>
      </c>
      <c r="B190" s="15">
        <v>90.74</v>
      </c>
      <c r="C190" s="4">
        <f t="shared" si="2"/>
        <v>-4.7164637490403295E-3</v>
      </c>
      <c r="D190" s="4"/>
    </row>
    <row r="191" spans="1:4">
      <c r="A191" s="1">
        <v>41914</v>
      </c>
      <c r="B191" s="15">
        <v>91.02</v>
      </c>
      <c r="C191" s="4">
        <f t="shared" si="2"/>
        <v>3.085739475424302E-3</v>
      </c>
      <c r="D191" s="4"/>
    </row>
    <row r="192" spans="1:4">
      <c r="A192" s="1">
        <v>41915</v>
      </c>
      <c r="B192" s="15">
        <v>89.76</v>
      </c>
      <c r="C192" s="4">
        <f t="shared" si="2"/>
        <v>-1.3843111404086915E-2</v>
      </c>
      <c r="D192" s="4"/>
    </row>
    <row r="193" spans="1:4">
      <c r="A193" s="1">
        <v>41918</v>
      </c>
      <c r="B193" s="15">
        <v>90.33</v>
      </c>
      <c r="C193" s="4">
        <f t="shared" si="2"/>
        <v>6.3502673796790683E-3</v>
      </c>
      <c r="D193" s="4"/>
    </row>
    <row r="194" spans="1:4">
      <c r="A194" s="1">
        <v>41919</v>
      </c>
      <c r="B194" s="15">
        <v>88.89</v>
      </c>
      <c r="C194" s="4">
        <f t="shared" si="2"/>
        <v>-1.5941547658585162E-2</v>
      </c>
      <c r="D194" s="4"/>
    </row>
    <row r="195" spans="1:4">
      <c r="A195" s="1">
        <v>41920</v>
      </c>
      <c r="B195" s="15">
        <v>87.29</v>
      </c>
      <c r="C195" s="4">
        <f t="shared" ref="C195:C258" si="3">(B195-B194)/B194</f>
        <v>-1.7999775002812402E-2</v>
      </c>
      <c r="D195" s="4"/>
    </row>
    <row r="196" spans="1:4">
      <c r="A196" s="1">
        <v>41921</v>
      </c>
      <c r="B196" s="15">
        <v>85.76</v>
      </c>
      <c r="C196" s="4">
        <f t="shared" si="3"/>
        <v>-1.7527780960018342E-2</v>
      </c>
      <c r="D196" s="4"/>
    </row>
    <row r="197" spans="1:4">
      <c r="A197" s="1">
        <v>41922</v>
      </c>
      <c r="B197" s="15">
        <v>85.87</v>
      </c>
      <c r="C197" s="4">
        <f t="shared" si="3"/>
        <v>1.2826492537313366E-3</v>
      </c>
      <c r="D197" s="4"/>
    </row>
    <row r="198" spans="1:4">
      <c r="A198" s="1">
        <v>41925</v>
      </c>
      <c r="B198" s="15">
        <v>85.73</v>
      </c>
      <c r="C198" s="4">
        <f t="shared" si="3"/>
        <v>-1.6303714917899215E-3</v>
      </c>
      <c r="D198" s="4"/>
    </row>
    <row r="199" spans="1:4">
      <c r="A199" s="1">
        <v>41926</v>
      </c>
      <c r="B199" s="15">
        <v>81.72</v>
      </c>
      <c r="C199" s="4">
        <f t="shared" si="3"/>
        <v>-4.6774757961040532E-2</v>
      </c>
      <c r="D199" s="4"/>
    </row>
    <row r="200" spans="1:4">
      <c r="A200" s="1">
        <v>41927</v>
      </c>
      <c r="B200" s="15">
        <v>81.819999999999993</v>
      </c>
      <c r="C200" s="4">
        <f t="shared" si="3"/>
        <v>1.2236906510033568E-3</v>
      </c>
      <c r="D200" s="4"/>
    </row>
    <row r="201" spans="1:4">
      <c r="A201" s="1">
        <v>41928</v>
      </c>
      <c r="B201" s="15">
        <v>82.33</v>
      </c>
      <c r="C201" s="4">
        <f t="shared" si="3"/>
        <v>6.233194817892999E-3</v>
      </c>
      <c r="D201" s="4"/>
    </row>
    <row r="202" spans="1:4">
      <c r="A202" s="1">
        <v>41929</v>
      </c>
      <c r="B202" s="15">
        <v>82.8</v>
      </c>
      <c r="C202" s="4">
        <f t="shared" si="3"/>
        <v>5.7087331470909615E-3</v>
      </c>
      <c r="D202" s="4"/>
    </row>
    <row r="203" spans="1:4">
      <c r="A203" s="1">
        <v>41932</v>
      </c>
      <c r="B203" s="15">
        <v>82.76</v>
      </c>
      <c r="C203" s="4">
        <f t="shared" si="3"/>
        <v>-4.8309178743951745E-4</v>
      </c>
      <c r="D203" s="4"/>
    </row>
    <row r="204" spans="1:4">
      <c r="A204" s="1">
        <v>41933</v>
      </c>
      <c r="B204" s="15">
        <v>83.25</v>
      </c>
      <c r="C204" s="4">
        <f t="shared" si="3"/>
        <v>5.9207346544223639E-3</v>
      </c>
      <c r="D204" s="4"/>
    </row>
    <row r="205" spans="1:4">
      <c r="A205" s="1">
        <v>41934</v>
      </c>
      <c r="B205" s="15">
        <v>80.52</v>
      </c>
      <c r="C205" s="4">
        <f t="shared" si="3"/>
        <v>-3.2792792792792839E-2</v>
      </c>
      <c r="D205" s="4"/>
    </row>
    <row r="206" spans="1:4">
      <c r="A206" s="1">
        <v>41935</v>
      </c>
      <c r="B206" s="15">
        <v>82.81</v>
      </c>
      <c r="C206" s="4">
        <f t="shared" si="3"/>
        <v>2.8440139095876879E-2</v>
      </c>
      <c r="D206" s="4"/>
    </row>
    <row r="207" spans="1:4">
      <c r="A207" s="1">
        <v>41936</v>
      </c>
      <c r="B207" s="15">
        <v>81.27</v>
      </c>
      <c r="C207" s="4">
        <f t="shared" si="3"/>
        <v>-1.8596787827557134E-2</v>
      </c>
      <c r="D207" s="4"/>
    </row>
    <row r="208" spans="1:4">
      <c r="A208" s="1">
        <v>41939</v>
      </c>
      <c r="B208" s="15">
        <v>81.260000000000005</v>
      </c>
      <c r="C208" s="4">
        <f t="shared" si="3"/>
        <v>-1.2304663467442974E-4</v>
      </c>
      <c r="D208" s="4"/>
    </row>
    <row r="209" spans="1:4">
      <c r="A209" s="1">
        <v>41940</v>
      </c>
      <c r="B209" s="15">
        <v>81.36</v>
      </c>
      <c r="C209" s="4">
        <f t="shared" si="3"/>
        <v>1.2306177701205305E-3</v>
      </c>
      <c r="D209" s="4"/>
    </row>
    <row r="210" spans="1:4">
      <c r="A210" s="1">
        <v>41941</v>
      </c>
      <c r="B210" s="15">
        <v>82.25</v>
      </c>
      <c r="C210" s="4">
        <f t="shared" si="3"/>
        <v>1.0939036381514264E-2</v>
      </c>
      <c r="D210" s="4"/>
    </row>
    <row r="211" spans="1:4">
      <c r="A211" s="1">
        <v>41942</v>
      </c>
      <c r="B211" s="15">
        <v>81.06</v>
      </c>
      <c r="C211" s="4">
        <f t="shared" si="3"/>
        <v>-1.4468085106382951E-2</v>
      </c>
      <c r="D211" s="4"/>
    </row>
    <row r="212" spans="1:4">
      <c r="A212" s="1">
        <v>41943</v>
      </c>
      <c r="B212" s="15">
        <v>80.53</v>
      </c>
      <c r="C212" s="4">
        <f t="shared" si="3"/>
        <v>-6.5383666419935992E-3</v>
      </c>
      <c r="D212" s="4"/>
    </row>
    <row r="213" spans="1:4">
      <c r="A213" s="1">
        <v>41946</v>
      </c>
      <c r="B213" s="15">
        <v>78.77</v>
      </c>
      <c r="C213" s="4">
        <f t="shared" si="3"/>
        <v>-2.1855209238793059E-2</v>
      </c>
      <c r="D213" s="4"/>
    </row>
    <row r="214" spans="1:4">
      <c r="A214" s="1">
        <v>41947</v>
      </c>
      <c r="B214" s="15">
        <v>77.150000000000006</v>
      </c>
      <c r="C214" s="4">
        <f t="shared" si="3"/>
        <v>-2.0566205408150188E-2</v>
      </c>
      <c r="D214" s="4"/>
    </row>
    <row r="215" spans="1:4">
      <c r="A215" s="1">
        <v>41948</v>
      </c>
      <c r="B215" s="15">
        <v>78.709999999999994</v>
      </c>
      <c r="C215" s="4">
        <f t="shared" si="3"/>
        <v>2.0220349967595436E-2</v>
      </c>
      <c r="D215" s="4"/>
    </row>
    <row r="216" spans="1:4">
      <c r="A216" s="1">
        <v>41949</v>
      </c>
      <c r="B216" s="15">
        <v>77.87</v>
      </c>
      <c r="C216" s="4">
        <f t="shared" si="3"/>
        <v>-1.0672087409477693E-2</v>
      </c>
      <c r="D216" s="4"/>
    </row>
    <row r="217" spans="1:4">
      <c r="A217" s="1">
        <v>41950</v>
      </c>
      <c r="B217" s="15">
        <v>78.709999999999994</v>
      </c>
      <c r="C217" s="4">
        <f t="shared" si="3"/>
        <v>1.0787209451650046E-2</v>
      </c>
      <c r="D217" s="4"/>
    </row>
    <row r="218" spans="1:4">
      <c r="A218" s="1">
        <v>41953</v>
      </c>
      <c r="B218" s="15">
        <v>77.430000000000007</v>
      </c>
      <c r="C218" s="4">
        <f t="shared" si="3"/>
        <v>-1.6262228433489862E-2</v>
      </c>
      <c r="D218" s="4"/>
    </row>
    <row r="219" spans="1:4">
      <c r="A219" s="1">
        <v>41954</v>
      </c>
      <c r="B219" s="15">
        <v>77.849999999999994</v>
      </c>
      <c r="C219" s="4">
        <f t="shared" si="3"/>
        <v>5.4242541650521437E-3</v>
      </c>
      <c r="D219" s="4"/>
    </row>
    <row r="220" spans="1:4">
      <c r="A220" s="1">
        <v>41955</v>
      </c>
      <c r="B220" s="15">
        <v>77.16</v>
      </c>
      <c r="C220" s="4">
        <f t="shared" si="3"/>
        <v>-8.8631984585741518E-3</v>
      </c>
      <c r="D220" s="4"/>
    </row>
    <row r="221" spans="1:4">
      <c r="A221" s="1">
        <v>41956</v>
      </c>
      <c r="B221" s="15">
        <v>74.13</v>
      </c>
      <c r="C221" s="4">
        <f t="shared" si="3"/>
        <v>-3.9269051321928476E-2</v>
      </c>
      <c r="D221" s="4"/>
    </row>
    <row r="222" spans="1:4">
      <c r="A222" s="1">
        <v>41957</v>
      </c>
      <c r="B222" s="15">
        <v>75.91</v>
      </c>
      <c r="C222" s="4">
        <f t="shared" si="3"/>
        <v>2.4011871037366805E-2</v>
      </c>
      <c r="D222" s="4"/>
    </row>
    <row r="223" spans="1:4">
      <c r="A223" s="1">
        <v>41960</v>
      </c>
      <c r="B223" s="15">
        <v>75.64</v>
      </c>
      <c r="C223" s="4">
        <f t="shared" si="3"/>
        <v>-3.55684363061515E-3</v>
      </c>
      <c r="D223" s="4"/>
    </row>
    <row r="224" spans="1:4">
      <c r="A224" s="1">
        <v>41961</v>
      </c>
      <c r="B224" s="15">
        <v>74.55</v>
      </c>
      <c r="C224" s="4">
        <f t="shared" si="3"/>
        <v>-1.4410364886303588E-2</v>
      </c>
      <c r="D224" s="4"/>
    </row>
    <row r="225" spans="1:4">
      <c r="A225" s="1">
        <v>41962</v>
      </c>
      <c r="B225" s="15">
        <v>74.55</v>
      </c>
      <c r="C225" s="4">
        <f t="shared" si="3"/>
        <v>0</v>
      </c>
      <c r="D225" s="4"/>
    </row>
    <row r="226" spans="1:4">
      <c r="A226" s="1">
        <v>41963</v>
      </c>
      <c r="B226" s="15">
        <v>75.63</v>
      </c>
      <c r="C226" s="4">
        <f t="shared" si="3"/>
        <v>1.4486921529175028E-2</v>
      </c>
      <c r="D226" s="4"/>
    </row>
    <row r="227" spans="1:4">
      <c r="A227" s="1">
        <v>41964</v>
      </c>
      <c r="B227" s="15">
        <v>76.52</v>
      </c>
      <c r="C227" s="4">
        <f t="shared" si="3"/>
        <v>1.1767817003834466E-2</v>
      </c>
      <c r="D227" s="4"/>
    </row>
    <row r="228" spans="1:4">
      <c r="A228" s="1">
        <v>41967</v>
      </c>
      <c r="B228" s="15">
        <v>75.739999999999995</v>
      </c>
      <c r="C228" s="4">
        <f t="shared" si="3"/>
        <v>-1.0193413486670168E-2</v>
      </c>
      <c r="D228" s="4"/>
    </row>
    <row r="229" spans="1:4">
      <c r="A229" s="1">
        <v>41968</v>
      </c>
      <c r="B229" s="15">
        <v>74.040000000000006</v>
      </c>
      <c r="C229" s="4">
        <f t="shared" si="3"/>
        <v>-2.2445207288090688E-2</v>
      </c>
      <c r="D229" s="4"/>
    </row>
    <row r="230" spans="1:4">
      <c r="A230" s="1">
        <v>41969</v>
      </c>
      <c r="B230" s="15">
        <v>73.7</v>
      </c>
      <c r="C230" s="4">
        <f t="shared" si="3"/>
        <v>-4.5921123716910232E-3</v>
      </c>
      <c r="D230" s="4"/>
    </row>
    <row r="231" spans="1:4">
      <c r="A231" s="1">
        <v>41971</v>
      </c>
      <c r="B231" s="15">
        <v>65.94</v>
      </c>
      <c r="C231" s="4">
        <f t="shared" si="3"/>
        <v>-0.10529172320217103</v>
      </c>
      <c r="D231" s="4"/>
    </row>
    <row r="232" spans="1:4">
      <c r="A232" s="1">
        <v>41974</v>
      </c>
      <c r="B232" s="15">
        <v>68.98</v>
      </c>
      <c r="C232" s="4">
        <f t="shared" si="3"/>
        <v>4.6102517440097156E-2</v>
      </c>
      <c r="D232" s="4"/>
    </row>
    <row r="233" spans="1:4">
      <c r="A233" s="1">
        <v>41975</v>
      </c>
      <c r="B233" s="15">
        <v>66.989999999999995</v>
      </c>
      <c r="C233" s="4">
        <f t="shared" si="3"/>
        <v>-2.8848941722238459E-2</v>
      </c>
      <c r="D233" s="4"/>
    </row>
    <row r="234" spans="1:4">
      <c r="A234" s="1">
        <v>41976</v>
      </c>
      <c r="B234" s="15">
        <v>67.3</v>
      </c>
      <c r="C234" s="4">
        <f t="shared" si="3"/>
        <v>4.6275563516943174E-3</v>
      </c>
      <c r="D234" s="4"/>
    </row>
    <row r="235" spans="1:4">
      <c r="A235" s="1">
        <v>41977</v>
      </c>
      <c r="B235" s="15">
        <v>66.73</v>
      </c>
      <c r="C235" s="4">
        <f t="shared" si="3"/>
        <v>-8.4695393759285763E-3</v>
      </c>
      <c r="D235" s="4"/>
    </row>
    <row r="236" spans="1:4">
      <c r="A236" s="1">
        <v>41978</v>
      </c>
      <c r="B236" s="15">
        <v>65.89</v>
      </c>
      <c r="C236" s="4">
        <f t="shared" si="3"/>
        <v>-1.2588041360707378E-2</v>
      </c>
      <c r="D236" s="4"/>
    </row>
    <row r="237" spans="1:4">
      <c r="A237" s="1">
        <v>41981</v>
      </c>
      <c r="B237" s="15">
        <v>63.13</v>
      </c>
      <c r="C237" s="4">
        <f t="shared" si="3"/>
        <v>-4.1887995143420821E-2</v>
      </c>
      <c r="D237" s="4"/>
    </row>
    <row r="238" spans="1:4">
      <c r="A238" s="1">
        <v>41982</v>
      </c>
      <c r="B238" s="15">
        <v>63.74</v>
      </c>
      <c r="C238" s="4">
        <f t="shared" si="3"/>
        <v>9.6626009821004187E-3</v>
      </c>
      <c r="D238" s="4"/>
    </row>
    <row r="239" spans="1:4">
      <c r="A239" s="1">
        <v>41983</v>
      </c>
      <c r="B239" s="15">
        <v>60.99</v>
      </c>
      <c r="C239" s="4">
        <f t="shared" si="3"/>
        <v>-4.3144022591779102E-2</v>
      </c>
      <c r="D239" s="4"/>
    </row>
    <row r="240" spans="1:4">
      <c r="A240" s="1">
        <v>41984</v>
      </c>
      <c r="B240" s="15">
        <v>60.01</v>
      </c>
      <c r="C240" s="4">
        <f t="shared" si="3"/>
        <v>-1.6068207902934971E-2</v>
      </c>
      <c r="D240" s="4"/>
    </row>
    <row r="241" spans="1:4">
      <c r="A241" s="1">
        <v>41985</v>
      </c>
      <c r="B241" s="15">
        <v>57.81</v>
      </c>
      <c r="C241" s="4">
        <f t="shared" si="3"/>
        <v>-3.6660556573904282E-2</v>
      </c>
      <c r="D241" s="4"/>
    </row>
    <row r="242" spans="1:4">
      <c r="A242" s="1">
        <v>41988</v>
      </c>
      <c r="B242" s="15">
        <v>55.96</v>
      </c>
      <c r="C242" s="4">
        <f t="shared" si="3"/>
        <v>-3.2001383843625691E-2</v>
      </c>
      <c r="D242" s="4"/>
    </row>
    <row r="243" spans="1:4">
      <c r="A243" s="1">
        <v>41989</v>
      </c>
      <c r="B243" s="15">
        <v>55.97</v>
      </c>
      <c r="C243" s="4">
        <f t="shared" si="3"/>
        <v>1.7869907076479647E-4</v>
      </c>
      <c r="D243" s="4"/>
    </row>
    <row r="244" spans="1:4">
      <c r="A244" s="1">
        <v>41990</v>
      </c>
      <c r="B244" s="15">
        <v>56.43</v>
      </c>
      <c r="C244" s="4">
        <f t="shared" si="3"/>
        <v>8.21868858316957E-3</v>
      </c>
      <c r="D244" s="4"/>
    </row>
    <row r="245" spans="1:4">
      <c r="A245" s="1">
        <v>41991</v>
      </c>
      <c r="B245" s="15">
        <v>54.18</v>
      </c>
      <c r="C245" s="4">
        <f t="shared" si="3"/>
        <v>-3.9872408293460927E-2</v>
      </c>
      <c r="D245" s="4"/>
    </row>
    <row r="246" spans="1:4">
      <c r="A246" s="1">
        <v>41992</v>
      </c>
      <c r="B246" s="15">
        <v>56.91</v>
      </c>
      <c r="C246" s="4">
        <f t="shared" si="3"/>
        <v>5.038759689922475E-2</v>
      </c>
      <c r="D246" s="4"/>
    </row>
    <row r="247" spans="1:4">
      <c r="A247" s="1">
        <v>41995</v>
      </c>
      <c r="B247" s="15">
        <v>55.25</v>
      </c>
      <c r="C247" s="4">
        <f t="shared" si="3"/>
        <v>-2.9168863117202543E-2</v>
      </c>
      <c r="D247" s="4"/>
    </row>
    <row r="248" spans="1:4">
      <c r="A248" s="1">
        <v>41996</v>
      </c>
      <c r="B248" s="15">
        <v>56.78</v>
      </c>
      <c r="C248" s="4">
        <f t="shared" si="3"/>
        <v>2.7692307692307714E-2</v>
      </c>
      <c r="D248" s="4"/>
    </row>
    <row r="249" spans="1:4">
      <c r="A249" s="1">
        <v>41997</v>
      </c>
      <c r="B249" s="15">
        <v>55.7</v>
      </c>
      <c r="C249" s="4">
        <f t="shared" si="3"/>
        <v>-1.9020781965480772E-2</v>
      </c>
      <c r="D249" s="4"/>
    </row>
    <row r="250" spans="1:4">
      <c r="A250" s="1">
        <v>41999</v>
      </c>
      <c r="B250" s="15">
        <v>54.59</v>
      </c>
      <c r="C250" s="4">
        <f t="shared" si="3"/>
        <v>-1.9928186714542179E-2</v>
      </c>
      <c r="D250" s="4"/>
    </row>
    <row r="251" spans="1:4">
      <c r="A251" s="1">
        <v>42002</v>
      </c>
      <c r="B251" s="15">
        <v>53.46</v>
      </c>
      <c r="C251" s="4">
        <f t="shared" si="3"/>
        <v>-2.0699761861146776E-2</v>
      </c>
      <c r="D251" s="4"/>
    </row>
    <row r="252" spans="1:4">
      <c r="A252" s="1">
        <v>42003</v>
      </c>
      <c r="B252" s="15">
        <v>54.14</v>
      </c>
      <c r="C252" s="4">
        <f t="shared" si="3"/>
        <v>1.2719790497568269E-2</v>
      </c>
      <c r="D252" s="4"/>
    </row>
    <row r="253" spans="1:4">
      <c r="A253" s="1">
        <v>42004</v>
      </c>
      <c r="B253" s="15">
        <v>53.45</v>
      </c>
      <c r="C253" s="4">
        <f t="shared" si="3"/>
        <v>-1.274473586996671E-2</v>
      </c>
      <c r="D253" s="4"/>
    </row>
    <row r="254" spans="1:4">
      <c r="A254" s="1">
        <v>42005</v>
      </c>
      <c r="B254" s="15">
        <v>53.45</v>
      </c>
      <c r="C254" s="4">
        <f t="shared" si="3"/>
        <v>0</v>
      </c>
      <c r="D254" s="4"/>
    </row>
    <row r="255" spans="1:4">
      <c r="A255" s="1">
        <v>42006</v>
      </c>
      <c r="B255" s="15">
        <v>52.72</v>
      </c>
      <c r="C255" s="4">
        <f t="shared" si="3"/>
        <v>-1.3657623947614666E-2</v>
      </c>
      <c r="D255" s="4"/>
    </row>
    <row r="256" spans="1:4">
      <c r="A256" s="1">
        <v>42009</v>
      </c>
      <c r="B256" s="15">
        <v>50.05</v>
      </c>
      <c r="C256" s="4">
        <f t="shared" si="3"/>
        <v>-5.0644916540212477E-2</v>
      </c>
      <c r="D256" s="4"/>
    </row>
    <row r="257" spans="1:4">
      <c r="A257" s="1">
        <v>42010</v>
      </c>
      <c r="B257" s="15">
        <v>47.98</v>
      </c>
      <c r="C257" s="4">
        <f t="shared" si="3"/>
        <v>-4.1358641358641368E-2</v>
      </c>
      <c r="D257" s="4"/>
    </row>
    <row r="258" spans="1:4">
      <c r="A258" s="1">
        <v>42011</v>
      </c>
      <c r="B258" s="15">
        <v>48.69</v>
      </c>
      <c r="C258" s="4">
        <f t="shared" si="3"/>
        <v>1.4797832430179261E-2</v>
      </c>
      <c r="D258" s="4"/>
    </row>
    <row r="259" spans="1:4">
      <c r="A259" s="1">
        <v>42012</v>
      </c>
      <c r="B259" s="15">
        <v>48.8</v>
      </c>
      <c r="C259" s="4">
        <f t="shared" ref="C259:C322" si="4">(B259-B258)/B258</f>
        <v>2.2591907989320073E-3</v>
      </c>
      <c r="D259" s="4"/>
    </row>
    <row r="260" spans="1:4">
      <c r="A260" s="1">
        <v>42013</v>
      </c>
      <c r="B260" s="15">
        <v>48.35</v>
      </c>
      <c r="C260" s="4">
        <f t="shared" si="4"/>
        <v>-9.2213114754097492E-3</v>
      </c>
      <c r="D260" s="4"/>
    </row>
    <row r="261" spans="1:4">
      <c r="A261" s="1">
        <v>42016</v>
      </c>
      <c r="B261" s="15">
        <v>46.06</v>
      </c>
      <c r="C261" s="4">
        <f t="shared" si="4"/>
        <v>-4.7362978283350551E-2</v>
      </c>
      <c r="D261" s="4"/>
    </row>
    <row r="262" spans="1:4">
      <c r="A262" s="1">
        <v>42017</v>
      </c>
      <c r="B262" s="15">
        <v>45.92</v>
      </c>
      <c r="C262" s="4">
        <f t="shared" si="4"/>
        <v>-3.0395136778115623E-3</v>
      </c>
      <c r="D262" s="4"/>
    </row>
    <row r="263" spans="1:4">
      <c r="A263" s="1">
        <v>42018</v>
      </c>
      <c r="B263" s="15">
        <v>48.49</v>
      </c>
      <c r="C263" s="4">
        <f t="shared" si="4"/>
        <v>5.5966898954703838E-2</v>
      </c>
      <c r="D263" s="4"/>
    </row>
    <row r="264" spans="1:4">
      <c r="A264" s="1">
        <v>42019</v>
      </c>
      <c r="B264" s="15">
        <v>46.37</v>
      </c>
      <c r="C264" s="4">
        <f t="shared" si="4"/>
        <v>-4.3720354712311907E-2</v>
      </c>
      <c r="D264" s="4"/>
    </row>
    <row r="265" spans="1:4">
      <c r="A265" s="1">
        <v>42020</v>
      </c>
      <c r="B265" s="15">
        <v>48.49</v>
      </c>
      <c r="C265" s="4">
        <f t="shared" si="4"/>
        <v>4.5719215009704654E-2</v>
      </c>
      <c r="D265" s="4"/>
    </row>
    <row r="266" spans="1:4">
      <c r="A266" s="1">
        <v>42024</v>
      </c>
      <c r="B266" s="15">
        <v>46.79</v>
      </c>
      <c r="C266" s="4">
        <f t="shared" si="4"/>
        <v>-3.5058775005155758E-2</v>
      </c>
      <c r="D266" s="4"/>
    </row>
    <row r="267" spans="1:4">
      <c r="A267" s="1">
        <v>42025</v>
      </c>
      <c r="B267" s="15">
        <v>47.85</v>
      </c>
      <c r="C267" s="4">
        <f t="shared" si="4"/>
        <v>2.2654413336182993E-2</v>
      </c>
      <c r="D267" s="4"/>
    </row>
    <row r="268" spans="1:4">
      <c r="A268" s="1">
        <v>42026</v>
      </c>
      <c r="B268" s="15">
        <v>45.93</v>
      </c>
      <c r="C268" s="4">
        <f t="shared" si="4"/>
        <v>-4.0125391849529818E-2</v>
      </c>
      <c r="D268" s="4"/>
    </row>
    <row r="269" spans="1:4">
      <c r="A269" s="1">
        <v>42027</v>
      </c>
      <c r="B269" s="15">
        <v>45.26</v>
      </c>
      <c r="C269" s="4">
        <f t="shared" si="4"/>
        <v>-1.4587415632484252E-2</v>
      </c>
      <c r="D269" s="4"/>
    </row>
    <row r="270" spans="1:4">
      <c r="A270" s="1">
        <v>42030</v>
      </c>
      <c r="B270" s="15">
        <v>44.8</v>
      </c>
      <c r="C270" s="4">
        <f t="shared" si="4"/>
        <v>-1.0163499779054373E-2</v>
      </c>
      <c r="D270" s="4"/>
    </row>
    <row r="271" spans="1:4">
      <c r="A271" s="1">
        <v>42031</v>
      </c>
      <c r="B271" s="15">
        <v>45.84</v>
      </c>
      <c r="C271" s="4">
        <f t="shared" si="4"/>
        <v>2.3214285714285854E-2</v>
      </c>
      <c r="D271" s="4"/>
    </row>
    <row r="272" spans="1:4">
      <c r="A272" s="1">
        <v>42032</v>
      </c>
      <c r="B272" s="15">
        <v>44.08</v>
      </c>
      <c r="C272" s="4">
        <f t="shared" si="4"/>
        <v>-3.8394415357766255E-2</v>
      </c>
      <c r="D272" s="4"/>
    </row>
    <row r="273" spans="1:4">
      <c r="A273" s="1">
        <v>42033</v>
      </c>
      <c r="B273" s="15">
        <v>44.12</v>
      </c>
      <c r="C273" s="4">
        <f t="shared" si="4"/>
        <v>9.0744101633391896E-4</v>
      </c>
      <c r="D273" s="4"/>
    </row>
    <row r="274" spans="1:4">
      <c r="A274" s="1">
        <v>42034</v>
      </c>
      <c r="B274" s="15">
        <v>47.79</v>
      </c>
      <c r="C274" s="4">
        <f t="shared" si="4"/>
        <v>8.3182230281051719E-2</v>
      </c>
      <c r="D274" s="4"/>
    </row>
    <row r="275" spans="1:4">
      <c r="A275" s="1">
        <v>42037</v>
      </c>
      <c r="B275" s="15">
        <v>49.25</v>
      </c>
      <c r="C275" s="4">
        <f t="shared" si="4"/>
        <v>3.0550324335635089E-2</v>
      </c>
      <c r="D275" s="4"/>
    </row>
    <row r="276" spans="1:4">
      <c r="A276" s="1">
        <v>42038</v>
      </c>
      <c r="B276" s="15">
        <v>53.04</v>
      </c>
      <c r="C276" s="4">
        <f t="shared" si="4"/>
        <v>7.695431472081217E-2</v>
      </c>
      <c r="D276" s="4"/>
    </row>
    <row r="277" spans="1:4">
      <c r="A277" s="1">
        <v>42039</v>
      </c>
      <c r="B277" s="15">
        <v>48.45</v>
      </c>
      <c r="C277" s="4">
        <f t="shared" si="4"/>
        <v>-8.6538461538461467E-2</v>
      </c>
      <c r="D277" s="4"/>
    </row>
    <row r="278" spans="1:4">
      <c r="A278" s="1">
        <v>42040</v>
      </c>
      <c r="B278" s="15">
        <v>50.48</v>
      </c>
      <c r="C278" s="4">
        <f t="shared" si="4"/>
        <v>4.18988648090814E-2</v>
      </c>
      <c r="D278" s="4"/>
    </row>
    <row r="279" spans="1:4">
      <c r="A279" s="1">
        <v>42041</v>
      </c>
      <c r="B279" s="15">
        <v>51.66</v>
      </c>
      <c r="C279" s="4">
        <f t="shared" si="4"/>
        <v>2.3375594294770201E-2</v>
      </c>
      <c r="D279" s="4"/>
    </row>
    <row r="280" spans="1:4">
      <c r="A280" s="1">
        <v>42044</v>
      </c>
      <c r="B280" s="15">
        <v>52.99</v>
      </c>
      <c r="C280" s="4">
        <f t="shared" si="4"/>
        <v>2.5745257452574631E-2</v>
      </c>
      <c r="D280" s="4"/>
    </row>
    <row r="281" spans="1:4">
      <c r="A281" s="1">
        <v>42045</v>
      </c>
      <c r="B281" s="15">
        <v>50.06</v>
      </c>
      <c r="C281" s="4">
        <f t="shared" si="4"/>
        <v>-5.529345159464049E-2</v>
      </c>
      <c r="D281" s="4"/>
    </row>
    <row r="282" spans="1:4">
      <c r="A282" s="1">
        <v>42046</v>
      </c>
      <c r="B282" s="15">
        <v>48.8</v>
      </c>
      <c r="C282" s="4">
        <f t="shared" si="4"/>
        <v>-2.5169796244506694E-2</v>
      </c>
      <c r="D282" s="4"/>
    </row>
    <row r="283" spans="1:4">
      <c r="A283" s="1">
        <v>42047</v>
      </c>
      <c r="B283" s="15">
        <v>51.17</v>
      </c>
      <c r="C283" s="4">
        <f t="shared" si="4"/>
        <v>4.85655737704919E-2</v>
      </c>
      <c r="D283" s="4"/>
    </row>
    <row r="284" spans="1:4">
      <c r="A284" s="1">
        <v>42048</v>
      </c>
      <c r="B284" s="15">
        <v>52.66</v>
      </c>
      <c r="C284" s="4">
        <f t="shared" si="4"/>
        <v>2.911862419386349E-2</v>
      </c>
      <c r="D284" s="4"/>
    </row>
    <row r="285" spans="1:4">
      <c r="A285" s="1">
        <v>42052</v>
      </c>
      <c r="B285" s="15">
        <v>53.56</v>
      </c>
      <c r="C285" s="4">
        <f t="shared" si="4"/>
        <v>1.7090770983668929E-2</v>
      </c>
      <c r="D285" s="4"/>
    </row>
    <row r="286" spans="1:4">
      <c r="A286" s="1">
        <v>42053</v>
      </c>
      <c r="B286" s="15">
        <v>52.13</v>
      </c>
      <c r="C286" s="4">
        <f t="shared" si="4"/>
        <v>-2.6699029126213587E-2</v>
      </c>
      <c r="D286" s="4"/>
    </row>
    <row r="287" spans="1:4">
      <c r="A287" s="1">
        <v>42054</v>
      </c>
      <c r="B287" s="15">
        <v>51.12</v>
      </c>
      <c r="C287" s="4">
        <f t="shared" si="4"/>
        <v>-1.9374640322271344E-2</v>
      </c>
      <c r="D287" s="4"/>
    </row>
    <row r="288" spans="1:4">
      <c r="A288" s="1">
        <v>42055</v>
      </c>
      <c r="B288" s="15">
        <v>49.95</v>
      </c>
      <c r="C288" s="4">
        <f t="shared" si="4"/>
        <v>-2.2887323943661868E-2</v>
      </c>
      <c r="D288" s="4"/>
    </row>
    <row r="289" spans="1:4">
      <c r="A289" s="1">
        <v>42058</v>
      </c>
      <c r="B289" s="15">
        <v>49.56</v>
      </c>
      <c r="C289" s="4">
        <f t="shared" si="4"/>
        <v>-7.8078078078078188E-3</v>
      </c>
      <c r="D289" s="4"/>
    </row>
    <row r="290" spans="1:4">
      <c r="A290" s="1">
        <v>42059</v>
      </c>
      <c r="B290" s="15">
        <v>48.48</v>
      </c>
      <c r="C290" s="4">
        <f t="shared" si="4"/>
        <v>-2.1791767554479528E-2</v>
      </c>
      <c r="D290" s="4"/>
    </row>
    <row r="291" spans="1:4">
      <c r="A291" s="1">
        <v>42060</v>
      </c>
      <c r="B291" s="15">
        <v>50.25</v>
      </c>
      <c r="C291" s="4">
        <f t="shared" si="4"/>
        <v>3.6509900990099077E-2</v>
      </c>
      <c r="D291" s="4"/>
    </row>
    <row r="292" spans="1:4">
      <c r="A292" s="1">
        <v>42061</v>
      </c>
      <c r="B292" s="15">
        <v>47.65</v>
      </c>
      <c r="C292" s="4">
        <f t="shared" si="4"/>
        <v>-5.1741293532338334E-2</v>
      </c>
      <c r="D292" s="4"/>
    </row>
    <row r="293" spans="1:4">
      <c r="A293" s="1">
        <v>42062</v>
      </c>
      <c r="B293" s="15">
        <v>49.84</v>
      </c>
      <c r="C293" s="4">
        <f t="shared" si="4"/>
        <v>4.5960125918153301E-2</v>
      </c>
      <c r="D293" s="4"/>
    </row>
    <row r="294" spans="1:4">
      <c r="A294" s="1">
        <v>42065</v>
      </c>
      <c r="B294" s="15">
        <v>49.59</v>
      </c>
      <c r="C294" s="4">
        <f t="shared" si="4"/>
        <v>-5.0160513643659711E-3</v>
      </c>
      <c r="D294" s="4"/>
    </row>
    <row r="295" spans="1:4">
      <c r="A295" s="1">
        <v>42066</v>
      </c>
      <c r="B295" s="15">
        <v>50.43</v>
      </c>
      <c r="C295" s="4">
        <f t="shared" si="4"/>
        <v>1.6938898971566772E-2</v>
      </c>
      <c r="D295" s="4"/>
    </row>
    <row r="296" spans="1:4">
      <c r="A296" s="1">
        <v>42067</v>
      </c>
      <c r="B296" s="15">
        <v>51.53</v>
      </c>
      <c r="C296" s="4">
        <f t="shared" si="4"/>
        <v>2.1812413246083708E-2</v>
      </c>
      <c r="D296" s="4"/>
    </row>
    <row r="297" spans="1:4">
      <c r="A297" s="1">
        <v>42068</v>
      </c>
      <c r="B297" s="15">
        <v>50.76</v>
      </c>
      <c r="C297" s="4">
        <f t="shared" si="4"/>
        <v>-1.4942751795070893E-2</v>
      </c>
      <c r="D297" s="4"/>
    </row>
    <row r="298" spans="1:4">
      <c r="A298" s="1">
        <v>42069</v>
      </c>
      <c r="B298" s="15">
        <v>49.61</v>
      </c>
      <c r="C298" s="4">
        <f t="shared" si="4"/>
        <v>-2.2655634357761991E-2</v>
      </c>
      <c r="D298" s="4"/>
    </row>
    <row r="299" spans="1:4">
      <c r="A299" s="1">
        <v>42072</v>
      </c>
      <c r="B299" s="15">
        <v>49.95</v>
      </c>
      <c r="C299" s="4">
        <f t="shared" si="4"/>
        <v>6.8534569643217778E-3</v>
      </c>
      <c r="D299" s="4"/>
    </row>
    <row r="300" spans="1:4">
      <c r="A300" s="1">
        <v>42073</v>
      </c>
      <c r="B300" s="15">
        <v>48.42</v>
      </c>
      <c r="C300" s="4">
        <f t="shared" si="4"/>
        <v>-3.0630630630630651E-2</v>
      </c>
      <c r="D300" s="4"/>
    </row>
    <row r="301" spans="1:4">
      <c r="A301" s="1">
        <v>42074</v>
      </c>
      <c r="B301" s="15">
        <v>48.06</v>
      </c>
      <c r="C301" s="4">
        <f t="shared" si="4"/>
        <v>-7.434944237918204E-3</v>
      </c>
      <c r="D301" s="4"/>
    </row>
    <row r="302" spans="1:4">
      <c r="A302" s="1">
        <v>42075</v>
      </c>
      <c r="B302" s="15">
        <v>47.12</v>
      </c>
      <c r="C302" s="4">
        <f t="shared" si="4"/>
        <v>-1.9558884727424154E-2</v>
      </c>
      <c r="D302" s="4"/>
    </row>
    <row r="303" spans="1:4">
      <c r="A303" s="1">
        <v>42076</v>
      </c>
      <c r="B303" s="15">
        <v>44.88</v>
      </c>
      <c r="C303" s="4">
        <f t="shared" si="4"/>
        <v>-4.7538200339558467E-2</v>
      </c>
      <c r="D303" s="4"/>
    </row>
    <row r="304" spans="1:4">
      <c r="A304" s="1">
        <v>42079</v>
      </c>
      <c r="B304" s="15">
        <v>43.93</v>
      </c>
      <c r="C304" s="4">
        <f t="shared" si="4"/>
        <v>-2.1167557932263877E-2</v>
      </c>
      <c r="D304" s="4"/>
    </row>
    <row r="305" spans="1:4">
      <c r="A305" s="1">
        <v>42080</v>
      </c>
      <c r="B305" s="15">
        <v>43.39</v>
      </c>
      <c r="C305" s="4">
        <f t="shared" si="4"/>
        <v>-1.2292283177782817E-2</v>
      </c>
      <c r="D305" s="4"/>
    </row>
    <row r="306" spans="1:4">
      <c r="A306" s="1">
        <v>42081</v>
      </c>
      <c r="B306" s="15">
        <v>44.63</v>
      </c>
      <c r="C306" s="4">
        <f t="shared" si="4"/>
        <v>2.8578013367135328E-2</v>
      </c>
      <c r="D306" s="4"/>
    </row>
    <row r="307" spans="1:4">
      <c r="A307" s="1">
        <v>42082</v>
      </c>
      <c r="B307" s="15">
        <v>44.02</v>
      </c>
      <c r="C307" s="4">
        <f t="shared" si="4"/>
        <v>-1.3667936365673301E-2</v>
      </c>
      <c r="D307" s="4"/>
    </row>
    <row r="308" spans="1:4">
      <c r="A308" s="1">
        <v>42083</v>
      </c>
      <c r="B308" s="15">
        <v>46</v>
      </c>
      <c r="C308" s="4">
        <f t="shared" si="4"/>
        <v>4.4979554747841814E-2</v>
      </c>
      <c r="D308" s="4"/>
    </row>
    <row r="309" spans="1:4">
      <c r="A309" s="1">
        <v>42086</v>
      </c>
      <c r="B309" s="15">
        <v>47.4</v>
      </c>
      <c r="C309" s="4">
        <f t="shared" si="4"/>
        <v>3.0434782608695622E-2</v>
      </c>
      <c r="D309" s="4"/>
    </row>
    <row r="310" spans="1:4">
      <c r="A310" s="1">
        <v>42087</v>
      </c>
      <c r="B310" s="15">
        <v>47.03</v>
      </c>
      <c r="C310" s="4">
        <f t="shared" si="4"/>
        <v>-7.8059071729957271E-3</v>
      </c>
      <c r="D310" s="4"/>
    </row>
    <row r="311" spans="1:4">
      <c r="A311" s="1">
        <v>42088</v>
      </c>
      <c r="B311" s="15">
        <v>48.75</v>
      </c>
      <c r="C311" s="4">
        <f t="shared" si="4"/>
        <v>3.6572400595364637E-2</v>
      </c>
      <c r="D311" s="4"/>
    </row>
    <row r="312" spans="1:4">
      <c r="A312" s="1">
        <v>42089</v>
      </c>
      <c r="B312" s="15">
        <v>51.41</v>
      </c>
      <c r="C312" s="4">
        <f t="shared" si="4"/>
        <v>5.4564102564102497E-2</v>
      </c>
      <c r="D312" s="4"/>
    </row>
    <row r="313" spans="1:4">
      <c r="A313" s="1">
        <v>42090</v>
      </c>
      <c r="B313" s="15">
        <v>48.83</v>
      </c>
      <c r="C313" s="4">
        <f t="shared" si="4"/>
        <v>-5.0184788951565813E-2</v>
      </c>
      <c r="D313" s="4"/>
    </row>
    <row r="314" spans="1:4">
      <c r="A314" s="1">
        <v>42093</v>
      </c>
      <c r="B314" s="15">
        <v>48.66</v>
      </c>
      <c r="C314" s="4">
        <f t="shared" si="4"/>
        <v>-3.481466311693666E-3</v>
      </c>
      <c r="D314" s="4"/>
    </row>
    <row r="315" spans="1:4">
      <c r="A315" s="1">
        <v>42094</v>
      </c>
      <c r="B315" s="15">
        <v>47.72</v>
      </c>
      <c r="C315" s="4">
        <f t="shared" si="4"/>
        <v>-1.9317714755445907E-2</v>
      </c>
      <c r="D315" s="4"/>
    </row>
    <row r="316" spans="1:4">
      <c r="A316" s="1">
        <v>42095</v>
      </c>
      <c r="B316" s="15">
        <v>50.12</v>
      </c>
      <c r="C316" s="4">
        <f t="shared" si="4"/>
        <v>5.0293378038558226E-2</v>
      </c>
      <c r="D316" s="4"/>
    </row>
    <row r="317" spans="1:4">
      <c r="A317" s="1">
        <v>42096</v>
      </c>
      <c r="B317" s="15">
        <v>49.13</v>
      </c>
      <c r="C317" s="4">
        <f t="shared" si="4"/>
        <v>-1.9752593774940042E-2</v>
      </c>
      <c r="D317" s="4"/>
    </row>
    <row r="318" spans="1:4">
      <c r="A318" s="1">
        <v>42097</v>
      </c>
      <c r="B318" s="15">
        <v>49.13</v>
      </c>
      <c r="C318" s="4">
        <f t="shared" si="4"/>
        <v>0</v>
      </c>
      <c r="D318" s="4"/>
    </row>
    <row r="319" spans="1:4">
      <c r="A319" s="1">
        <v>42100</v>
      </c>
      <c r="B319" s="15">
        <v>52.08</v>
      </c>
      <c r="C319" s="4">
        <f t="shared" si="4"/>
        <v>6.0044779157337587E-2</v>
      </c>
      <c r="D319" s="4"/>
    </row>
    <row r="320" spans="1:4">
      <c r="A320" s="1">
        <v>42101</v>
      </c>
      <c r="B320" s="15">
        <v>53.95</v>
      </c>
      <c r="C320" s="4">
        <f t="shared" si="4"/>
        <v>3.5906298003072282E-2</v>
      </c>
      <c r="D320" s="4"/>
    </row>
    <row r="321" spans="1:4">
      <c r="A321" s="1">
        <v>42102</v>
      </c>
      <c r="B321" s="15">
        <v>50.44</v>
      </c>
      <c r="C321" s="4">
        <f t="shared" si="4"/>
        <v>-6.5060240963855515E-2</v>
      </c>
      <c r="D321" s="4"/>
    </row>
    <row r="322" spans="1:4">
      <c r="A322" s="1">
        <v>42103</v>
      </c>
      <c r="B322" s="15">
        <v>50.79</v>
      </c>
      <c r="C322" s="4">
        <f t="shared" si="4"/>
        <v>6.9389373513085136E-3</v>
      </c>
      <c r="D322" s="4"/>
    </row>
    <row r="323" spans="1:4">
      <c r="A323" s="1">
        <v>42104</v>
      </c>
      <c r="B323" s="15">
        <v>51.63</v>
      </c>
      <c r="C323" s="4">
        <f t="shared" ref="C323:C386" si="5">(B323-B322)/B322</f>
        <v>1.653868871825169E-2</v>
      </c>
      <c r="D323" s="4"/>
    </row>
    <row r="324" spans="1:4">
      <c r="A324" s="1">
        <v>42107</v>
      </c>
      <c r="B324" s="15">
        <v>51.95</v>
      </c>
      <c r="C324" s="4">
        <f t="shared" si="5"/>
        <v>6.1979469300794164E-3</v>
      </c>
      <c r="D324" s="4"/>
    </row>
    <row r="325" spans="1:4">
      <c r="A325" s="1">
        <v>42108</v>
      </c>
      <c r="B325" s="15">
        <v>53.3</v>
      </c>
      <c r="C325" s="4">
        <f t="shared" si="5"/>
        <v>2.5986525505293439E-2</v>
      </c>
      <c r="D325" s="4"/>
    </row>
    <row r="326" spans="1:4">
      <c r="A326" s="1">
        <v>42109</v>
      </c>
      <c r="B326" s="15">
        <v>56.25</v>
      </c>
      <c r="C326" s="4">
        <f t="shared" si="5"/>
        <v>5.5347091932457841E-2</v>
      </c>
      <c r="D326" s="4"/>
    </row>
    <row r="327" spans="1:4">
      <c r="A327" s="1">
        <v>42110</v>
      </c>
      <c r="B327" s="15">
        <v>56.69</v>
      </c>
      <c r="C327" s="4">
        <f t="shared" si="5"/>
        <v>7.8222222222221818E-3</v>
      </c>
      <c r="D327" s="4"/>
    </row>
    <row r="328" spans="1:4">
      <c r="A328" s="1">
        <v>42111</v>
      </c>
      <c r="B328" s="15">
        <v>55.71</v>
      </c>
      <c r="C328" s="4">
        <f t="shared" si="5"/>
        <v>-1.7286999470806086E-2</v>
      </c>
      <c r="D328" s="4"/>
    </row>
    <row r="329" spans="1:4">
      <c r="A329" s="1">
        <v>42114</v>
      </c>
      <c r="B329" s="15">
        <v>56.37</v>
      </c>
      <c r="C329" s="4">
        <f t="shared" si="5"/>
        <v>1.1847065158858312E-2</v>
      </c>
      <c r="D329" s="4"/>
    </row>
    <row r="330" spans="1:4">
      <c r="A330" s="1">
        <v>42115</v>
      </c>
      <c r="B330" s="15">
        <v>55.58</v>
      </c>
      <c r="C330" s="4">
        <f t="shared" si="5"/>
        <v>-1.4014546744722356E-2</v>
      </c>
      <c r="D330" s="4"/>
    </row>
    <row r="331" spans="1:4">
      <c r="A331" s="1">
        <v>42116</v>
      </c>
      <c r="B331" s="15">
        <v>56.17</v>
      </c>
      <c r="C331" s="4">
        <f t="shared" si="5"/>
        <v>1.0615329255127806E-2</v>
      </c>
      <c r="D331" s="4"/>
    </row>
    <row r="332" spans="1:4">
      <c r="A332" s="1">
        <v>42117</v>
      </c>
      <c r="B332" s="15">
        <v>56.59</v>
      </c>
      <c r="C332" s="4">
        <f t="shared" si="5"/>
        <v>7.4773010503827965E-3</v>
      </c>
      <c r="D332" s="4"/>
    </row>
    <row r="333" spans="1:4">
      <c r="A333" s="1">
        <v>42118</v>
      </c>
      <c r="B333" s="15">
        <v>55.98</v>
      </c>
      <c r="C333" s="4">
        <f t="shared" si="5"/>
        <v>-1.0779289627142719E-2</v>
      </c>
      <c r="D333" s="4"/>
    </row>
    <row r="334" spans="1:4">
      <c r="A334" s="1">
        <v>42121</v>
      </c>
      <c r="B334" s="15">
        <v>55.56</v>
      </c>
      <c r="C334" s="4">
        <f t="shared" si="5"/>
        <v>-7.5026795284029047E-3</v>
      </c>
      <c r="D334" s="4"/>
    </row>
    <row r="335" spans="1:4">
      <c r="A335" s="1">
        <v>42122</v>
      </c>
      <c r="B335" s="15">
        <v>57.05</v>
      </c>
      <c r="C335" s="4">
        <f t="shared" si="5"/>
        <v>2.6817854571634176E-2</v>
      </c>
      <c r="D335" s="4"/>
    </row>
    <row r="336" spans="1:4">
      <c r="A336" s="1">
        <v>42123</v>
      </c>
      <c r="B336" s="15">
        <v>58.55</v>
      </c>
      <c r="C336" s="4">
        <f t="shared" si="5"/>
        <v>2.6292725679228749E-2</v>
      </c>
      <c r="D336" s="4"/>
    </row>
    <row r="337" spans="1:4">
      <c r="A337" s="1">
        <v>42124</v>
      </c>
      <c r="B337" s="15">
        <v>59.62</v>
      </c>
      <c r="C337" s="4">
        <f t="shared" si="5"/>
        <v>1.827497865072588E-2</v>
      </c>
      <c r="D337" s="4"/>
    </row>
    <row r="338" spans="1:4">
      <c r="A338" s="1">
        <v>42125</v>
      </c>
      <c r="B338" s="15">
        <v>59.1</v>
      </c>
      <c r="C338" s="4">
        <f t="shared" si="5"/>
        <v>-8.721905400872124E-3</v>
      </c>
      <c r="D338" s="4"/>
    </row>
    <row r="339" spans="1:4">
      <c r="A339" s="1">
        <v>42128</v>
      </c>
      <c r="B339" s="15">
        <v>58.92</v>
      </c>
      <c r="C339" s="4">
        <f t="shared" si="5"/>
        <v>-3.0456852791878124E-3</v>
      </c>
      <c r="D339" s="4"/>
    </row>
    <row r="340" spans="1:4">
      <c r="A340" s="1">
        <v>42129</v>
      </c>
      <c r="B340" s="15">
        <v>60.38</v>
      </c>
      <c r="C340" s="4">
        <f t="shared" si="5"/>
        <v>2.4779361846571635E-2</v>
      </c>
      <c r="D340" s="4"/>
    </row>
    <row r="341" spans="1:4">
      <c r="A341" s="1">
        <v>42130</v>
      </c>
      <c r="B341" s="15">
        <v>60.93</v>
      </c>
      <c r="C341" s="4">
        <f t="shared" si="5"/>
        <v>9.1089764822788535E-3</v>
      </c>
      <c r="D341" s="4"/>
    </row>
    <row r="342" spans="1:4">
      <c r="A342" s="1">
        <v>42131</v>
      </c>
      <c r="B342" s="15">
        <v>58.99</v>
      </c>
      <c r="C342" s="4">
        <f t="shared" si="5"/>
        <v>-3.1839816182504477E-2</v>
      </c>
      <c r="D342" s="4"/>
    </row>
    <row r="343" spans="1:4">
      <c r="A343" s="1">
        <v>42132</v>
      </c>
      <c r="B343" s="15">
        <v>59.41</v>
      </c>
      <c r="C343" s="4">
        <f t="shared" si="5"/>
        <v>7.1198508221731582E-3</v>
      </c>
      <c r="D343" s="4"/>
    </row>
    <row r="344" spans="1:4">
      <c r="A344" s="1">
        <v>42135</v>
      </c>
      <c r="B344" s="15">
        <v>59.23</v>
      </c>
      <c r="C344" s="4">
        <f t="shared" si="5"/>
        <v>-3.0297929641474454E-3</v>
      </c>
      <c r="D344" s="4"/>
    </row>
    <row r="345" spans="1:4">
      <c r="A345" s="1">
        <v>42136</v>
      </c>
      <c r="B345" s="15">
        <v>60.72</v>
      </c>
      <c r="C345" s="4">
        <f t="shared" si="5"/>
        <v>2.5156170859361844E-2</v>
      </c>
      <c r="D345" s="4"/>
    </row>
    <row r="346" spans="1:4">
      <c r="A346" s="1">
        <v>42137</v>
      </c>
      <c r="B346" s="15">
        <v>60.5</v>
      </c>
      <c r="C346" s="4">
        <f t="shared" si="5"/>
        <v>-3.6231884057970828E-3</v>
      </c>
      <c r="D346" s="4"/>
    </row>
    <row r="347" spans="1:4">
      <c r="A347" s="1">
        <v>42138</v>
      </c>
      <c r="B347" s="15">
        <v>59.89</v>
      </c>
      <c r="C347" s="4">
        <f t="shared" si="5"/>
        <v>-1.0082644628099165E-2</v>
      </c>
      <c r="D347" s="4"/>
    </row>
    <row r="348" spans="1:4">
      <c r="A348" s="1">
        <v>42139</v>
      </c>
      <c r="B348" s="15">
        <v>59.73</v>
      </c>
      <c r="C348" s="4">
        <f t="shared" si="5"/>
        <v>-2.6715645349808599E-3</v>
      </c>
      <c r="D348" s="4"/>
    </row>
    <row r="349" spans="1:4">
      <c r="A349" s="1">
        <v>42142</v>
      </c>
      <c r="B349" s="15">
        <v>59.44</v>
      </c>
      <c r="C349" s="4">
        <f t="shared" si="5"/>
        <v>-4.8551816507617475E-3</v>
      </c>
      <c r="D349" s="4"/>
    </row>
    <row r="350" spans="1:4">
      <c r="A350" s="1">
        <v>42143</v>
      </c>
      <c r="B350" s="15">
        <v>57.3</v>
      </c>
      <c r="C350" s="4">
        <f t="shared" si="5"/>
        <v>-3.6002691790040391E-2</v>
      </c>
      <c r="D350" s="4"/>
    </row>
    <row r="351" spans="1:4">
      <c r="A351" s="1">
        <v>42144</v>
      </c>
      <c r="B351" s="15">
        <v>58.96</v>
      </c>
      <c r="C351" s="4">
        <f t="shared" si="5"/>
        <v>2.8970331588132701E-2</v>
      </c>
      <c r="D351" s="4"/>
    </row>
    <row r="352" spans="1:4">
      <c r="A352" s="1">
        <v>42145</v>
      </c>
      <c r="B352" s="15">
        <v>60.18</v>
      </c>
      <c r="C352" s="4">
        <f t="shared" si="5"/>
        <v>2.069199457259157E-2</v>
      </c>
      <c r="D352" s="4"/>
    </row>
    <row r="353" spans="1:4">
      <c r="A353" s="1">
        <v>42146</v>
      </c>
      <c r="B353" s="15">
        <v>58.88</v>
      </c>
      <c r="C353" s="4">
        <f t="shared" si="5"/>
        <v>-2.1601861083416371E-2</v>
      </c>
      <c r="D353" s="4"/>
    </row>
    <row r="354" spans="1:4">
      <c r="A354" s="1">
        <v>42149</v>
      </c>
      <c r="B354" s="15">
        <v>58.88</v>
      </c>
      <c r="C354" s="4">
        <f t="shared" si="5"/>
        <v>0</v>
      </c>
      <c r="D354" s="4"/>
    </row>
    <row r="355" spans="1:4">
      <c r="A355" s="1">
        <v>42150</v>
      </c>
      <c r="B355" s="15">
        <v>57.29</v>
      </c>
      <c r="C355" s="4">
        <f t="shared" si="5"/>
        <v>-2.7004076086956579E-2</v>
      </c>
      <c r="D355" s="4"/>
    </row>
    <row r="356" spans="1:4">
      <c r="A356" s="1">
        <v>42151</v>
      </c>
      <c r="B356" s="15">
        <v>57.51</v>
      </c>
      <c r="C356" s="4">
        <f t="shared" si="5"/>
        <v>3.8401117123407027E-3</v>
      </c>
      <c r="D356" s="4"/>
    </row>
    <row r="357" spans="1:4">
      <c r="A357" s="1">
        <v>42152</v>
      </c>
      <c r="B357" s="15">
        <v>57.69</v>
      </c>
      <c r="C357" s="4">
        <f t="shared" si="5"/>
        <v>3.1298904538341111E-3</v>
      </c>
      <c r="D357" s="4"/>
    </row>
    <row r="358" spans="1:4">
      <c r="A358" s="1">
        <v>42153</v>
      </c>
      <c r="B358" s="15">
        <v>60.25</v>
      </c>
      <c r="C358" s="4">
        <f t="shared" si="5"/>
        <v>4.4375108337666884E-2</v>
      </c>
      <c r="D358" s="4"/>
    </row>
    <row r="359" spans="1:4">
      <c r="A359" s="1">
        <v>42156</v>
      </c>
      <c r="B359" s="15">
        <v>60.24</v>
      </c>
      <c r="C359" s="4">
        <f t="shared" si="5"/>
        <v>-1.6597510373440682E-4</v>
      </c>
      <c r="D359" s="4"/>
    </row>
    <row r="360" spans="1:4">
      <c r="A360" s="1">
        <v>42157</v>
      </c>
      <c r="B360" s="15">
        <v>61.3</v>
      </c>
      <c r="C360" s="4">
        <f t="shared" si="5"/>
        <v>1.7596281540504567E-2</v>
      </c>
      <c r="D360" s="4"/>
    </row>
    <row r="361" spans="1:4">
      <c r="A361" s="1">
        <v>42158</v>
      </c>
      <c r="B361" s="15">
        <v>59.67</v>
      </c>
      <c r="C361" s="4">
        <f t="shared" si="5"/>
        <v>-2.6590538336052131E-2</v>
      </c>
      <c r="D361" s="4"/>
    </row>
    <row r="362" spans="1:4">
      <c r="A362" s="1">
        <v>42159</v>
      </c>
      <c r="B362" s="15">
        <v>58</v>
      </c>
      <c r="C362" s="4">
        <f t="shared" si="5"/>
        <v>-2.7987263281380955E-2</v>
      </c>
      <c r="D362" s="4"/>
    </row>
    <row r="363" spans="1:4">
      <c r="A363" s="1">
        <v>42160</v>
      </c>
      <c r="B363" s="15">
        <v>59.11</v>
      </c>
      <c r="C363" s="4">
        <f t="shared" si="5"/>
        <v>1.913793103448275E-2</v>
      </c>
      <c r="D363" s="4"/>
    </row>
    <row r="364" spans="1:4">
      <c r="A364" s="1">
        <v>42163</v>
      </c>
      <c r="B364" s="15">
        <v>58.15</v>
      </c>
      <c r="C364" s="4">
        <f t="shared" si="5"/>
        <v>-1.624090678396212E-2</v>
      </c>
      <c r="D364" s="4"/>
    </row>
    <row r="365" spans="1:4">
      <c r="A365" s="1">
        <v>42164</v>
      </c>
      <c r="B365" s="15">
        <v>60.15</v>
      </c>
      <c r="C365" s="4">
        <f t="shared" si="5"/>
        <v>3.4393809114359415E-2</v>
      </c>
      <c r="D365" s="4"/>
    </row>
    <row r="366" spans="1:4">
      <c r="A366" s="1">
        <v>42165</v>
      </c>
      <c r="B366" s="15">
        <v>61.36</v>
      </c>
      <c r="C366" s="4">
        <f t="shared" si="5"/>
        <v>2.0116375727348309E-2</v>
      </c>
      <c r="D366" s="4"/>
    </row>
    <row r="367" spans="1:4">
      <c r="A367" s="1">
        <v>42166</v>
      </c>
      <c r="B367" s="15">
        <v>60.74</v>
      </c>
      <c r="C367" s="4">
        <f t="shared" si="5"/>
        <v>-1.0104302477183792E-2</v>
      </c>
      <c r="D367" s="4"/>
    </row>
    <row r="368" spans="1:4">
      <c r="A368" s="1">
        <v>42167</v>
      </c>
      <c r="B368" s="15">
        <v>59.96</v>
      </c>
      <c r="C368" s="4">
        <f t="shared" si="5"/>
        <v>-1.2841620019756356E-2</v>
      </c>
      <c r="D368" s="4"/>
    </row>
    <row r="369" spans="1:4">
      <c r="A369" s="1">
        <v>42170</v>
      </c>
      <c r="B369" s="15">
        <v>59.53</v>
      </c>
      <c r="C369" s="4">
        <f t="shared" si="5"/>
        <v>-7.1714476317544977E-3</v>
      </c>
      <c r="D369" s="4"/>
    </row>
    <row r="370" spans="1:4">
      <c r="A370" s="1">
        <v>42171</v>
      </c>
      <c r="B370" s="15">
        <v>60.01</v>
      </c>
      <c r="C370" s="4">
        <f t="shared" si="5"/>
        <v>8.0631614312111008E-3</v>
      </c>
      <c r="D370" s="4"/>
    </row>
    <row r="371" spans="1:4">
      <c r="A371" s="1">
        <v>42172</v>
      </c>
      <c r="B371" s="15">
        <v>59.89</v>
      </c>
      <c r="C371" s="4">
        <f t="shared" si="5"/>
        <v>-1.999666722212922E-3</v>
      </c>
      <c r="D371" s="4"/>
    </row>
    <row r="372" spans="1:4">
      <c r="A372" s="1">
        <v>42173</v>
      </c>
      <c r="B372" s="15">
        <v>60.41</v>
      </c>
      <c r="C372" s="4">
        <f t="shared" si="5"/>
        <v>8.6825847386875279E-3</v>
      </c>
      <c r="D372" s="4"/>
    </row>
    <row r="373" spans="1:4">
      <c r="A373" s="1">
        <v>42174</v>
      </c>
      <c r="B373" s="15">
        <v>59.62</v>
      </c>
      <c r="C373" s="4">
        <f t="shared" si="5"/>
        <v>-1.3077305081940063E-2</v>
      </c>
      <c r="D373" s="4"/>
    </row>
    <row r="374" spans="1:4">
      <c r="A374" s="1">
        <v>42177</v>
      </c>
      <c r="B374" s="15">
        <v>60.01</v>
      </c>
      <c r="C374" s="4">
        <f t="shared" si="5"/>
        <v>6.5414290506541524E-3</v>
      </c>
      <c r="D374" s="4"/>
    </row>
    <row r="375" spans="1:4">
      <c r="A375" s="1">
        <v>42178</v>
      </c>
      <c r="B375" s="15">
        <v>61.05</v>
      </c>
      <c r="C375" s="4">
        <f t="shared" si="5"/>
        <v>1.7330444925845678E-2</v>
      </c>
      <c r="D375" s="4"/>
    </row>
    <row r="376" spans="1:4">
      <c r="A376" s="1">
        <v>42179</v>
      </c>
      <c r="B376" s="15">
        <v>60.01</v>
      </c>
      <c r="C376" s="4">
        <f t="shared" si="5"/>
        <v>-1.7035217035217022E-2</v>
      </c>
      <c r="D376" s="4"/>
    </row>
    <row r="377" spans="1:4">
      <c r="A377" s="1">
        <v>42180</v>
      </c>
      <c r="B377" s="15">
        <v>59.59</v>
      </c>
      <c r="C377" s="4">
        <f t="shared" si="5"/>
        <v>-6.9988335277452862E-3</v>
      </c>
      <c r="D377" s="4"/>
    </row>
    <row r="378" spans="1:4">
      <c r="A378" s="1">
        <v>42181</v>
      </c>
      <c r="B378" s="15">
        <v>59.41</v>
      </c>
      <c r="C378" s="4">
        <f t="shared" si="5"/>
        <v>-3.0206410471556775E-3</v>
      </c>
      <c r="D378" s="4"/>
    </row>
    <row r="379" spans="1:4">
      <c r="A379" s="1">
        <v>42184</v>
      </c>
      <c r="B379" s="15">
        <v>58.34</v>
      </c>
      <c r="C379" s="4">
        <f t="shared" si="5"/>
        <v>-1.8010435953543062E-2</v>
      </c>
      <c r="D379" s="4"/>
    </row>
    <row r="380" spans="1:4">
      <c r="A380" s="1">
        <v>42185</v>
      </c>
      <c r="B380" s="15">
        <v>59.48</v>
      </c>
      <c r="C380" s="4">
        <f t="shared" si="5"/>
        <v>1.954062392869375E-2</v>
      </c>
      <c r="D380" s="4"/>
    </row>
    <row r="381" spans="1:4">
      <c r="A381" s="1">
        <v>42186</v>
      </c>
      <c r="B381" s="15">
        <v>56.94</v>
      </c>
      <c r="C381" s="4">
        <f t="shared" si="5"/>
        <v>-4.2703429724277056E-2</v>
      </c>
      <c r="D381" s="4"/>
    </row>
    <row r="382" spans="1:4">
      <c r="A382" s="1">
        <v>42187</v>
      </c>
      <c r="B382" s="15">
        <v>56.93</v>
      </c>
      <c r="C382" s="4">
        <f t="shared" si="5"/>
        <v>-1.7562346329466123E-4</v>
      </c>
      <c r="D382" s="4"/>
    </row>
    <row r="383" spans="1:4">
      <c r="A383" s="1">
        <v>42188</v>
      </c>
      <c r="B383" s="15">
        <v>56.93</v>
      </c>
      <c r="C383" s="4">
        <f t="shared" si="5"/>
        <v>0</v>
      </c>
      <c r="D383" s="4"/>
    </row>
    <row r="384" spans="1:4">
      <c r="A384" s="1">
        <v>42191</v>
      </c>
      <c r="B384" s="15">
        <v>52.48</v>
      </c>
      <c r="C384" s="4">
        <f t="shared" si="5"/>
        <v>-7.8166168979448503E-2</v>
      </c>
      <c r="D384" s="4"/>
    </row>
    <row r="385" spans="1:4">
      <c r="A385" s="1">
        <v>42192</v>
      </c>
      <c r="B385" s="15">
        <v>52.33</v>
      </c>
      <c r="C385" s="4">
        <f t="shared" si="5"/>
        <v>-2.8582317073170462E-3</v>
      </c>
      <c r="D385" s="4"/>
    </row>
    <row r="386" spans="1:4">
      <c r="A386" s="1">
        <v>42193</v>
      </c>
      <c r="B386" s="15">
        <v>51.61</v>
      </c>
      <c r="C386" s="4">
        <f t="shared" si="5"/>
        <v>-1.375883814255683E-2</v>
      </c>
      <c r="D386" s="4"/>
    </row>
    <row r="387" spans="1:4">
      <c r="A387" s="1">
        <v>42194</v>
      </c>
      <c r="B387" s="15">
        <v>52.76</v>
      </c>
      <c r="C387" s="4">
        <f t="shared" ref="C387:C450" si="6">(B387-B386)/B386</f>
        <v>2.2282503390815705E-2</v>
      </c>
      <c r="D387" s="4"/>
    </row>
    <row r="388" spans="1:4">
      <c r="A388" s="1">
        <v>42195</v>
      </c>
      <c r="B388" s="15">
        <v>52.74</v>
      </c>
      <c r="C388" s="4">
        <f t="shared" si="6"/>
        <v>-3.7907505686118312E-4</v>
      </c>
      <c r="D388" s="4"/>
    </row>
    <row r="389" spans="1:4">
      <c r="A389" s="1">
        <v>42198</v>
      </c>
      <c r="B389" s="15">
        <v>52.19</v>
      </c>
      <c r="C389" s="4">
        <f t="shared" si="6"/>
        <v>-1.0428517254455901E-2</v>
      </c>
      <c r="D389" s="4"/>
    </row>
    <row r="390" spans="1:4">
      <c r="A390" s="1">
        <v>42199</v>
      </c>
      <c r="B390" s="15">
        <v>53.05</v>
      </c>
      <c r="C390" s="4">
        <f t="shared" si="6"/>
        <v>1.6478252538800527E-2</v>
      </c>
      <c r="D390" s="4"/>
    </row>
    <row r="391" spans="1:4">
      <c r="A391" s="1">
        <v>42200</v>
      </c>
      <c r="B391" s="15">
        <v>51.4</v>
      </c>
      <c r="C391" s="4">
        <f t="shared" si="6"/>
        <v>-3.1102733270499505E-2</v>
      </c>
      <c r="D391" s="4"/>
    </row>
    <row r="392" spans="1:4">
      <c r="A392" s="1">
        <v>42201</v>
      </c>
      <c r="B392" s="15">
        <v>50.9</v>
      </c>
      <c r="C392" s="4">
        <f t="shared" si="6"/>
        <v>-9.727626459143969E-3</v>
      </c>
      <c r="D392" s="4"/>
    </row>
    <row r="393" spans="1:4">
      <c r="A393" s="1">
        <v>42202</v>
      </c>
      <c r="B393" s="15">
        <v>50.88</v>
      </c>
      <c r="C393" s="4">
        <f t="shared" si="6"/>
        <v>-3.9292730844785894E-4</v>
      </c>
      <c r="D393" s="4"/>
    </row>
    <row r="394" spans="1:4">
      <c r="A394" s="1">
        <v>42205</v>
      </c>
      <c r="B394" s="15">
        <v>50.11</v>
      </c>
      <c r="C394" s="4">
        <f t="shared" si="6"/>
        <v>-1.5133647798742199E-2</v>
      </c>
      <c r="D394" s="4"/>
    </row>
    <row r="395" spans="1:4">
      <c r="A395" s="1">
        <v>42206</v>
      </c>
      <c r="B395" s="15">
        <v>50.59</v>
      </c>
      <c r="C395" s="4">
        <f t="shared" si="6"/>
        <v>9.5789263620036716E-3</v>
      </c>
      <c r="D395" s="4"/>
    </row>
    <row r="396" spans="1:4">
      <c r="A396" s="1">
        <v>42207</v>
      </c>
      <c r="B396" s="15">
        <v>49.27</v>
      </c>
      <c r="C396" s="4">
        <f t="shared" si="6"/>
        <v>-2.6092113065823288E-2</v>
      </c>
      <c r="D396" s="4"/>
    </row>
    <row r="397" spans="1:4">
      <c r="A397" s="1">
        <v>42208</v>
      </c>
      <c r="B397" s="15">
        <v>48.11</v>
      </c>
      <c r="C397" s="4">
        <f t="shared" si="6"/>
        <v>-2.3543738583316494E-2</v>
      </c>
      <c r="D397" s="4"/>
    </row>
    <row r="398" spans="1:4">
      <c r="A398" s="1">
        <v>42209</v>
      </c>
      <c r="B398" s="15">
        <v>47.98</v>
      </c>
      <c r="C398" s="4">
        <f t="shared" si="6"/>
        <v>-2.7021409270422481E-3</v>
      </c>
      <c r="D398" s="4"/>
    </row>
    <row r="399" spans="1:4">
      <c r="A399" s="1">
        <v>42212</v>
      </c>
      <c r="B399" s="15">
        <v>47.17</v>
      </c>
      <c r="C399" s="4">
        <f t="shared" si="6"/>
        <v>-1.6882034180908612E-2</v>
      </c>
      <c r="D399" s="4"/>
    </row>
    <row r="400" spans="1:4">
      <c r="A400" s="1">
        <v>42213</v>
      </c>
      <c r="B400" s="15">
        <v>47.97</v>
      </c>
      <c r="C400" s="4">
        <f t="shared" si="6"/>
        <v>1.6959932160271297E-2</v>
      </c>
      <c r="D400" s="4"/>
    </row>
    <row r="401" spans="1:4">
      <c r="A401" s="1">
        <v>42214</v>
      </c>
      <c r="B401" s="15">
        <v>48.77</v>
      </c>
      <c r="C401" s="4">
        <f t="shared" si="6"/>
        <v>1.6677089847821645E-2</v>
      </c>
      <c r="D401" s="4"/>
    </row>
    <row r="402" spans="1:4">
      <c r="A402" s="1">
        <v>42215</v>
      </c>
      <c r="B402" s="15">
        <v>48.53</v>
      </c>
      <c r="C402" s="4">
        <f t="shared" si="6"/>
        <v>-4.9210580274759476E-3</v>
      </c>
      <c r="D402" s="4"/>
    </row>
    <row r="403" spans="1:4">
      <c r="A403" s="1">
        <v>42216</v>
      </c>
      <c r="B403" s="15">
        <v>47.11</v>
      </c>
      <c r="C403" s="4">
        <f t="shared" si="6"/>
        <v>-2.9260251390892267E-2</v>
      </c>
      <c r="D403" s="4"/>
    </row>
    <row r="404" spans="1:4">
      <c r="A404" s="1">
        <v>42219</v>
      </c>
      <c r="B404" s="15">
        <v>45.25</v>
      </c>
      <c r="C404" s="4">
        <f t="shared" si="6"/>
        <v>-3.9482063256208864E-2</v>
      </c>
      <c r="D404" s="4"/>
    </row>
    <row r="405" spans="1:4">
      <c r="A405" s="1">
        <v>42220</v>
      </c>
      <c r="B405" s="15">
        <v>45.75</v>
      </c>
      <c r="C405" s="4">
        <f t="shared" si="6"/>
        <v>1.1049723756906077E-2</v>
      </c>
      <c r="D405" s="4"/>
    </row>
    <row r="406" spans="1:4">
      <c r="A406" s="1">
        <v>42221</v>
      </c>
      <c r="B406" s="15">
        <v>45.13</v>
      </c>
      <c r="C406" s="4">
        <f t="shared" si="6"/>
        <v>-1.3551912568305955E-2</v>
      </c>
      <c r="D406" s="4"/>
    </row>
    <row r="407" spans="1:4">
      <c r="A407" s="1">
        <v>42222</v>
      </c>
      <c r="B407" s="15">
        <v>44.69</v>
      </c>
      <c r="C407" s="4">
        <f t="shared" si="6"/>
        <v>-9.7496122313318143E-3</v>
      </c>
      <c r="D407" s="4"/>
    </row>
    <row r="408" spans="1:4">
      <c r="A408" s="1">
        <v>42223</v>
      </c>
      <c r="B408" s="15">
        <v>43.87</v>
      </c>
      <c r="C408" s="4">
        <f t="shared" si="6"/>
        <v>-1.8348623853211017E-2</v>
      </c>
      <c r="D408" s="4"/>
    </row>
    <row r="409" spans="1:4">
      <c r="A409" s="1">
        <v>42226</v>
      </c>
      <c r="B409" s="15">
        <v>44.94</v>
      </c>
      <c r="C409" s="4">
        <f t="shared" si="6"/>
        <v>2.4390243902439032E-2</v>
      </c>
      <c r="D409" s="4"/>
    </row>
    <row r="410" spans="1:4">
      <c r="A410" s="1">
        <v>42227</v>
      </c>
      <c r="B410" s="15">
        <v>43.11</v>
      </c>
      <c r="C410" s="4">
        <f t="shared" si="6"/>
        <v>-4.0720961281708906E-2</v>
      </c>
      <c r="D410" s="4"/>
    </row>
    <row r="411" spans="1:4">
      <c r="A411" s="1">
        <v>42228</v>
      </c>
      <c r="B411" s="15">
        <v>43.22</v>
      </c>
      <c r="C411" s="4">
        <f t="shared" si="6"/>
        <v>2.5516121549524341E-3</v>
      </c>
      <c r="D411" s="4"/>
    </row>
    <row r="412" spans="1:4">
      <c r="A412" s="1">
        <v>42229</v>
      </c>
      <c r="B412" s="15">
        <v>42.27</v>
      </c>
      <c r="C412" s="4">
        <f t="shared" si="6"/>
        <v>-2.1980564553447379E-2</v>
      </c>
      <c r="D412" s="4"/>
    </row>
    <row r="413" spans="1:4">
      <c r="A413" s="1">
        <v>42230</v>
      </c>
      <c r="B413" s="15">
        <v>42.45</v>
      </c>
      <c r="C413" s="4">
        <f t="shared" si="6"/>
        <v>4.2583392476933926E-3</v>
      </c>
      <c r="D413" s="4"/>
    </row>
    <row r="414" spans="1:4">
      <c r="A414" s="1">
        <v>42233</v>
      </c>
      <c r="B414" s="15">
        <v>41.93</v>
      </c>
      <c r="C414" s="4">
        <f t="shared" si="6"/>
        <v>-1.224970553592469E-2</v>
      </c>
      <c r="D414" s="4"/>
    </row>
    <row r="415" spans="1:4">
      <c r="A415" s="1">
        <v>42234</v>
      </c>
      <c r="B415" s="15">
        <v>42.58</v>
      </c>
      <c r="C415" s="4">
        <f t="shared" si="6"/>
        <v>1.5502027188170727E-2</v>
      </c>
      <c r="D415" s="4"/>
    </row>
    <row r="416" spans="1:4">
      <c r="A416" s="1">
        <v>42235</v>
      </c>
      <c r="B416" s="15">
        <v>40.75</v>
      </c>
      <c r="C416" s="4">
        <f t="shared" si="6"/>
        <v>-4.2977923907937962E-2</v>
      </c>
      <c r="D416" s="4"/>
    </row>
    <row r="417" spans="1:4">
      <c r="A417" s="1">
        <v>42236</v>
      </c>
      <c r="B417" s="15">
        <v>41</v>
      </c>
      <c r="C417" s="4">
        <f t="shared" si="6"/>
        <v>6.1349693251533744E-3</v>
      </c>
      <c r="D417" s="4"/>
    </row>
    <row r="418" spans="1:4">
      <c r="A418" s="1">
        <v>42237</v>
      </c>
      <c r="B418" s="15">
        <v>40.450000000000003</v>
      </c>
      <c r="C418" s="4">
        <f t="shared" si="6"/>
        <v>-1.3414634146341394E-2</v>
      </c>
      <c r="D418" s="4"/>
    </row>
    <row r="419" spans="1:4">
      <c r="A419" s="1">
        <v>42240</v>
      </c>
      <c r="B419" s="15">
        <v>38.22</v>
      </c>
      <c r="C419" s="4">
        <f t="shared" si="6"/>
        <v>-5.5129789864029763E-2</v>
      </c>
      <c r="D419" s="4"/>
    </row>
    <row r="420" spans="1:4">
      <c r="A420" s="1">
        <v>42241</v>
      </c>
      <c r="B420" s="15">
        <v>39.15</v>
      </c>
      <c r="C420" s="4">
        <f t="shared" si="6"/>
        <v>2.4332810047095754E-2</v>
      </c>
      <c r="D420" s="4"/>
    </row>
    <row r="421" spans="1:4">
      <c r="A421" s="1">
        <v>42242</v>
      </c>
      <c r="B421" s="15">
        <v>38.5</v>
      </c>
      <c r="C421" s="4">
        <f t="shared" si="6"/>
        <v>-1.6602809706257948E-2</v>
      </c>
      <c r="D421" s="4"/>
    </row>
    <row r="422" spans="1:4">
      <c r="A422" s="1">
        <v>42243</v>
      </c>
      <c r="B422" s="15">
        <v>42.47</v>
      </c>
      <c r="C422" s="4">
        <f t="shared" si="6"/>
        <v>0.10311688311688309</v>
      </c>
      <c r="D422" s="4"/>
    </row>
    <row r="423" spans="1:4">
      <c r="A423" s="1">
        <v>42244</v>
      </c>
      <c r="B423" s="15">
        <v>45.29</v>
      </c>
      <c r="C423" s="4">
        <f t="shared" si="6"/>
        <v>6.6399811631740066E-2</v>
      </c>
      <c r="D423" s="4"/>
    </row>
    <row r="424" spans="1:4">
      <c r="A424" s="1">
        <v>42247</v>
      </c>
      <c r="B424" s="15">
        <v>49.2</v>
      </c>
      <c r="C424" s="4">
        <f t="shared" si="6"/>
        <v>8.6332523735924122E-2</v>
      </c>
      <c r="D424" s="4"/>
    </row>
    <row r="425" spans="1:4">
      <c r="A425" s="1">
        <v>42248</v>
      </c>
      <c r="B425" s="15">
        <v>45.38</v>
      </c>
      <c r="C425" s="4">
        <f t="shared" si="6"/>
        <v>-7.7642276422764223E-2</v>
      </c>
      <c r="D425" s="4"/>
    </row>
    <row r="426" spans="1:4">
      <c r="A426" s="1">
        <v>42249</v>
      </c>
      <c r="B426" s="15">
        <v>46.3</v>
      </c>
      <c r="C426" s="4">
        <f t="shared" si="6"/>
        <v>2.0273248126928042E-2</v>
      </c>
      <c r="D426" s="4"/>
    </row>
    <row r="427" spans="1:4">
      <c r="A427" s="1">
        <v>42250</v>
      </c>
      <c r="B427" s="15">
        <v>46.75</v>
      </c>
      <c r="C427" s="4">
        <f t="shared" si="6"/>
        <v>9.7192224622030862E-3</v>
      </c>
      <c r="D427" s="4"/>
    </row>
    <row r="428" spans="1:4">
      <c r="A428" s="1">
        <v>42251</v>
      </c>
      <c r="B428" s="15">
        <v>46.02</v>
      </c>
      <c r="C428" s="4">
        <f t="shared" si="6"/>
        <v>-1.5614973262032018E-2</v>
      </c>
      <c r="D428" s="4"/>
    </row>
    <row r="429" spans="1:4">
      <c r="A429" s="1">
        <v>42254</v>
      </c>
      <c r="B429" s="15">
        <v>46.02</v>
      </c>
      <c r="C429" s="4">
        <f t="shared" si="6"/>
        <v>0</v>
      </c>
      <c r="D429" s="4"/>
    </row>
    <row r="430" spans="1:4">
      <c r="A430" s="1">
        <v>42255</v>
      </c>
      <c r="B430" s="15">
        <v>45.92</v>
      </c>
      <c r="C430" s="4">
        <f t="shared" si="6"/>
        <v>-2.1729682746632205E-3</v>
      </c>
      <c r="D430" s="4"/>
    </row>
    <row r="431" spans="1:4">
      <c r="A431" s="1">
        <v>42256</v>
      </c>
      <c r="B431" s="15">
        <v>44.13</v>
      </c>
      <c r="C431" s="4">
        <f t="shared" si="6"/>
        <v>-3.8980836236933776E-2</v>
      </c>
      <c r="D431" s="4"/>
    </row>
    <row r="432" spans="1:4">
      <c r="A432" s="1">
        <v>42257</v>
      </c>
      <c r="B432" s="15">
        <v>45.85</v>
      </c>
      <c r="C432" s="4">
        <f t="shared" si="6"/>
        <v>3.8975753455699043E-2</v>
      </c>
      <c r="D432" s="4"/>
    </row>
    <row r="433" spans="1:4">
      <c r="A433" s="1">
        <v>42258</v>
      </c>
      <c r="B433" s="15">
        <v>44.75</v>
      </c>
      <c r="C433" s="4">
        <f t="shared" si="6"/>
        <v>-2.3991275899672877E-2</v>
      </c>
      <c r="D433" s="4"/>
    </row>
    <row r="434" spans="1:4">
      <c r="A434" s="1">
        <v>42261</v>
      </c>
      <c r="B434" s="15">
        <v>44.07</v>
      </c>
      <c r="C434" s="4">
        <f t="shared" si="6"/>
        <v>-1.5195530726256977E-2</v>
      </c>
      <c r="D434" s="4"/>
    </row>
    <row r="435" spans="1:4">
      <c r="A435" s="1">
        <v>42262</v>
      </c>
      <c r="B435" s="15">
        <v>44.58</v>
      </c>
      <c r="C435" s="4">
        <f t="shared" si="6"/>
        <v>1.157249829816197E-2</v>
      </c>
      <c r="D435" s="4"/>
    </row>
    <row r="436" spans="1:4">
      <c r="A436" s="1">
        <v>42263</v>
      </c>
      <c r="B436" s="15">
        <v>47.12</v>
      </c>
      <c r="C436" s="4">
        <f t="shared" si="6"/>
        <v>5.6976222521309988E-2</v>
      </c>
      <c r="D436" s="4"/>
    </row>
    <row r="437" spans="1:4">
      <c r="A437" s="1">
        <v>42264</v>
      </c>
      <c r="B437" s="15">
        <v>46.93</v>
      </c>
      <c r="C437" s="4">
        <f t="shared" si="6"/>
        <v>-4.0322580645160812E-3</v>
      </c>
      <c r="D437" s="4"/>
    </row>
    <row r="438" spans="1:4">
      <c r="A438" s="1">
        <v>42265</v>
      </c>
      <c r="B438" s="15">
        <v>44.71</v>
      </c>
      <c r="C438" s="4">
        <f t="shared" si="6"/>
        <v>-4.7304496057958639E-2</v>
      </c>
      <c r="D438" s="4"/>
    </row>
    <row r="439" spans="1:4">
      <c r="A439" s="1">
        <v>42268</v>
      </c>
      <c r="B439" s="15">
        <v>46.67</v>
      </c>
      <c r="C439" s="4">
        <f t="shared" si="6"/>
        <v>4.3838067546410217E-2</v>
      </c>
      <c r="D439" s="4"/>
    </row>
    <row r="440" spans="1:4">
      <c r="A440" s="1">
        <v>42269</v>
      </c>
      <c r="B440" s="15">
        <v>46.17</v>
      </c>
      <c r="C440" s="4">
        <f t="shared" si="6"/>
        <v>-1.0713520462824084E-2</v>
      </c>
      <c r="D440" s="4"/>
    </row>
    <row r="441" spans="1:4">
      <c r="A441" s="1">
        <v>42270</v>
      </c>
      <c r="B441" s="15">
        <v>44.53</v>
      </c>
      <c r="C441" s="4">
        <f t="shared" si="6"/>
        <v>-3.5520901017977051E-2</v>
      </c>
      <c r="D441" s="4"/>
    </row>
    <row r="442" spans="1:4">
      <c r="A442" s="1">
        <v>42271</v>
      </c>
      <c r="B442" s="15">
        <v>44.94</v>
      </c>
      <c r="C442" s="4">
        <f t="shared" si="6"/>
        <v>9.2072759937120267E-3</v>
      </c>
      <c r="D442" s="4"/>
    </row>
    <row r="443" spans="1:4">
      <c r="A443" s="1">
        <v>42272</v>
      </c>
      <c r="B443" s="15">
        <v>45.55</v>
      </c>
      <c r="C443" s="4">
        <f t="shared" si="6"/>
        <v>1.3573653760569637E-2</v>
      </c>
      <c r="D443" s="4"/>
    </row>
    <row r="444" spans="1:4">
      <c r="A444" s="1">
        <v>42275</v>
      </c>
      <c r="B444" s="15">
        <v>44.4</v>
      </c>
      <c r="C444" s="4">
        <f t="shared" si="6"/>
        <v>-2.5246981339187676E-2</v>
      </c>
      <c r="D444" s="4"/>
    </row>
    <row r="445" spans="1:4">
      <c r="A445" s="1">
        <v>42276</v>
      </c>
      <c r="B445" s="15">
        <v>45.24</v>
      </c>
      <c r="C445" s="4">
        <f t="shared" si="6"/>
        <v>1.8918918918918996E-2</v>
      </c>
      <c r="D445" s="4"/>
    </row>
    <row r="446" spans="1:4">
      <c r="A446" s="1">
        <v>42277</v>
      </c>
      <c r="B446" s="15">
        <v>45.06</v>
      </c>
      <c r="C446" s="4">
        <f t="shared" si="6"/>
        <v>-3.9787798408488003E-3</v>
      </c>
      <c r="D446" s="4"/>
    </row>
    <row r="447" spans="1:4">
      <c r="A447" s="1">
        <v>42278</v>
      </c>
      <c r="B447" s="15">
        <v>44.75</v>
      </c>
      <c r="C447" s="4">
        <f t="shared" si="6"/>
        <v>-6.8797159343098593E-3</v>
      </c>
      <c r="D447" s="4"/>
    </row>
    <row r="448" spans="1:4">
      <c r="A448" s="1">
        <v>42279</v>
      </c>
      <c r="B448" s="15">
        <v>45.54</v>
      </c>
      <c r="C448" s="4">
        <f t="shared" si="6"/>
        <v>1.765363128491618E-2</v>
      </c>
      <c r="D448" s="4"/>
    </row>
    <row r="449" spans="1:4">
      <c r="A449" s="1">
        <v>42282</v>
      </c>
      <c r="B449" s="15">
        <v>46.28</v>
      </c>
      <c r="C449" s="4">
        <f t="shared" si="6"/>
        <v>1.6249451032059773E-2</v>
      </c>
      <c r="D449" s="4"/>
    </row>
    <row r="450" spans="1:4">
      <c r="A450" s="1">
        <v>42283</v>
      </c>
      <c r="B450" s="15">
        <v>48.53</v>
      </c>
      <c r="C450" s="4">
        <f t="shared" si="6"/>
        <v>4.8617113223854792E-2</v>
      </c>
      <c r="D450" s="4"/>
    </row>
    <row r="451" spans="1:4">
      <c r="A451" s="1">
        <v>42284</v>
      </c>
      <c r="B451" s="15">
        <v>47.86</v>
      </c>
      <c r="C451" s="4">
        <f t="shared" ref="C451:C514" si="7">(B451-B450)/B450</f>
        <v>-1.380589326189989E-2</v>
      </c>
      <c r="D451" s="4"/>
    </row>
    <row r="452" spans="1:4">
      <c r="A452" s="1">
        <v>42285</v>
      </c>
      <c r="B452" s="15">
        <v>49.46</v>
      </c>
      <c r="C452" s="4">
        <f t="shared" si="7"/>
        <v>3.3430839949853769E-2</v>
      </c>
      <c r="D452" s="4"/>
    </row>
    <row r="453" spans="1:4">
      <c r="A453" s="1">
        <v>42286</v>
      </c>
      <c r="B453" s="15">
        <v>49.67</v>
      </c>
      <c r="C453" s="4">
        <f t="shared" si="7"/>
        <v>4.2458552365548085E-3</v>
      </c>
      <c r="D453" s="4"/>
    </row>
    <row r="454" spans="1:4">
      <c r="A454" s="1">
        <v>42289</v>
      </c>
      <c r="B454" s="15">
        <v>47.09</v>
      </c>
      <c r="C454" s="4">
        <f t="shared" si="7"/>
        <v>-5.1942822629353701E-2</v>
      </c>
      <c r="D454" s="4"/>
    </row>
    <row r="455" spans="1:4">
      <c r="A455" s="1">
        <v>42290</v>
      </c>
      <c r="B455" s="15">
        <v>46.7</v>
      </c>
      <c r="C455" s="4">
        <f t="shared" si="7"/>
        <v>-8.2820131662773525E-3</v>
      </c>
      <c r="D455" s="4"/>
    </row>
    <row r="456" spans="1:4">
      <c r="A456" s="1">
        <v>42291</v>
      </c>
      <c r="B456" s="15">
        <v>46.63</v>
      </c>
      <c r="C456" s="4">
        <f t="shared" si="7"/>
        <v>-1.4989293361884427E-3</v>
      </c>
      <c r="D456" s="4"/>
    </row>
    <row r="457" spans="1:4">
      <c r="A457" s="1">
        <v>42292</v>
      </c>
      <c r="B457" s="15">
        <v>46.38</v>
      </c>
      <c r="C457" s="4">
        <f t="shared" si="7"/>
        <v>-5.3613553506326401E-3</v>
      </c>
      <c r="D457" s="4"/>
    </row>
    <row r="458" spans="1:4">
      <c r="A458" s="1">
        <v>42293</v>
      </c>
      <c r="B458" s="15">
        <v>47.3</v>
      </c>
      <c r="C458" s="4">
        <f t="shared" si="7"/>
        <v>1.9836136265631622E-2</v>
      </c>
      <c r="D458" s="4"/>
    </row>
    <row r="459" spans="1:4">
      <c r="A459" s="1">
        <v>42296</v>
      </c>
      <c r="B459" s="15">
        <v>45.91</v>
      </c>
      <c r="C459" s="4">
        <f t="shared" si="7"/>
        <v>-2.9386892177589864E-2</v>
      </c>
      <c r="D459" s="4"/>
    </row>
    <row r="460" spans="1:4">
      <c r="A460" s="1">
        <v>42297</v>
      </c>
      <c r="B460" s="15">
        <v>45.84</v>
      </c>
      <c r="C460" s="4">
        <f t="shared" si="7"/>
        <v>-1.5247222827269263E-3</v>
      </c>
      <c r="D460" s="4"/>
    </row>
    <row r="461" spans="1:4">
      <c r="A461" s="1">
        <v>42298</v>
      </c>
      <c r="B461" s="15">
        <v>45.22</v>
      </c>
      <c r="C461" s="4">
        <f t="shared" si="7"/>
        <v>-1.3525305410122262E-2</v>
      </c>
      <c r="D461" s="4"/>
    </row>
    <row r="462" spans="1:4">
      <c r="A462" s="1">
        <v>42299</v>
      </c>
      <c r="B462" s="15">
        <v>44.9</v>
      </c>
      <c r="C462" s="4">
        <f t="shared" si="7"/>
        <v>-7.0765148164529034E-3</v>
      </c>
      <c r="D462" s="4"/>
    </row>
    <row r="463" spans="1:4">
      <c r="A463" s="1">
        <v>42300</v>
      </c>
      <c r="B463" s="15">
        <v>43.91</v>
      </c>
      <c r="C463" s="4">
        <f t="shared" si="7"/>
        <v>-2.2048997772828552E-2</v>
      </c>
      <c r="D463" s="4"/>
    </row>
    <row r="464" spans="1:4">
      <c r="A464" s="1">
        <v>42303</v>
      </c>
      <c r="B464" s="15">
        <v>43.19</v>
      </c>
      <c r="C464" s="4">
        <f t="shared" si="7"/>
        <v>-1.6397176041903869E-2</v>
      </c>
      <c r="D464" s="4"/>
    </row>
    <row r="465" spans="1:4">
      <c r="A465" s="1">
        <v>42304</v>
      </c>
      <c r="B465" s="15">
        <v>43.21</v>
      </c>
      <c r="C465" s="4">
        <f t="shared" si="7"/>
        <v>4.6307015512857437E-4</v>
      </c>
      <c r="D465" s="4"/>
    </row>
    <row r="466" spans="1:4">
      <c r="A466" s="1">
        <v>42305</v>
      </c>
      <c r="B466" s="15">
        <v>45.93</v>
      </c>
      <c r="C466" s="4">
        <f t="shared" si="7"/>
        <v>6.294839157602404E-2</v>
      </c>
      <c r="D466" s="4"/>
    </row>
    <row r="467" spans="1:4">
      <c r="A467" s="1">
        <v>42306</v>
      </c>
      <c r="B467" s="15">
        <v>46.02</v>
      </c>
      <c r="C467" s="4">
        <f t="shared" si="7"/>
        <v>1.959503592423327E-3</v>
      </c>
      <c r="D467" s="4"/>
    </row>
    <row r="468" spans="1:4">
      <c r="A468" s="1">
        <v>42307</v>
      </c>
      <c r="B468" s="15">
        <v>46.6</v>
      </c>
      <c r="C468" s="4">
        <f t="shared" si="7"/>
        <v>1.2603215993046464E-2</v>
      </c>
      <c r="D468" s="4"/>
    </row>
    <row r="469" spans="1:4">
      <c r="A469" s="1">
        <v>42310</v>
      </c>
      <c r="B469" s="15">
        <v>46.12</v>
      </c>
      <c r="C469" s="4">
        <f t="shared" si="7"/>
        <v>-1.0300429184549442E-2</v>
      </c>
      <c r="D469" s="4"/>
    </row>
    <row r="470" spans="1:4">
      <c r="A470" s="1">
        <v>42311</v>
      </c>
      <c r="B470" s="15">
        <v>47.88</v>
      </c>
      <c r="C470" s="4">
        <f t="shared" si="7"/>
        <v>3.8161318300086844E-2</v>
      </c>
      <c r="D470" s="4"/>
    </row>
    <row r="471" spans="1:4">
      <c r="A471" s="1">
        <v>42312</v>
      </c>
      <c r="B471" s="15">
        <v>46.32</v>
      </c>
      <c r="C471" s="4">
        <f t="shared" si="7"/>
        <v>-3.258145363408526E-2</v>
      </c>
      <c r="D471" s="4"/>
    </row>
    <row r="472" spans="1:4">
      <c r="A472" s="1">
        <v>42313</v>
      </c>
      <c r="B472" s="15">
        <v>45.27</v>
      </c>
      <c r="C472" s="4">
        <f t="shared" si="7"/>
        <v>-2.2668393782383358E-2</v>
      </c>
      <c r="D472" s="4"/>
    </row>
    <row r="473" spans="1:4">
      <c r="A473" s="1">
        <v>42314</v>
      </c>
      <c r="B473" s="15">
        <v>44.32</v>
      </c>
      <c r="C473" s="4">
        <f t="shared" si="7"/>
        <v>-2.0985199911641324E-2</v>
      </c>
      <c r="D473" s="4"/>
    </row>
    <row r="474" spans="1:4">
      <c r="A474" s="1">
        <v>42317</v>
      </c>
      <c r="B474" s="15">
        <v>43.87</v>
      </c>
      <c r="C474" s="4">
        <f t="shared" si="7"/>
        <v>-1.0153429602888151E-2</v>
      </c>
      <c r="D474" s="4"/>
    </row>
    <row r="475" spans="1:4">
      <c r="A475" s="1">
        <v>42318</v>
      </c>
      <c r="B475" s="15">
        <v>44.23</v>
      </c>
      <c r="C475" s="4">
        <f t="shared" si="7"/>
        <v>8.2060633690448932E-3</v>
      </c>
      <c r="D475" s="4"/>
    </row>
    <row r="476" spans="1:4">
      <c r="A476" s="1">
        <v>42319</v>
      </c>
      <c r="B476" s="15">
        <v>42.95</v>
      </c>
      <c r="C476" s="4">
        <f t="shared" si="7"/>
        <v>-2.8939633732760438E-2</v>
      </c>
      <c r="D476" s="4"/>
    </row>
    <row r="477" spans="1:4">
      <c r="A477" s="1">
        <v>42320</v>
      </c>
      <c r="B477" s="15">
        <v>41.74</v>
      </c>
      <c r="C477" s="4">
        <f t="shared" si="7"/>
        <v>-2.81722933643772E-2</v>
      </c>
      <c r="D477" s="4"/>
    </row>
    <row r="478" spans="1:4">
      <c r="A478" s="1">
        <v>42321</v>
      </c>
      <c r="B478" s="15">
        <v>40.69</v>
      </c>
      <c r="C478" s="4">
        <f t="shared" si="7"/>
        <v>-2.5155725922376717E-2</v>
      </c>
      <c r="D478" s="4"/>
    </row>
    <row r="479" spans="1:4">
      <c r="A479" s="1">
        <v>42324</v>
      </c>
      <c r="B479" s="15">
        <v>41.68</v>
      </c>
      <c r="C479" s="4">
        <f t="shared" si="7"/>
        <v>2.4330302285573903E-2</v>
      </c>
      <c r="D479" s="4"/>
    </row>
    <row r="480" spans="1:4">
      <c r="A480" s="1">
        <v>42325</v>
      </c>
      <c r="B480" s="15">
        <v>40.729999999999997</v>
      </c>
      <c r="C480" s="4">
        <f t="shared" si="7"/>
        <v>-2.2792706333973196E-2</v>
      </c>
      <c r="D480" s="4"/>
    </row>
    <row r="481" spans="1:4">
      <c r="A481" s="1">
        <v>42326</v>
      </c>
      <c r="B481" s="15">
        <v>40.75</v>
      </c>
      <c r="C481" s="4">
        <f t="shared" si="7"/>
        <v>4.9103854652597905E-4</v>
      </c>
      <c r="D481" s="4"/>
    </row>
    <row r="482" spans="1:4">
      <c r="A482" s="1">
        <v>42327</v>
      </c>
      <c r="B482" s="15">
        <v>40.549999999999997</v>
      </c>
      <c r="C482" s="4">
        <f t="shared" si="7"/>
        <v>-4.9079754601227691E-3</v>
      </c>
      <c r="D482" s="4"/>
    </row>
    <row r="483" spans="1:4">
      <c r="A483" s="1">
        <v>42328</v>
      </c>
      <c r="B483" s="15">
        <v>39.39</v>
      </c>
      <c r="C483" s="4">
        <f t="shared" si="7"/>
        <v>-2.8606658446362433E-2</v>
      </c>
      <c r="D483" s="4"/>
    </row>
    <row r="484" spans="1:4">
      <c r="A484" s="1">
        <v>42331</v>
      </c>
      <c r="B484" s="15">
        <v>39.270000000000003</v>
      </c>
      <c r="C484" s="4">
        <f t="shared" si="7"/>
        <v>-3.0464584920029815E-3</v>
      </c>
      <c r="D484" s="4"/>
    </row>
    <row r="485" spans="1:4">
      <c r="A485" s="1">
        <v>42332</v>
      </c>
      <c r="B485" s="15">
        <v>40.89</v>
      </c>
      <c r="C485" s="4">
        <f t="shared" si="7"/>
        <v>4.125286478227648E-2</v>
      </c>
      <c r="D485" s="4"/>
    </row>
    <row r="486" spans="1:4">
      <c r="A486" s="1">
        <v>42333</v>
      </c>
      <c r="B486" s="15">
        <v>41.22</v>
      </c>
      <c r="C486" s="4">
        <f t="shared" si="7"/>
        <v>8.0704328686720048E-3</v>
      </c>
      <c r="D486" s="4"/>
    </row>
    <row r="487" spans="1:4">
      <c r="A487" s="1">
        <v>42334</v>
      </c>
      <c r="B487" s="15">
        <v>41.22</v>
      </c>
      <c r="C487" s="4">
        <f t="shared" si="7"/>
        <v>0</v>
      </c>
      <c r="D487" s="4"/>
    </row>
    <row r="488" spans="1:4">
      <c r="A488" s="1">
        <v>42335</v>
      </c>
      <c r="B488" s="15">
        <v>40.57</v>
      </c>
      <c r="C488" s="4">
        <f t="shared" si="7"/>
        <v>-1.5769044153323596E-2</v>
      </c>
      <c r="D488" s="4"/>
    </row>
    <row r="489" spans="1:4">
      <c r="A489" s="1">
        <v>42338</v>
      </c>
      <c r="B489" s="15">
        <v>40.43</v>
      </c>
      <c r="C489" s="4">
        <f t="shared" si="7"/>
        <v>-3.4508257333004822E-3</v>
      </c>
      <c r="D489" s="4"/>
    </row>
    <row r="490" spans="1:4">
      <c r="A490" s="1">
        <v>42339</v>
      </c>
      <c r="B490" s="15">
        <v>40.58</v>
      </c>
      <c r="C490" s="4">
        <f t="shared" si="7"/>
        <v>3.7101162503091413E-3</v>
      </c>
      <c r="D490" s="4"/>
    </row>
    <row r="491" spans="1:4">
      <c r="A491" s="1">
        <v>42340</v>
      </c>
      <c r="B491" s="15">
        <v>39.93</v>
      </c>
      <c r="C491" s="4">
        <f t="shared" si="7"/>
        <v>-1.6017742730409033E-2</v>
      </c>
      <c r="D491" s="4"/>
    </row>
    <row r="492" spans="1:4">
      <c r="A492" s="1">
        <v>42341</v>
      </c>
      <c r="B492" s="15">
        <v>41.08</v>
      </c>
      <c r="C492" s="4">
        <f t="shared" si="7"/>
        <v>2.8800400701227111E-2</v>
      </c>
      <c r="D492" s="4"/>
    </row>
    <row r="493" spans="1:4">
      <c r="A493" s="1">
        <v>42342</v>
      </c>
      <c r="B493" s="15">
        <v>40</v>
      </c>
      <c r="C493" s="4">
        <f t="shared" si="7"/>
        <v>-2.629016553067182E-2</v>
      </c>
      <c r="D493" s="4"/>
    </row>
    <row r="494" spans="1:4">
      <c r="A494" s="1">
        <v>42345</v>
      </c>
      <c r="B494" s="15">
        <v>37.64</v>
      </c>
      <c r="C494" s="4">
        <f t="shared" si="7"/>
        <v>-5.8999999999999983E-2</v>
      </c>
      <c r="D494" s="4"/>
    </row>
    <row r="495" spans="1:4">
      <c r="A495" s="1">
        <v>42346</v>
      </c>
      <c r="B495" s="15">
        <v>37.46</v>
      </c>
      <c r="C495" s="4">
        <f t="shared" si="7"/>
        <v>-4.7821466524973358E-3</v>
      </c>
      <c r="D495" s="4"/>
    </row>
    <row r="496" spans="1:4">
      <c r="A496" s="1">
        <v>42347</v>
      </c>
      <c r="B496" s="15">
        <v>37.159999999999997</v>
      </c>
      <c r="C496" s="4">
        <f t="shared" si="7"/>
        <v>-8.0085424452750742E-3</v>
      </c>
      <c r="D496" s="4"/>
    </row>
    <row r="497" spans="1:4">
      <c r="A497" s="1">
        <v>42348</v>
      </c>
      <c r="B497" s="15">
        <v>36.76</v>
      </c>
      <c r="C497" s="4">
        <f t="shared" si="7"/>
        <v>-1.0764262648008574E-2</v>
      </c>
      <c r="D497" s="4"/>
    </row>
    <row r="498" spans="1:4">
      <c r="A498" s="1">
        <v>42349</v>
      </c>
      <c r="B498" s="15">
        <v>35.65</v>
      </c>
      <c r="C498" s="4">
        <f t="shared" si="7"/>
        <v>-3.0195865070729039E-2</v>
      </c>
      <c r="D498" s="4"/>
    </row>
    <row r="499" spans="1:4">
      <c r="A499" s="1">
        <v>42352</v>
      </c>
      <c r="B499" s="15">
        <v>36.31</v>
      </c>
      <c r="C499" s="4">
        <f t="shared" si="7"/>
        <v>1.8513323983169811E-2</v>
      </c>
      <c r="D499" s="4"/>
    </row>
    <row r="500" spans="1:4">
      <c r="A500" s="1">
        <v>42353</v>
      </c>
      <c r="B500" s="15">
        <v>37.32</v>
      </c>
      <c r="C500" s="4">
        <f t="shared" si="7"/>
        <v>2.7816028642247258E-2</v>
      </c>
      <c r="D500" s="4"/>
    </row>
    <row r="501" spans="1:4">
      <c r="A501" s="1">
        <v>42354</v>
      </c>
      <c r="B501" s="15">
        <v>35.549999999999997</v>
      </c>
      <c r="C501" s="4">
        <f t="shared" si="7"/>
        <v>-4.7427652733119052E-2</v>
      </c>
      <c r="D501" s="4"/>
    </row>
    <row r="502" spans="1:4">
      <c r="A502" s="1">
        <v>42355</v>
      </c>
      <c r="B502" s="15">
        <v>34.979999999999997</v>
      </c>
      <c r="C502" s="4">
        <f t="shared" si="7"/>
        <v>-1.6033755274261614E-2</v>
      </c>
      <c r="D502" s="4"/>
    </row>
    <row r="503" spans="1:4">
      <c r="A503" s="1">
        <v>42356</v>
      </c>
      <c r="B503" s="15">
        <v>34.72</v>
      </c>
      <c r="C503" s="4">
        <f t="shared" si="7"/>
        <v>-7.4328187535734145E-3</v>
      </c>
      <c r="D503" s="4"/>
    </row>
    <row r="504" spans="1:4">
      <c r="A504" s="1">
        <v>42359</v>
      </c>
      <c r="B504" s="15">
        <v>34.549999999999997</v>
      </c>
      <c r="C504" s="4">
        <f t="shared" si="7"/>
        <v>-4.8963133640553486E-3</v>
      </c>
      <c r="D504" s="4"/>
    </row>
    <row r="505" spans="1:4">
      <c r="A505" s="1">
        <v>42360</v>
      </c>
      <c r="B505" s="15">
        <v>36.119999999999997</v>
      </c>
      <c r="C505" s="4">
        <f t="shared" si="7"/>
        <v>4.5441389290882789E-2</v>
      </c>
      <c r="D505" s="4"/>
    </row>
    <row r="506" spans="1:4">
      <c r="A506" s="1">
        <v>42361</v>
      </c>
      <c r="B506" s="15">
        <v>36.76</v>
      </c>
      <c r="C506" s="4">
        <f t="shared" si="7"/>
        <v>1.7718715393134014E-2</v>
      </c>
      <c r="D506" s="4"/>
    </row>
    <row r="507" spans="1:4">
      <c r="A507" s="1">
        <v>42362</v>
      </c>
      <c r="B507" s="15">
        <v>37.619999999999997</v>
      </c>
      <c r="C507" s="4">
        <f t="shared" si="7"/>
        <v>2.3394994559303578E-2</v>
      </c>
      <c r="D507" s="4"/>
    </row>
    <row r="508" spans="1:4">
      <c r="A508" s="1">
        <v>42363</v>
      </c>
      <c r="B508" s="15">
        <v>37.6</v>
      </c>
      <c r="C508" s="4">
        <f t="shared" si="7"/>
        <v>-5.3163211057937322E-4</v>
      </c>
      <c r="D508" s="4"/>
    </row>
    <row r="509" spans="1:4">
      <c r="A509" s="1">
        <v>42366</v>
      </c>
      <c r="B509" s="15">
        <v>36.36</v>
      </c>
      <c r="C509" s="4">
        <f t="shared" si="7"/>
        <v>-3.2978723404255374E-2</v>
      </c>
      <c r="D509" s="4"/>
    </row>
    <row r="510" spans="1:4">
      <c r="A510" s="1">
        <v>42367</v>
      </c>
      <c r="B510" s="15">
        <v>37.880000000000003</v>
      </c>
      <c r="C510" s="4">
        <f t="shared" si="7"/>
        <v>4.1804180418041889E-2</v>
      </c>
      <c r="D510" s="4"/>
    </row>
    <row r="511" spans="1:4">
      <c r="A511" s="1">
        <v>42368</v>
      </c>
      <c r="B511" s="15">
        <v>36.590000000000003</v>
      </c>
      <c r="C511" s="4">
        <f t="shared" si="7"/>
        <v>-3.4054910242872202E-2</v>
      </c>
      <c r="D511" s="4"/>
    </row>
    <row r="512" spans="1:4">
      <c r="A512" s="1">
        <v>42369</v>
      </c>
      <c r="B512" s="15">
        <v>37.130000000000003</v>
      </c>
      <c r="C512" s="4">
        <f t="shared" si="7"/>
        <v>1.4758130636785983E-2</v>
      </c>
      <c r="D512" s="4"/>
    </row>
    <row r="513" spans="1:4">
      <c r="A513" s="1">
        <v>42370</v>
      </c>
      <c r="B513" s="15">
        <v>37.130000000000003</v>
      </c>
      <c r="C513" s="4">
        <f t="shared" si="7"/>
        <v>0</v>
      </c>
      <c r="D513" s="4"/>
    </row>
    <row r="514" spans="1:4">
      <c r="A514" s="1">
        <v>42373</v>
      </c>
      <c r="B514" s="15">
        <v>36.81</v>
      </c>
      <c r="C514" s="4">
        <f t="shared" si="7"/>
        <v>-8.6183678965795919E-3</v>
      </c>
      <c r="D514" s="4"/>
    </row>
    <row r="515" spans="1:4">
      <c r="A515" s="1">
        <v>42374</v>
      </c>
      <c r="B515" s="15">
        <v>35.97</v>
      </c>
      <c r="C515" s="4">
        <f t="shared" ref="C515:C578" si="8">(B515-B514)/B514</f>
        <v>-2.2819885900570588E-2</v>
      </c>
      <c r="D515" s="4"/>
    </row>
    <row r="516" spans="1:4">
      <c r="A516" s="1">
        <v>42375</v>
      </c>
      <c r="B516" s="15">
        <v>33.97</v>
      </c>
      <c r="C516" s="4">
        <f t="shared" si="8"/>
        <v>-5.5601890464275786E-2</v>
      </c>
      <c r="D516" s="4"/>
    </row>
    <row r="517" spans="1:4">
      <c r="A517" s="1">
        <v>42376</v>
      </c>
      <c r="B517" s="15">
        <v>33.29</v>
      </c>
      <c r="C517" s="4">
        <f t="shared" si="8"/>
        <v>-2.001766264350897E-2</v>
      </c>
      <c r="D517" s="4"/>
    </row>
    <row r="518" spans="1:4">
      <c r="A518" s="1">
        <v>42377</v>
      </c>
      <c r="B518" s="15">
        <v>33.200000000000003</v>
      </c>
      <c r="C518" s="4">
        <f t="shared" si="8"/>
        <v>-2.7035145689395107E-3</v>
      </c>
      <c r="D518" s="4"/>
    </row>
    <row r="519" spans="1:4">
      <c r="A519" s="1">
        <v>42380</v>
      </c>
      <c r="B519" s="15">
        <v>31.42</v>
      </c>
      <c r="C519" s="4">
        <f t="shared" si="8"/>
        <v>-5.3614457831325332E-2</v>
      </c>
      <c r="D519" s="4"/>
    </row>
    <row r="520" spans="1:4">
      <c r="A520" s="1">
        <v>42381</v>
      </c>
      <c r="B520" s="15">
        <v>30.42</v>
      </c>
      <c r="C520" s="4">
        <f t="shared" si="8"/>
        <v>-3.1826861871419476E-2</v>
      </c>
      <c r="D520" s="4"/>
    </row>
    <row r="521" spans="1:4">
      <c r="A521" s="1">
        <v>42382</v>
      </c>
      <c r="B521" s="15">
        <v>30.42</v>
      </c>
      <c r="C521" s="4">
        <f t="shared" si="8"/>
        <v>0</v>
      </c>
      <c r="D521" s="4"/>
    </row>
    <row r="522" spans="1:4">
      <c r="A522" s="1">
        <v>42383</v>
      </c>
      <c r="B522" s="15">
        <v>31.22</v>
      </c>
      <c r="C522" s="4">
        <f t="shared" si="8"/>
        <v>2.629848783694928E-2</v>
      </c>
      <c r="D522" s="4"/>
    </row>
    <row r="523" spans="1:4">
      <c r="A523" s="1">
        <v>42384</v>
      </c>
      <c r="B523" s="15">
        <v>29.45</v>
      </c>
      <c r="C523" s="4">
        <f t="shared" si="8"/>
        <v>-5.6694426649583587E-2</v>
      </c>
      <c r="D523" s="4"/>
    </row>
    <row r="524" spans="1:4">
      <c r="A524" s="1">
        <v>42388</v>
      </c>
      <c r="B524" s="15">
        <v>28.47</v>
      </c>
      <c r="C524" s="4">
        <f t="shared" si="8"/>
        <v>-3.3276740237691019E-2</v>
      </c>
      <c r="D524" s="4"/>
    </row>
    <row r="525" spans="1:4">
      <c r="A525" s="1">
        <v>42389</v>
      </c>
      <c r="B525" s="15">
        <v>26.68</v>
      </c>
      <c r="C525" s="4">
        <f t="shared" si="8"/>
        <v>-6.2873199859501197E-2</v>
      </c>
      <c r="D525" s="4"/>
    </row>
    <row r="526" spans="1:4">
      <c r="A526" s="1">
        <v>42390</v>
      </c>
      <c r="B526" s="15">
        <v>29.55</v>
      </c>
      <c r="C526" s="4">
        <f t="shared" si="8"/>
        <v>0.10757121439280364</v>
      </c>
      <c r="D526" s="4"/>
    </row>
    <row r="527" spans="1:4">
      <c r="A527" s="1">
        <v>42391</v>
      </c>
      <c r="B527" s="15">
        <v>32.07</v>
      </c>
      <c r="C527" s="4">
        <f t="shared" si="8"/>
        <v>8.5279187817258864E-2</v>
      </c>
      <c r="D527" s="4"/>
    </row>
    <row r="528" spans="1:4">
      <c r="A528" s="1">
        <v>42394</v>
      </c>
      <c r="B528" s="15">
        <v>30.31</v>
      </c>
      <c r="C528" s="4">
        <f t="shared" si="8"/>
        <v>-5.4879950109136315E-2</v>
      </c>
      <c r="D528" s="4"/>
    </row>
    <row r="529" spans="1:4">
      <c r="A529" s="1">
        <v>42395</v>
      </c>
      <c r="B529" s="15">
        <v>29.54</v>
      </c>
      <c r="C529" s="4">
        <f t="shared" si="8"/>
        <v>-2.5404157043879893E-2</v>
      </c>
      <c r="D529" s="4"/>
    </row>
    <row r="530" spans="1:4">
      <c r="A530" s="1">
        <v>42396</v>
      </c>
      <c r="B530" s="15">
        <v>32.32</v>
      </c>
      <c r="C530" s="4">
        <f t="shared" si="8"/>
        <v>9.4109681787406946E-2</v>
      </c>
      <c r="D530" s="4"/>
    </row>
    <row r="531" spans="1:4">
      <c r="A531" s="1">
        <v>42397</v>
      </c>
      <c r="B531" s="15">
        <v>33.21</v>
      </c>
      <c r="C531" s="4">
        <f t="shared" si="8"/>
        <v>2.7537128712871305E-2</v>
      </c>
      <c r="D531" s="4"/>
    </row>
    <row r="532" spans="1:4">
      <c r="A532" s="1">
        <v>42398</v>
      </c>
      <c r="B532" s="15">
        <v>33.659999999999997</v>
      </c>
      <c r="C532" s="4">
        <f t="shared" si="8"/>
        <v>1.3550135501354884E-2</v>
      </c>
      <c r="D532" s="4"/>
    </row>
    <row r="533" spans="1:4">
      <c r="A533" s="1">
        <v>42401</v>
      </c>
      <c r="B533" s="15">
        <v>31.62</v>
      </c>
      <c r="C533" s="4">
        <f t="shared" si="8"/>
        <v>-6.0606060606060483E-2</v>
      </c>
      <c r="D533" s="4"/>
    </row>
    <row r="534" spans="1:4">
      <c r="A534" s="1">
        <v>42402</v>
      </c>
      <c r="B534" s="15">
        <v>29.9</v>
      </c>
      <c r="C534" s="4">
        <f t="shared" si="8"/>
        <v>-5.4395951929158838E-2</v>
      </c>
      <c r="D534" s="4"/>
    </row>
    <row r="535" spans="1:4">
      <c r="A535" s="1">
        <v>42403</v>
      </c>
      <c r="B535" s="15">
        <v>32.29</v>
      </c>
      <c r="C535" s="4">
        <f t="shared" si="8"/>
        <v>7.9933110367892996E-2</v>
      </c>
      <c r="D535" s="4"/>
    </row>
    <row r="536" spans="1:4">
      <c r="A536" s="1">
        <v>42404</v>
      </c>
      <c r="B536" s="15">
        <v>31.63</v>
      </c>
      <c r="C536" s="4">
        <f t="shared" si="8"/>
        <v>-2.0439764633013321E-2</v>
      </c>
      <c r="D536" s="4"/>
    </row>
    <row r="537" spans="1:4">
      <c r="A537" s="1">
        <v>42405</v>
      </c>
      <c r="B537" s="15">
        <v>30.86</v>
      </c>
      <c r="C537" s="4">
        <f t="shared" si="8"/>
        <v>-2.4343977236800492E-2</v>
      </c>
      <c r="D537" s="4"/>
    </row>
    <row r="538" spans="1:4">
      <c r="A538" s="1">
        <v>42408</v>
      </c>
      <c r="B538" s="15">
        <v>29.71</v>
      </c>
      <c r="C538" s="4">
        <f t="shared" si="8"/>
        <v>-3.7265068049254654E-2</v>
      </c>
      <c r="D538" s="4"/>
    </row>
    <row r="539" spans="1:4">
      <c r="A539" s="1">
        <v>42409</v>
      </c>
      <c r="B539" s="15">
        <v>27.96</v>
      </c>
      <c r="C539" s="4">
        <f t="shared" si="8"/>
        <v>-5.8902726354762708E-2</v>
      </c>
      <c r="D539" s="4"/>
    </row>
    <row r="540" spans="1:4">
      <c r="A540" s="1">
        <v>42410</v>
      </c>
      <c r="B540" s="15">
        <v>27.54</v>
      </c>
      <c r="C540" s="4">
        <f t="shared" si="8"/>
        <v>-1.5021459227467872E-2</v>
      </c>
      <c r="D540" s="4"/>
    </row>
    <row r="541" spans="1:4">
      <c r="A541" s="1">
        <v>42411</v>
      </c>
      <c r="B541" s="15">
        <v>26.19</v>
      </c>
      <c r="C541" s="4">
        <f t="shared" si="8"/>
        <v>-4.9019607843137178E-2</v>
      </c>
      <c r="D541" s="4"/>
    </row>
    <row r="542" spans="1:4">
      <c r="A542" s="1">
        <v>42412</v>
      </c>
      <c r="B542" s="15">
        <v>29.32</v>
      </c>
      <c r="C542" s="4">
        <f t="shared" si="8"/>
        <v>0.1195112638411607</v>
      </c>
      <c r="D542" s="4"/>
    </row>
    <row r="543" spans="1:4">
      <c r="A543" s="1">
        <v>42416</v>
      </c>
      <c r="B543" s="15">
        <v>29.05</v>
      </c>
      <c r="C543" s="4">
        <f t="shared" si="8"/>
        <v>-9.2087312414733825E-3</v>
      </c>
      <c r="D543" s="4"/>
    </row>
    <row r="544" spans="1:4">
      <c r="A544" s="1">
        <v>42417</v>
      </c>
      <c r="B544" s="15">
        <v>30.68</v>
      </c>
      <c r="C544" s="4">
        <f t="shared" si="8"/>
        <v>5.6110154905335594E-2</v>
      </c>
      <c r="D544" s="4"/>
    </row>
    <row r="545" spans="1:4">
      <c r="A545" s="1">
        <v>42418</v>
      </c>
      <c r="B545" s="15">
        <v>30.77</v>
      </c>
      <c r="C545" s="4">
        <f t="shared" si="8"/>
        <v>2.9335071707953016E-3</v>
      </c>
      <c r="D545" s="4"/>
    </row>
    <row r="546" spans="1:4">
      <c r="A546" s="1">
        <v>42419</v>
      </c>
      <c r="B546" s="15">
        <v>29.59</v>
      </c>
      <c r="C546" s="4">
        <f t="shared" si="8"/>
        <v>-3.834904127396814E-2</v>
      </c>
      <c r="D546" s="4"/>
    </row>
    <row r="547" spans="1:4">
      <c r="A547" s="1">
        <v>42422</v>
      </c>
      <c r="B547" s="15">
        <v>31.37</v>
      </c>
      <c r="C547" s="4">
        <f t="shared" si="8"/>
        <v>6.015545792497469E-2</v>
      </c>
      <c r="D547" s="4"/>
    </row>
    <row r="548" spans="1:4">
      <c r="A548" s="1">
        <v>42423</v>
      </c>
      <c r="B548" s="15">
        <v>31.84</v>
      </c>
      <c r="C548" s="4">
        <f t="shared" si="8"/>
        <v>1.4982467325470157E-2</v>
      </c>
      <c r="D548" s="4"/>
    </row>
    <row r="549" spans="1:4">
      <c r="A549" s="1">
        <v>42424</v>
      </c>
      <c r="B549" s="15">
        <v>30.35</v>
      </c>
      <c r="C549" s="4">
        <f t="shared" si="8"/>
        <v>-4.6796482412060254E-2</v>
      </c>
      <c r="D549" s="4"/>
    </row>
    <row r="550" spans="1:4">
      <c r="A550" s="1">
        <v>42425</v>
      </c>
      <c r="B550" s="15">
        <v>31.4</v>
      </c>
      <c r="C550" s="4">
        <f t="shared" si="8"/>
        <v>3.459637561779233E-2</v>
      </c>
      <c r="D550" s="4"/>
    </row>
    <row r="551" spans="1:4">
      <c r="A551" s="1">
        <v>42426</v>
      </c>
      <c r="B551" s="15">
        <v>31.65</v>
      </c>
      <c r="C551" s="4">
        <f t="shared" si="8"/>
        <v>7.9617834394904458E-3</v>
      </c>
      <c r="D551" s="4"/>
    </row>
    <row r="552" spans="1:4">
      <c r="A552" s="1">
        <v>42429</v>
      </c>
      <c r="B552" s="15">
        <v>32.74</v>
      </c>
      <c r="C552" s="4">
        <f t="shared" si="8"/>
        <v>3.4439178515008009E-2</v>
      </c>
      <c r="D552" s="4"/>
    </row>
    <row r="553" spans="1:4">
      <c r="A553" s="1">
        <v>42430</v>
      </c>
      <c r="B553" s="15">
        <v>34.39</v>
      </c>
      <c r="C553" s="4">
        <f t="shared" si="8"/>
        <v>5.0397067806963909E-2</v>
      </c>
      <c r="D553" s="4"/>
    </row>
    <row r="554" spans="1:4">
      <c r="A554" s="1">
        <v>42431</v>
      </c>
      <c r="B554" s="15">
        <v>34.57</v>
      </c>
      <c r="C554" s="4">
        <f t="shared" si="8"/>
        <v>5.2340796743239231E-3</v>
      </c>
      <c r="D554" s="4"/>
    </row>
    <row r="555" spans="1:4">
      <c r="A555" s="1">
        <v>42432</v>
      </c>
      <c r="B555" s="15">
        <v>34.56</v>
      </c>
      <c r="C555" s="4">
        <f t="shared" si="8"/>
        <v>-2.8926815157645389E-4</v>
      </c>
      <c r="D555" s="4"/>
    </row>
    <row r="556" spans="1:4">
      <c r="A556" s="1">
        <v>42433</v>
      </c>
      <c r="B556" s="15">
        <v>35.909999999999997</v>
      </c>
      <c r="C556" s="4">
        <f t="shared" si="8"/>
        <v>3.9062499999999833E-2</v>
      </c>
      <c r="D556" s="4"/>
    </row>
    <row r="557" spans="1:4">
      <c r="A557" s="1">
        <v>42436</v>
      </c>
      <c r="B557" s="15">
        <v>37.9</v>
      </c>
      <c r="C557" s="4">
        <f t="shared" si="8"/>
        <v>5.541631857421337E-2</v>
      </c>
      <c r="D557" s="4"/>
    </row>
    <row r="558" spans="1:4">
      <c r="A558" s="1">
        <v>42437</v>
      </c>
      <c r="B558" s="15">
        <v>36.67</v>
      </c>
      <c r="C558" s="4">
        <f t="shared" si="8"/>
        <v>-3.2453825857519707E-2</v>
      </c>
      <c r="D558" s="4"/>
    </row>
    <row r="559" spans="1:4">
      <c r="A559" s="1">
        <v>42438</v>
      </c>
      <c r="B559" s="15">
        <v>37.619999999999997</v>
      </c>
      <c r="C559" s="4">
        <f t="shared" si="8"/>
        <v>2.5906735751295221E-2</v>
      </c>
      <c r="D559" s="4"/>
    </row>
    <row r="560" spans="1:4">
      <c r="A560" s="1">
        <v>42439</v>
      </c>
      <c r="B560" s="15">
        <v>37.770000000000003</v>
      </c>
      <c r="C560" s="4">
        <f t="shared" si="8"/>
        <v>3.987240829346244E-3</v>
      </c>
      <c r="D560" s="4"/>
    </row>
    <row r="561" spans="1:4">
      <c r="A561" s="1">
        <v>42440</v>
      </c>
      <c r="B561" s="15">
        <v>38.51</v>
      </c>
      <c r="C561" s="4">
        <f t="shared" si="8"/>
        <v>1.9592268996557978E-2</v>
      </c>
      <c r="D561" s="4"/>
    </row>
    <row r="562" spans="1:4">
      <c r="A562" s="1">
        <v>42443</v>
      </c>
      <c r="B562" s="15">
        <v>37.200000000000003</v>
      </c>
      <c r="C562" s="4">
        <f t="shared" si="8"/>
        <v>-3.4017138405608806E-2</v>
      </c>
      <c r="D562" s="4"/>
    </row>
    <row r="563" spans="1:4">
      <c r="A563" s="1">
        <v>42444</v>
      </c>
      <c r="B563" s="15">
        <v>36.32</v>
      </c>
      <c r="C563" s="4">
        <f t="shared" si="8"/>
        <v>-2.3655913978494692E-2</v>
      </c>
      <c r="D563" s="4"/>
    </row>
    <row r="564" spans="1:4">
      <c r="A564" s="1">
        <v>42445</v>
      </c>
      <c r="B564" s="15">
        <v>38.43</v>
      </c>
      <c r="C564" s="4">
        <f t="shared" si="8"/>
        <v>5.8094713656387652E-2</v>
      </c>
      <c r="D564" s="4"/>
    </row>
    <row r="565" spans="1:4">
      <c r="A565" s="1">
        <v>42446</v>
      </c>
      <c r="B565" s="15">
        <v>40.17</v>
      </c>
      <c r="C565" s="4">
        <f t="shared" si="8"/>
        <v>4.5277127244340409E-2</v>
      </c>
      <c r="D565" s="4"/>
    </row>
    <row r="566" spans="1:4">
      <c r="A566" s="1">
        <v>42447</v>
      </c>
      <c r="B566" s="15">
        <v>39.47</v>
      </c>
      <c r="C566" s="4">
        <f t="shared" si="8"/>
        <v>-1.7425939756036915E-2</v>
      </c>
      <c r="D566" s="4"/>
    </row>
    <row r="567" spans="1:4">
      <c r="A567" s="1">
        <v>42450</v>
      </c>
      <c r="B567" s="15">
        <v>39.909999999999997</v>
      </c>
      <c r="C567" s="4">
        <f t="shared" si="8"/>
        <v>1.1147707119331079E-2</v>
      </c>
      <c r="D567" s="4"/>
    </row>
    <row r="568" spans="1:4">
      <c r="A568" s="1">
        <v>42451</v>
      </c>
      <c r="B568" s="15">
        <v>41.45</v>
      </c>
      <c r="C568" s="4">
        <f t="shared" si="8"/>
        <v>3.8586820345778164E-2</v>
      </c>
      <c r="D568" s="4"/>
    </row>
    <row r="569" spans="1:4">
      <c r="A569" s="1">
        <v>42452</v>
      </c>
      <c r="B569" s="15">
        <v>38.28</v>
      </c>
      <c r="C569" s="4">
        <f t="shared" si="8"/>
        <v>-7.6477683956574227E-2</v>
      </c>
      <c r="D569" s="4"/>
    </row>
    <row r="570" spans="1:4">
      <c r="A570" s="1">
        <v>42453</v>
      </c>
      <c r="B570" s="15">
        <v>38.14</v>
      </c>
      <c r="C570" s="4">
        <f t="shared" si="8"/>
        <v>-3.657262277951948E-3</v>
      </c>
      <c r="D570" s="4"/>
    </row>
    <row r="571" spans="1:4">
      <c r="A571" s="1">
        <v>42457</v>
      </c>
      <c r="B571" s="15">
        <v>37.99</v>
      </c>
      <c r="C571" s="4">
        <f t="shared" si="8"/>
        <v>-3.9328788673308485E-3</v>
      </c>
      <c r="D571" s="4"/>
    </row>
    <row r="572" spans="1:4">
      <c r="A572" s="1">
        <v>42458</v>
      </c>
      <c r="B572" s="15">
        <v>36.909999999999997</v>
      </c>
      <c r="C572" s="4">
        <f t="shared" si="8"/>
        <v>-2.8428533824690849E-2</v>
      </c>
      <c r="D572" s="4"/>
    </row>
    <row r="573" spans="1:4">
      <c r="A573" s="1">
        <v>42459</v>
      </c>
      <c r="B573" s="15">
        <v>36.909999999999997</v>
      </c>
      <c r="C573" s="4">
        <f t="shared" si="8"/>
        <v>0</v>
      </c>
      <c r="D573" s="4"/>
    </row>
    <row r="574" spans="1:4">
      <c r="A574" s="1">
        <v>42460</v>
      </c>
      <c r="B574" s="15">
        <v>36.94</v>
      </c>
      <c r="C574" s="4">
        <f t="shared" si="8"/>
        <v>8.127878623679528E-4</v>
      </c>
      <c r="D574" s="4"/>
    </row>
    <row r="575" spans="1:4">
      <c r="A575" s="1">
        <v>42461</v>
      </c>
      <c r="B575" s="15">
        <v>35.36</v>
      </c>
      <c r="C575" s="4">
        <f t="shared" si="8"/>
        <v>-4.2772062804547872E-2</v>
      </c>
      <c r="D575" s="4"/>
    </row>
    <row r="576" spans="1:4">
      <c r="A576" s="1">
        <v>42464</v>
      </c>
      <c r="B576" s="15">
        <v>34.299999999999997</v>
      </c>
      <c r="C576" s="4">
        <f t="shared" si="8"/>
        <v>-2.9977375565610923E-2</v>
      </c>
      <c r="D576" s="4"/>
    </row>
    <row r="577" spans="1:4">
      <c r="A577" s="1">
        <v>42465</v>
      </c>
      <c r="B577" s="15">
        <v>34.520000000000003</v>
      </c>
      <c r="C577" s="4">
        <f t="shared" si="8"/>
        <v>6.4139941690963846E-3</v>
      </c>
      <c r="D577" s="4"/>
    </row>
    <row r="578" spans="1:4">
      <c r="A578" s="1">
        <v>42466</v>
      </c>
      <c r="B578" s="15">
        <v>37.74</v>
      </c>
      <c r="C578" s="4">
        <f t="shared" si="8"/>
        <v>9.3279258400926962E-2</v>
      </c>
      <c r="D578" s="4"/>
    </row>
    <row r="579" spans="1:4">
      <c r="A579" s="1">
        <v>42467</v>
      </c>
      <c r="B579" s="15">
        <v>37.299999999999997</v>
      </c>
      <c r="C579" s="4">
        <f t="shared" ref="C579:C642" si="9">(B579-B578)/B578</f>
        <v>-1.1658717541070609E-2</v>
      </c>
      <c r="D579" s="4"/>
    </row>
    <row r="580" spans="1:4">
      <c r="A580" s="1">
        <v>42468</v>
      </c>
      <c r="B580" s="15">
        <v>39.74</v>
      </c>
      <c r="C580" s="4">
        <f t="shared" si="9"/>
        <v>6.5415549597855366E-2</v>
      </c>
      <c r="D580" s="4"/>
    </row>
    <row r="581" spans="1:4">
      <c r="A581" s="1">
        <v>42471</v>
      </c>
      <c r="B581" s="15">
        <v>40.46</v>
      </c>
      <c r="C581" s="4">
        <f t="shared" si="9"/>
        <v>1.8117765475591314E-2</v>
      </c>
      <c r="D581" s="4"/>
    </row>
    <row r="582" spans="1:4">
      <c r="A582" s="1">
        <v>42472</v>
      </c>
      <c r="B582" s="15">
        <v>42.12</v>
      </c>
      <c r="C582" s="4">
        <f t="shared" si="9"/>
        <v>4.1028175976272778E-2</v>
      </c>
      <c r="D582" s="4"/>
    </row>
    <row r="583" spans="1:4">
      <c r="A583" s="1">
        <v>42473</v>
      </c>
      <c r="B583" s="15">
        <v>41.7</v>
      </c>
      <c r="C583" s="4">
        <f t="shared" si="9"/>
        <v>-9.9715099715098447E-3</v>
      </c>
      <c r="D583" s="4"/>
    </row>
    <row r="584" spans="1:4">
      <c r="A584" s="1">
        <v>42474</v>
      </c>
      <c r="B584" s="15">
        <v>41.45</v>
      </c>
      <c r="C584" s="4">
        <f t="shared" si="9"/>
        <v>-5.9952038369304557E-3</v>
      </c>
      <c r="D584" s="4"/>
    </row>
    <row r="585" spans="1:4">
      <c r="A585" s="1">
        <v>42475</v>
      </c>
      <c r="B585" s="15">
        <v>40.4</v>
      </c>
      <c r="C585" s="4">
        <f t="shared" si="9"/>
        <v>-2.5331724969843285E-2</v>
      </c>
      <c r="D585" s="4"/>
    </row>
    <row r="586" spans="1:4">
      <c r="A586" s="1">
        <v>42478</v>
      </c>
      <c r="B586" s="15">
        <v>39.74</v>
      </c>
      <c r="C586" s="4">
        <f t="shared" si="9"/>
        <v>-1.6336633663366254E-2</v>
      </c>
      <c r="D586" s="4"/>
    </row>
    <row r="587" spans="1:4">
      <c r="A587" s="1">
        <v>42479</v>
      </c>
      <c r="B587" s="15">
        <v>40.880000000000003</v>
      </c>
      <c r="C587" s="4">
        <f t="shared" si="9"/>
        <v>2.8686462003019639E-2</v>
      </c>
      <c r="D587" s="4"/>
    </row>
    <row r="588" spans="1:4">
      <c r="A588" s="1">
        <v>42480</v>
      </c>
      <c r="B588" s="15">
        <v>42.72</v>
      </c>
      <c r="C588" s="4">
        <f t="shared" si="9"/>
        <v>4.500978473581204E-2</v>
      </c>
      <c r="D588" s="4"/>
    </row>
    <row r="589" spans="1:4">
      <c r="A589" s="1">
        <v>42481</v>
      </c>
      <c r="B589" s="15">
        <v>43.18</v>
      </c>
      <c r="C589" s="4">
        <f t="shared" si="9"/>
        <v>1.0767790262172306E-2</v>
      </c>
      <c r="D589" s="4"/>
    </row>
    <row r="590" spans="1:4">
      <c r="A590" s="1">
        <v>42482</v>
      </c>
      <c r="B590" s="15">
        <v>42.76</v>
      </c>
      <c r="C590" s="4">
        <f t="shared" si="9"/>
        <v>-9.7267253358036525E-3</v>
      </c>
      <c r="D590" s="4"/>
    </row>
    <row r="591" spans="1:4">
      <c r="A591" s="1">
        <v>42485</v>
      </c>
      <c r="B591" s="15">
        <v>41.67</v>
      </c>
      <c r="C591" s="4">
        <f t="shared" si="9"/>
        <v>-2.5491113189897014E-2</v>
      </c>
      <c r="D591" s="4"/>
    </row>
    <row r="592" spans="1:4">
      <c r="A592" s="1">
        <v>42486</v>
      </c>
      <c r="B592" s="15">
        <v>42.52</v>
      </c>
      <c r="C592" s="4">
        <f t="shared" si="9"/>
        <v>2.0398368130549589E-2</v>
      </c>
      <c r="D592" s="4"/>
    </row>
    <row r="593" spans="1:4">
      <c r="A593" s="1">
        <v>42487</v>
      </c>
      <c r="B593" s="15">
        <v>45.29</v>
      </c>
      <c r="C593" s="4">
        <f t="shared" si="9"/>
        <v>6.5145813734712982E-2</v>
      </c>
      <c r="D593" s="4"/>
    </row>
    <row r="594" spans="1:4">
      <c r="A594" s="1">
        <v>42488</v>
      </c>
      <c r="B594" s="15">
        <v>46.03</v>
      </c>
      <c r="C594" s="4">
        <f t="shared" si="9"/>
        <v>1.6339147714727355E-2</v>
      </c>
      <c r="D594" s="4"/>
    </row>
    <row r="595" spans="1:4">
      <c r="A595" s="1">
        <v>42489</v>
      </c>
      <c r="B595" s="15">
        <v>45.98</v>
      </c>
      <c r="C595" s="4">
        <f t="shared" si="9"/>
        <v>-1.0862480990659193E-3</v>
      </c>
      <c r="D595" s="4"/>
    </row>
    <row r="596" spans="1:4">
      <c r="A596" s="1">
        <v>42492</v>
      </c>
      <c r="B596" s="15">
        <v>44.75</v>
      </c>
      <c r="C596" s="4">
        <f t="shared" si="9"/>
        <v>-2.6750761200521899E-2</v>
      </c>
      <c r="D596" s="4"/>
    </row>
    <row r="597" spans="1:4">
      <c r="A597" s="1">
        <v>42493</v>
      </c>
      <c r="B597" s="15">
        <v>43.65</v>
      </c>
      <c r="C597" s="4">
        <f t="shared" si="9"/>
        <v>-2.4581005586592212E-2</v>
      </c>
      <c r="D597" s="4"/>
    </row>
    <row r="598" spans="1:4">
      <c r="A598" s="1">
        <v>42494</v>
      </c>
      <c r="B598" s="15">
        <v>43.77</v>
      </c>
      <c r="C598" s="4">
        <f t="shared" si="9"/>
        <v>2.7491408934708947E-3</v>
      </c>
      <c r="D598" s="4"/>
    </row>
    <row r="599" spans="1:4">
      <c r="A599" s="1">
        <v>42495</v>
      </c>
      <c r="B599" s="15">
        <v>44.33</v>
      </c>
      <c r="C599" s="4">
        <f t="shared" si="9"/>
        <v>1.2794151245144965E-2</v>
      </c>
      <c r="D599" s="4"/>
    </row>
    <row r="600" spans="1:4">
      <c r="A600" s="1">
        <v>42496</v>
      </c>
      <c r="B600" s="15">
        <v>44.58</v>
      </c>
      <c r="C600" s="4">
        <f t="shared" si="9"/>
        <v>5.6395217685540266E-3</v>
      </c>
      <c r="D600" s="4"/>
    </row>
    <row r="601" spans="1:4">
      <c r="A601" s="1">
        <v>42499</v>
      </c>
      <c r="B601" s="15">
        <v>43.45</v>
      </c>
      <c r="C601" s="4">
        <f t="shared" si="9"/>
        <v>-2.5347689546881907E-2</v>
      </c>
      <c r="D601" s="4"/>
    </row>
    <row r="602" spans="1:4">
      <c r="A602" s="1">
        <v>42500</v>
      </c>
      <c r="B602" s="15">
        <v>44.68</v>
      </c>
      <c r="C602" s="4">
        <f t="shared" si="9"/>
        <v>2.8308400460299119E-2</v>
      </c>
      <c r="D602" s="4"/>
    </row>
    <row r="603" spans="1:4">
      <c r="A603" s="1">
        <v>42501</v>
      </c>
      <c r="B603" s="15">
        <v>46.21</v>
      </c>
      <c r="C603" s="4">
        <f t="shared" si="9"/>
        <v>3.4243509400179076E-2</v>
      </c>
      <c r="D603" s="4"/>
    </row>
    <row r="604" spans="1:4">
      <c r="A604" s="1">
        <v>42502</v>
      </c>
      <c r="B604" s="15">
        <v>46.64</v>
      </c>
      <c r="C604" s="4">
        <f t="shared" si="9"/>
        <v>9.3053451633845433E-3</v>
      </c>
      <c r="D604" s="4"/>
    </row>
    <row r="605" spans="1:4">
      <c r="A605" s="1">
        <v>42503</v>
      </c>
      <c r="B605" s="15">
        <v>46.22</v>
      </c>
      <c r="C605" s="4">
        <f t="shared" si="9"/>
        <v>-9.0051457975986651E-3</v>
      </c>
      <c r="D605" s="4"/>
    </row>
    <row r="606" spans="1:4">
      <c r="A606" s="1">
        <v>42506</v>
      </c>
      <c r="B606" s="15">
        <v>47.72</v>
      </c>
      <c r="C606" s="4">
        <f t="shared" si="9"/>
        <v>3.2453483340545222E-2</v>
      </c>
      <c r="D606" s="4"/>
    </row>
    <row r="607" spans="1:4">
      <c r="A607" s="1">
        <v>42507</v>
      </c>
      <c r="B607" s="15">
        <v>48.29</v>
      </c>
      <c r="C607" s="4">
        <f t="shared" si="9"/>
        <v>1.1944677284157592E-2</v>
      </c>
      <c r="D607" s="4"/>
    </row>
    <row r="608" spans="1:4">
      <c r="A608" s="1">
        <v>42508</v>
      </c>
      <c r="B608" s="15">
        <v>48.12</v>
      </c>
      <c r="C608" s="4">
        <f t="shared" si="9"/>
        <v>-3.5203975978463802E-3</v>
      </c>
      <c r="D608" s="4"/>
    </row>
    <row r="609" spans="1:4">
      <c r="A609" s="1">
        <v>42509</v>
      </c>
      <c r="B609" s="15">
        <v>48.16</v>
      </c>
      <c r="C609" s="4">
        <f t="shared" si="9"/>
        <v>8.3125519534495325E-4</v>
      </c>
      <c r="D609" s="4"/>
    </row>
    <row r="610" spans="1:4">
      <c r="A610" s="1">
        <v>42510</v>
      </c>
      <c r="B610" s="15">
        <v>47.67</v>
      </c>
      <c r="C610" s="4">
        <f t="shared" si="9"/>
        <v>-1.0174418604651058E-2</v>
      </c>
      <c r="D610" s="4"/>
    </row>
    <row r="611" spans="1:4">
      <c r="A611" s="1">
        <v>42513</v>
      </c>
      <c r="B611" s="15">
        <v>48.12</v>
      </c>
      <c r="C611" s="4">
        <f t="shared" si="9"/>
        <v>9.439899307740628E-3</v>
      </c>
      <c r="D611" s="4"/>
    </row>
    <row r="612" spans="1:4">
      <c r="A612" s="1">
        <v>42514</v>
      </c>
      <c r="B612" s="15">
        <v>48.04</v>
      </c>
      <c r="C612" s="4">
        <f t="shared" si="9"/>
        <v>-1.6625103906899065E-3</v>
      </c>
      <c r="D612" s="4"/>
    </row>
    <row r="613" spans="1:4">
      <c r="A613" s="1">
        <v>42515</v>
      </c>
      <c r="B613" s="15">
        <v>49.1</v>
      </c>
      <c r="C613" s="4">
        <f t="shared" si="9"/>
        <v>2.2064945878434685E-2</v>
      </c>
      <c r="D613" s="4"/>
    </row>
    <row r="614" spans="1:4">
      <c r="A614" s="1">
        <v>42516</v>
      </c>
      <c r="B614" s="15">
        <v>49</v>
      </c>
      <c r="C614" s="4">
        <f t="shared" si="9"/>
        <v>-2.0366598778004362E-3</v>
      </c>
      <c r="D614" s="4"/>
    </row>
    <row r="615" spans="1:4">
      <c r="A615" s="1">
        <v>42517</v>
      </c>
      <c r="B615" s="15">
        <v>49.36</v>
      </c>
      <c r="C615" s="4">
        <f t="shared" si="9"/>
        <v>7.3469387755101924E-3</v>
      </c>
      <c r="D615" s="4"/>
    </row>
    <row r="616" spans="1:4">
      <c r="A616" s="1">
        <v>42521</v>
      </c>
      <c r="B616" s="15">
        <v>49.1</v>
      </c>
      <c r="C616" s="4">
        <f t="shared" si="9"/>
        <v>-5.2674230145866698E-3</v>
      </c>
      <c r="D616" s="4"/>
    </row>
    <row r="617" spans="1:4">
      <c r="A617" s="1">
        <v>42522</v>
      </c>
      <c r="B617" s="15">
        <v>49.07</v>
      </c>
      <c r="C617" s="4">
        <f t="shared" si="9"/>
        <v>-6.1099796334014534E-4</v>
      </c>
      <c r="D617" s="4"/>
    </row>
    <row r="618" spans="1:4">
      <c r="A618" s="1">
        <v>42523</v>
      </c>
      <c r="B618" s="15">
        <v>49.14</v>
      </c>
      <c r="C618" s="4">
        <f t="shared" si="9"/>
        <v>1.4265335235378088E-3</v>
      </c>
      <c r="D618" s="4"/>
    </row>
    <row r="619" spans="1:4">
      <c r="A619" s="1">
        <v>42524</v>
      </c>
      <c r="B619" s="15">
        <v>48.69</v>
      </c>
      <c r="C619" s="4">
        <f t="shared" si="9"/>
        <v>-9.1575091575092152E-3</v>
      </c>
      <c r="D619" s="4"/>
    </row>
    <row r="620" spans="1:4">
      <c r="A620" s="1">
        <v>42527</v>
      </c>
      <c r="B620" s="15">
        <v>49.71</v>
      </c>
      <c r="C620" s="4">
        <f t="shared" si="9"/>
        <v>2.0948860135551514E-2</v>
      </c>
      <c r="D620" s="4"/>
    </row>
    <row r="621" spans="1:4">
      <c r="A621" s="1">
        <v>42528</v>
      </c>
      <c r="B621" s="15">
        <v>50.37</v>
      </c>
      <c r="C621" s="4">
        <f t="shared" si="9"/>
        <v>1.3277006638503251E-2</v>
      </c>
      <c r="D621" s="4"/>
    </row>
    <row r="622" spans="1:4">
      <c r="A622" s="1">
        <v>42529</v>
      </c>
      <c r="B622" s="15">
        <v>51.23</v>
      </c>
      <c r="C622" s="4">
        <f t="shared" si="9"/>
        <v>1.7073654953345233E-2</v>
      </c>
      <c r="D622" s="4"/>
    </row>
    <row r="623" spans="1:4">
      <c r="A623" s="1">
        <v>42530</v>
      </c>
      <c r="B623" s="15">
        <v>50.52</v>
      </c>
      <c r="C623" s="4">
        <f t="shared" si="9"/>
        <v>-1.385906695295713E-2</v>
      </c>
      <c r="D623" s="4"/>
    </row>
    <row r="624" spans="1:4">
      <c r="A624" s="1">
        <v>42531</v>
      </c>
      <c r="B624" s="15">
        <v>49.09</v>
      </c>
      <c r="C624" s="4">
        <f t="shared" si="9"/>
        <v>-2.8305621536025328E-2</v>
      </c>
      <c r="D624" s="4"/>
    </row>
    <row r="625" spans="1:4">
      <c r="A625" s="1">
        <v>42534</v>
      </c>
      <c r="B625" s="15">
        <v>48.89</v>
      </c>
      <c r="C625" s="4">
        <f t="shared" si="9"/>
        <v>-4.0741495212874889E-3</v>
      </c>
      <c r="D625" s="4"/>
    </row>
    <row r="626" spans="1:4">
      <c r="A626" s="1">
        <v>42535</v>
      </c>
      <c r="B626" s="15">
        <v>48.49</v>
      </c>
      <c r="C626" s="4">
        <f t="shared" si="9"/>
        <v>-8.1816322356309795E-3</v>
      </c>
      <c r="D626" s="4"/>
    </row>
    <row r="627" spans="1:4">
      <c r="A627" s="1">
        <v>42536</v>
      </c>
      <c r="B627" s="15">
        <v>47.92</v>
      </c>
      <c r="C627" s="4">
        <f t="shared" si="9"/>
        <v>-1.1755001031140447E-2</v>
      </c>
      <c r="D627" s="4"/>
    </row>
    <row r="628" spans="1:4">
      <c r="A628" s="1">
        <v>42537</v>
      </c>
      <c r="B628" s="15">
        <v>46.14</v>
      </c>
      <c r="C628" s="4">
        <f t="shared" si="9"/>
        <v>-3.7145242070116886E-2</v>
      </c>
      <c r="D628" s="4"/>
    </row>
    <row r="629" spans="1:4">
      <c r="A629" s="1">
        <v>42538</v>
      </c>
      <c r="B629" s="15">
        <v>48</v>
      </c>
      <c r="C629" s="4">
        <f t="shared" si="9"/>
        <v>4.0312093628088415E-2</v>
      </c>
      <c r="D629" s="4"/>
    </row>
    <row r="630" spans="1:4">
      <c r="A630" s="1">
        <v>42541</v>
      </c>
      <c r="B630" s="15">
        <v>49.4</v>
      </c>
      <c r="C630" s="4">
        <f t="shared" si="9"/>
        <v>2.9166666666666636E-2</v>
      </c>
      <c r="D630" s="4"/>
    </row>
    <row r="631" spans="1:4">
      <c r="A631" s="1">
        <v>42542</v>
      </c>
      <c r="B631" s="15">
        <v>48.95</v>
      </c>
      <c r="C631" s="4">
        <f t="shared" si="9"/>
        <v>-9.1093117408906025E-3</v>
      </c>
      <c r="D631" s="4"/>
    </row>
    <row r="632" spans="1:4">
      <c r="A632" s="1">
        <v>42543</v>
      </c>
      <c r="B632" s="15">
        <v>49.16</v>
      </c>
      <c r="C632" s="4">
        <f t="shared" si="9"/>
        <v>4.2900919305412406E-3</v>
      </c>
      <c r="D632" s="4"/>
    </row>
    <row r="633" spans="1:4">
      <c r="A633" s="1">
        <v>42544</v>
      </c>
      <c r="B633" s="15">
        <v>49.34</v>
      </c>
      <c r="C633" s="4">
        <f t="shared" si="9"/>
        <v>3.6615134255493661E-3</v>
      </c>
      <c r="D633" s="4"/>
    </row>
    <row r="634" spans="1:4">
      <c r="A634" s="1">
        <v>42545</v>
      </c>
      <c r="B634" s="15">
        <v>46.7</v>
      </c>
      <c r="C634" s="4">
        <f t="shared" si="9"/>
        <v>-5.350628293473856E-2</v>
      </c>
      <c r="D634" s="4"/>
    </row>
    <row r="635" spans="1:4">
      <c r="A635" s="1">
        <v>42548</v>
      </c>
      <c r="B635" s="15">
        <v>45.8</v>
      </c>
      <c r="C635" s="4">
        <f t="shared" si="9"/>
        <v>-1.9271948608137166E-2</v>
      </c>
      <c r="D635" s="4"/>
    </row>
    <row r="636" spans="1:4">
      <c r="A636" s="1">
        <v>42549</v>
      </c>
      <c r="B636" s="15">
        <v>47.93</v>
      </c>
      <c r="C636" s="4">
        <f t="shared" si="9"/>
        <v>4.6506550218340673E-2</v>
      </c>
      <c r="D636" s="4"/>
    </row>
    <row r="637" spans="1:4">
      <c r="A637" s="1">
        <v>42550</v>
      </c>
      <c r="B637" s="15">
        <v>49.85</v>
      </c>
      <c r="C637" s="4">
        <f t="shared" si="9"/>
        <v>4.0058418527018608E-2</v>
      </c>
      <c r="D637" s="4"/>
    </row>
    <row r="638" spans="1:4">
      <c r="A638" s="1">
        <v>42551</v>
      </c>
      <c r="B638" s="15">
        <v>48.27</v>
      </c>
      <c r="C638" s="4">
        <f t="shared" si="9"/>
        <v>-3.1695085255767266E-2</v>
      </c>
      <c r="D638" s="4"/>
    </row>
    <row r="639" spans="1:4">
      <c r="A639" s="1">
        <v>42552</v>
      </c>
      <c r="B639" s="15">
        <v>49.02</v>
      </c>
      <c r="C639" s="4">
        <f t="shared" si="9"/>
        <v>1.5537600994406462E-2</v>
      </c>
      <c r="D639" s="4"/>
    </row>
    <row r="640" spans="1:4">
      <c r="A640" s="1">
        <v>42556</v>
      </c>
      <c r="B640" s="15">
        <v>46.73</v>
      </c>
      <c r="C640" s="4">
        <f t="shared" si="9"/>
        <v>-4.6715626274989923E-2</v>
      </c>
      <c r="D640" s="4"/>
    </row>
    <row r="641" spans="1:4">
      <c r="A641" s="1">
        <v>42557</v>
      </c>
      <c r="B641" s="15">
        <v>47.37</v>
      </c>
      <c r="C641" s="4">
        <f t="shared" si="9"/>
        <v>1.369569869462873E-2</v>
      </c>
      <c r="D641" s="4"/>
    </row>
    <row r="642" spans="1:4">
      <c r="A642" s="1">
        <v>42558</v>
      </c>
      <c r="B642" s="15">
        <v>45.22</v>
      </c>
      <c r="C642" s="4">
        <f t="shared" si="9"/>
        <v>-4.5387375976356316E-2</v>
      </c>
      <c r="D642" s="4"/>
    </row>
    <row r="643" spans="1:4">
      <c r="A643" s="1">
        <v>42559</v>
      </c>
      <c r="B643" s="15">
        <v>45.37</v>
      </c>
      <c r="C643" s="4">
        <f t="shared" ref="C643:C706" si="10">(B643-B642)/B642</f>
        <v>3.317116320212264E-3</v>
      </c>
      <c r="D643" s="4"/>
    </row>
    <row r="644" spans="1:4">
      <c r="A644" s="1">
        <v>42562</v>
      </c>
      <c r="B644" s="15">
        <v>44.73</v>
      </c>
      <c r="C644" s="4">
        <f t="shared" si="10"/>
        <v>-1.410623760193962E-2</v>
      </c>
      <c r="D644" s="4"/>
    </row>
    <row r="645" spans="1:4">
      <c r="A645" s="1">
        <v>42563</v>
      </c>
      <c r="B645" s="15">
        <v>46.82</v>
      </c>
      <c r="C645" s="4">
        <f t="shared" si="10"/>
        <v>4.6724793203666522E-2</v>
      </c>
      <c r="D645" s="4"/>
    </row>
    <row r="646" spans="1:4">
      <c r="A646" s="1">
        <v>42564</v>
      </c>
      <c r="B646" s="15">
        <v>44.87</v>
      </c>
      <c r="C646" s="4">
        <f t="shared" si="10"/>
        <v>-4.1648868005126072E-2</v>
      </c>
      <c r="D646" s="4"/>
    </row>
    <row r="647" spans="1:4">
      <c r="A647" s="1">
        <v>42565</v>
      </c>
      <c r="B647" s="15">
        <v>45.64</v>
      </c>
      <c r="C647" s="4">
        <f t="shared" si="10"/>
        <v>1.7160686427457168E-2</v>
      </c>
      <c r="D647" s="4"/>
    </row>
    <row r="648" spans="1:4">
      <c r="A648" s="1">
        <v>42566</v>
      </c>
      <c r="B648" s="15">
        <v>45.93</v>
      </c>
      <c r="C648" s="4">
        <f t="shared" si="10"/>
        <v>6.3540753724802617E-3</v>
      </c>
      <c r="D648" s="4"/>
    </row>
    <row r="649" spans="1:4">
      <c r="A649" s="1">
        <v>42569</v>
      </c>
      <c r="B649" s="15">
        <v>45.23</v>
      </c>
      <c r="C649" s="4">
        <f t="shared" si="10"/>
        <v>-1.5240583496625361E-2</v>
      </c>
      <c r="D649" s="4"/>
    </row>
    <row r="650" spans="1:4">
      <c r="A650" s="1">
        <v>42570</v>
      </c>
      <c r="B650" s="15">
        <v>44.64</v>
      </c>
      <c r="C650" s="4">
        <f t="shared" si="10"/>
        <v>-1.3044439531284464E-2</v>
      </c>
      <c r="D650" s="4"/>
    </row>
    <row r="651" spans="1:4">
      <c r="A651" s="1">
        <v>42571</v>
      </c>
      <c r="B651" s="15">
        <v>44.96</v>
      </c>
      <c r="C651" s="4">
        <f t="shared" si="10"/>
        <v>7.1684587813620132E-3</v>
      </c>
      <c r="D651" s="4"/>
    </row>
    <row r="652" spans="1:4">
      <c r="A652" s="1">
        <v>42572</v>
      </c>
      <c r="B652" s="15">
        <v>43.96</v>
      </c>
      <c r="C652" s="4">
        <f t="shared" si="10"/>
        <v>-2.2241992882562279E-2</v>
      </c>
      <c r="D652" s="4"/>
    </row>
    <row r="653" spans="1:4">
      <c r="A653" s="1">
        <v>42573</v>
      </c>
      <c r="B653" s="15">
        <v>43.41</v>
      </c>
      <c r="C653" s="4">
        <f t="shared" si="10"/>
        <v>-1.2511373976342227E-2</v>
      </c>
      <c r="D653" s="4"/>
    </row>
    <row r="654" spans="1:4">
      <c r="A654" s="1">
        <v>42576</v>
      </c>
      <c r="B654" s="15">
        <v>42.4</v>
      </c>
      <c r="C654" s="4">
        <f t="shared" si="10"/>
        <v>-2.3266528449665931E-2</v>
      </c>
      <c r="D654" s="4"/>
    </row>
    <row r="655" spans="1:4">
      <c r="A655" s="1">
        <v>42577</v>
      </c>
      <c r="B655" s="15">
        <v>42.16</v>
      </c>
      <c r="C655" s="4">
        <f t="shared" si="10"/>
        <v>-5.6603773584906134E-3</v>
      </c>
      <c r="D655" s="4"/>
    </row>
    <row r="656" spans="1:4">
      <c r="A656" s="1">
        <v>42578</v>
      </c>
      <c r="B656" s="15">
        <v>41.9</v>
      </c>
      <c r="C656" s="4">
        <f t="shared" si="10"/>
        <v>-6.1669829222010921E-3</v>
      </c>
      <c r="D656" s="4"/>
    </row>
    <row r="657" spans="1:4">
      <c r="A657" s="1">
        <v>42579</v>
      </c>
      <c r="B657" s="15">
        <v>41.13</v>
      </c>
      <c r="C657" s="4">
        <f t="shared" si="10"/>
        <v>-1.8377088305489165E-2</v>
      </c>
      <c r="D657" s="4"/>
    </row>
    <row r="658" spans="1:4">
      <c r="A658" s="1">
        <v>42580</v>
      </c>
      <c r="B658" s="15">
        <v>41.54</v>
      </c>
      <c r="C658" s="4">
        <f t="shared" si="10"/>
        <v>9.9683929005591181E-3</v>
      </c>
      <c r="D658" s="4"/>
    </row>
    <row r="659" spans="1:4">
      <c r="A659" s="1">
        <v>42583</v>
      </c>
      <c r="B659" s="15">
        <v>40.049999999999997</v>
      </c>
      <c r="C659" s="4">
        <f t="shared" si="10"/>
        <v>-3.5869041887337555E-2</v>
      </c>
      <c r="D659" s="4"/>
    </row>
    <row r="660" spans="1:4">
      <c r="A660" s="1">
        <v>42584</v>
      </c>
      <c r="B660" s="15">
        <v>39.5</v>
      </c>
      <c r="C660" s="4">
        <f t="shared" si="10"/>
        <v>-1.3732833957552988E-2</v>
      </c>
      <c r="D660" s="4"/>
    </row>
    <row r="661" spans="1:4">
      <c r="A661" s="1">
        <v>42585</v>
      </c>
      <c r="B661" s="15">
        <v>40.799999999999997</v>
      </c>
      <c r="C661" s="4">
        <f t="shared" si="10"/>
        <v>3.2911392405063217E-2</v>
      </c>
      <c r="D661" s="4"/>
    </row>
    <row r="662" spans="1:4">
      <c r="A662" s="1">
        <v>42586</v>
      </c>
      <c r="B662" s="15">
        <v>41.92</v>
      </c>
      <c r="C662" s="4">
        <f t="shared" si="10"/>
        <v>2.7450980392156977E-2</v>
      </c>
      <c r="D662" s="4"/>
    </row>
    <row r="663" spans="1:4">
      <c r="A663" s="1">
        <v>42587</v>
      </c>
      <c r="B663" s="15">
        <v>41.83</v>
      </c>
      <c r="C663" s="4">
        <f t="shared" si="10"/>
        <v>-2.1469465648855774E-3</v>
      </c>
      <c r="D663" s="4"/>
    </row>
    <row r="664" spans="1:4">
      <c r="A664" s="1">
        <v>42590</v>
      </c>
      <c r="B664" s="15">
        <v>43.06</v>
      </c>
      <c r="C664" s="4">
        <f t="shared" si="10"/>
        <v>2.9404733444896105E-2</v>
      </c>
      <c r="D664" s="4"/>
    </row>
    <row r="665" spans="1:4">
      <c r="A665" s="1">
        <v>42591</v>
      </c>
      <c r="B665" s="15">
        <v>42.78</v>
      </c>
      <c r="C665" s="4">
        <f t="shared" si="10"/>
        <v>-6.5025545750116379E-3</v>
      </c>
      <c r="D665" s="4"/>
    </row>
    <row r="666" spans="1:4">
      <c r="A666" s="1">
        <v>42592</v>
      </c>
      <c r="B666" s="15">
        <v>41.75</v>
      </c>
      <c r="C666" s="4">
        <f t="shared" si="10"/>
        <v>-2.4076671341748505E-2</v>
      </c>
      <c r="D666" s="4"/>
    </row>
    <row r="667" spans="1:4">
      <c r="A667" s="1">
        <v>42593</v>
      </c>
      <c r="B667" s="15">
        <v>43.51</v>
      </c>
      <c r="C667" s="4">
        <f t="shared" si="10"/>
        <v>4.2155688622754442E-2</v>
      </c>
      <c r="D667" s="4"/>
    </row>
    <row r="668" spans="1:4">
      <c r="A668" s="1">
        <v>42594</v>
      </c>
      <c r="B668" s="15">
        <v>44.47</v>
      </c>
      <c r="C668" s="4">
        <f t="shared" si="10"/>
        <v>2.206389335784879E-2</v>
      </c>
      <c r="D668" s="4"/>
    </row>
    <row r="669" spans="1:4">
      <c r="A669" s="1">
        <v>42597</v>
      </c>
      <c r="B669" s="15">
        <v>45.72</v>
      </c>
      <c r="C669" s="4">
        <f t="shared" si="10"/>
        <v>2.8108837418484373E-2</v>
      </c>
      <c r="D669" s="4"/>
    </row>
    <row r="670" spans="1:4">
      <c r="A670" s="1">
        <v>42598</v>
      </c>
      <c r="B670" s="15">
        <v>46.57</v>
      </c>
      <c r="C670" s="4">
        <f t="shared" si="10"/>
        <v>1.8591426071741062E-2</v>
      </c>
      <c r="D670" s="4"/>
    </row>
    <row r="671" spans="1:4">
      <c r="A671" s="1">
        <v>42599</v>
      </c>
      <c r="B671" s="15">
        <v>46.81</v>
      </c>
      <c r="C671" s="4">
        <f t="shared" si="10"/>
        <v>5.1535323169422803E-3</v>
      </c>
      <c r="D671" s="4"/>
    </row>
    <row r="672" spans="1:4">
      <c r="A672" s="1">
        <v>42600</v>
      </c>
      <c r="B672" s="15">
        <v>48.2</v>
      </c>
      <c r="C672" s="4">
        <f t="shared" si="10"/>
        <v>2.9694509720145278E-2</v>
      </c>
      <c r="D672" s="4"/>
    </row>
    <row r="673" spans="1:4">
      <c r="A673" s="1">
        <v>42601</v>
      </c>
      <c r="B673" s="15">
        <v>48.48</v>
      </c>
      <c r="C673" s="4">
        <f t="shared" si="10"/>
        <v>5.8091286307052703E-3</v>
      </c>
      <c r="D673" s="4"/>
    </row>
    <row r="674" spans="1:4">
      <c r="A674" s="1">
        <v>42604</v>
      </c>
      <c r="B674" s="15">
        <v>46.8</v>
      </c>
      <c r="C674" s="4">
        <f t="shared" si="10"/>
        <v>-3.465346534653465E-2</v>
      </c>
      <c r="D674" s="4"/>
    </row>
    <row r="675" spans="1:4">
      <c r="A675" s="1">
        <v>42605</v>
      </c>
      <c r="B675" s="15">
        <v>47.54</v>
      </c>
      <c r="C675" s="4">
        <f t="shared" si="10"/>
        <v>1.5811965811965856E-2</v>
      </c>
      <c r="D675" s="4"/>
    </row>
    <row r="676" spans="1:4">
      <c r="A676" s="1">
        <v>42606</v>
      </c>
      <c r="B676" s="15">
        <v>46.29</v>
      </c>
      <c r="C676" s="4">
        <f t="shared" si="10"/>
        <v>-2.6293647454774926E-2</v>
      </c>
      <c r="D676" s="4"/>
    </row>
    <row r="677" spans="1:4">
      <c r="A677" s="1">
        <v>42607</v>
      </c>
      <c r="B677" s="15">
        <v>46.97</v>
      </c>
      <c r="C677" s="4">
        <f t="shared" si="10"/>
        <v>1.4689997839706195E-2</v>
      </c>
      <c r="D677" s="4"/>
    </row>
    <row r="678" spans="1:4">
      <c r="A678" s="1">
        <v>42608</v>
      </c>
      <c r="B678" s="15">
        <v>47.64</v>
      </c>
      <c r="C678" s="4">
        <f t="shared" si="10"/>
        <v>1.4264424100489712E-2</v>
      </c>
      <c r="D678" s="4"/>
    </row>
    <row r="679" spans="1:4">
      <c r="A679" s="1">
        <v>42611</v>
      </c>
      <c r="B679" s="15">
        <v>46.97</v>
      </c>
      <c r="C679" s="4">
        <f t="shared" si="10"/>
        <v>-1.4063811922754023E-2</v>
      </c>
      <c r="D679" s="4"/>
    </row>
    <row r="680" spans="1:4">
      <c r="A680" s="1">
        <v>42612</v>
      </c>
      <c r="B680" s="15">
        <v>46.32</v>
      </c>
      <c r="C680" s="4">
        <f t="shared" si="10"/>
        <v>-1.3838620395997415E-2</v>
      </c>
      <c r="D680" s="4"/>
    </row>
    <row r="681" spans="1:4">
      <c r="A681" s="1">
        <v>42613</v>
      </c>
      <c r="B681" s="15">
        <v>44.68</v>
      </c>
      <c r="C681" s="4">
        <f t="shared" si="10"/>
        <v>-3.5405872193436973E-2</v>
      </c>
      <c r="D681" s="4"/>
    </row>
    <row r="682" spans="1:4">
      <c r="A682" s="1">
        <v>42614</v>
      </c>
      <c r="B682" s="15">
        <v>43.17</v>
      </c>
      <c r="C682" s="4">
        <f t="shared" si="10"/>
        <v>-3.3795881826320456E-2</v>
      </c>
      <c r="D682" s="4"/>
    </row>
    <row r="683" spans="1:4">
      <c r="A683" s="1">
        <v>42615</v>
      </c>
      <c r="B683" s="15">
        <v>44.39</v>
      </c>
      <c r="C683" s="4">
        <f t="shared" si="10"/>
        <v>2.8260365994903842E-2</v>
      </c>
      <c r="D683" s="4"/>
    </row>
    <row r="684" spans="1:4">
      <c r="A684" s="1">
        <v>42618</v>
      </c>
      <c r="B684" s="15">
        <v>44.39</v>
      </c>
      <c r="C684" s="4">
        <f t="shared" si="10"/>
        <v>0</v>
      </c>
      <c r="D684" s="4"/>
    </row>
    <row r="685" spans="1:4">
      <c r="A685" s="1">
        <v>42619</v>
      </c>
      <c r="B685" s="15">
        <v>44.85</v>
      </c>
      <c r="C685" s="4">
        <f t="shared" si="10"/>
        <v>1.0362694300518154E-2</v>
      </c>
      <c r="D685" s="4"/>
    </row>
    <row r="686" spans="1:4">
      <c r="A686" s="1">
        <v>42620</v>
      </c>
      <c r="B686" s="15">
        <v>45.47</v>
      </c>
      <c r="C686" s="4">
        <f t="shared" si="10"/>
        <v>1.3823857302118114E-2</v>
      </c>
      <c r="D686" s="4"/>
    </row>
    <row r="687" spans="1:4">
      <c r="A687" s="1">
        <v>42621</v>
      </c>
      <c r="B687" s="15">
        <v>47.63</v>
      </c>
      <c r="C687" s="4">
        <f t="shared" si="10"/>
        <v>4.7503848691444993E-2</v>
      </c>
      <c r="D687" s="4"/>
    </row>
    <row r="688" spans="1:4">
      <c r="A688" s="1">
        <v>42622</v>
      </c>
      <c r="B688" s="15">
        <v>45.88</v>
      </c>
      <c r="C688" s="4">
        <f t="shared" si="10"/>
        <v>-3.6741549443627966E-2</v>
      </c>
      <c r="D688" s="4"/>
    </row>
    <row r="689" spans="1:4">
      <c r="A689" s="1">
        <v>42625</v>
      </c>
      <c r="B689" s="15">
        <v>46.28</v>
      </c>
      <c r="C689" s="4">
        <f t="shared" si="10"/>
        <v>8.718395815169977E-3</v>
      </c>
      <c r="D689" s="4"/>
    </row>
    <row r="690" spans="1:4">
      <c r="A690" s="1">
        <v>42626</v>
      </c>
      <c r="B690" s="15">
        <v>44.91</v>
      </c>
      <c r="C690" s="4">
        <f t="shared" si="10"/>
        <v>-2.9602420051858352E-2</v>
      </c>
      <c r="D690" s="4"/>
    </row>
    <row r="691" spans="1:4">
      <c r="A691" s="1">
        <v>42627</v>
      </c>
      <c r="B691" s="15">
        <v>43.62</v>
      </c>
      <c r="C691" s="4">
        <f t="shared" si="10"/>
        <v>-2.8724114896459568E-2</v>
      </c>
      <c r="D691" s="4"/>
    </row>
    <row r="692" spans="1:4">
      <c r="A692" s="1">
        <v>42628</v>
      </c>
      <c r="B692" s="15">
        <v>43.85</v>
      </c>
      <c r="C692" s="4">
        <f t="shared" si="10"/>
        <v>5.2728106373224207E-3</v>
      </c>
      <c r="D692" s="4"/>
    </row>
    <row r="693" spans="1:4">
      <c r="A693" s="1">
        <v>42629</v>
      </c>
      <c r="B693" s="15">
        <v>43.04</v>
      </c>
      <c r="C693" s="4">
        <f t="shared" si="10"/>
        <v>-1.847206385404794E-2</v>
      </c>
      <c r="D693" s="4"/>
    </row>
    <row r="694" spans="1:4">
      <c r="A694" s="1">
        <v>42632</v>
      </c>
      <c r="B694" s="15">
        <v>43.34</v>
      </c>
      <c r="C694" s="4">
        <f t="shared" si="10"/>
        <v>6.9702602230484259E-3</v>
      </c>
      <c r="D694" s="4"/>
    </row>
    <row r="695" spans="1:4">
      <c r="A695" s="1">
        <v>42633</v>
      </c>
      <c r="B695" s="15">
        <v>43.85</v>
      </c>
      <c r="C695" s="4">
        <f t="shared" si="10"/>
        <v>1.1767420396861974E-2</v>
      </c>
      <c r="D695" s="4"/>
    </row>
    <row r="696" spans="1:4">
      <c r="A696" s="1">
        <v>42634</v>
      </c>
      <c r="B696" s="15">
        <v>45.33</v>
      </c>
      <c r="C696" s="4">
        <f t="shared" si="10"/>
        <v>3.3751425313568915E-2</v>
      </c>
      <c r="D696" s="4"/>
    </row>
    <row r="697" spans="1:4">
      <c r="A697" s="1">
        <v>42635</v>
      </c>
      <c r="B697" s="15">
        <v>46.1</v>
      </c>
      <c r="C697" s="4">
        <f t="shared" si="10"/>
        <v>1.6986543128171258E-2</v>
      </c>
      <c r="D697" s="4"/>
    </row>
    <row r="698" spans="1:4">
      <c r="A698" s="1">
        <v>42636</v>
      </c>
      <c r="B698" s="15">
        <v>44.36</v>
      </c>
      <c r="C698" s="4">
        <f t="shared" si="10"/>
        <v>-3.774403470715839E-2</v>
      </c>
      <c r="D698" s="4"/>
    </row>
    <row r="699" spans="1:4">
      <c r="A699" s="1">
        <v>42639</v>
      </c>
      <c r="B699" s="15">
        <v>45.6</v>
      </c>
      <c r="C699" s="4">
        <f t="shared" si="10"/>
        <v>2.7953110910730432E-2</v>
      </c>
      <c r="D699" s="4"/>
    </row>
    <row r="700" spans="1:4">
      <c r="A700" s="1">
        <v>42640</v>
      </c>
      <c r="B700" s="15">
        <v>44.65</v>
      </c>
      <c r="C700" s="4">
        <f t="shared" si="10"/>
        <v>-2.0833333333333395E-2</v>
      </c>
      <c r="D700" s="4"/>
    </row>
    <row r="701" spans="1:4">
      <c r="A701" s="1">
        <v>42641</v>
      </c>
      <c r="B701" s="15">
        <v>47.07</v>
      </c>
      <c r="C701" s="4">
        <f t="shared" si="10"/>
        <v>5.4199328107502838E-2</v>
      </c>
      <c r="D701" s="4"/>
    </row>
    <row r="702" spans="1:4">
      <c r="A702" s="1">
        <v>42642</v>
      </c>
      <c r="B702" s="15">
        <v>47.72</v>
      </c>
      <c r="C702" s="4">
        <f t="shared" si="10"/>
        <v>1.3809220310176304E-2</v>
      </c>
      <c r="D702" s="4"/>
    </row>
    <row r="703" spans="1:4">
      <c r="A703" s="1">
        <v>42643</v>
      </c>
      <c r="B703" s="15">
        <v>47.72</v>
      </c>
      <c r="C703" s="4">
        <f t="shared" si="10"/>
        <v>0</v>
      </c>
      <c r="D703" s="4"/>
    </row>
    <row r="704" spans="1:4">
      <c r="A704" s="1">
        <v>42646</v>
      </c>
      <c r="B704" s="15">
        <v>48.8</v>
      </c>
      <c r="C704" s="4">
        <f t="shared" si="10"/>
        <v>2.263202011735118E-2</v>
      </c>
      <c r="D704" s="4"/>
    </row>
    <row r="705" spans="1:4">
      <c r="A705" s="1">
        <v>42647</v>
      </c>
      <c r="B705" s="15">
        <v>48.67</v>
      </c>
      <c r="C705" s="4">
        <f t="shared" si="10"/>
        <v>-2.6639344262294152E-3</v>
      </c>
      <c r="D705" s="4"/>
    </row>
    <row r="706" spans="1:4">
      <c r="A706" s="1">
        <v>42648</v>
      </c>
      <c r="B706" s="15">
        <v>49.75</v>
      </c>
      <c r="C706" s="4">
        <f t="shared" si="10"/>
        <v>2.2190260941031402E-2</v>
      </c>
      <c r="D706" s="4"/>
    </row>
    <row r="707" spans="1:4">
      <c r="A707" s="1">
        <v>42649</v>
      </c>
      <c r="B707" s="15">
        <v>50.44</v>
      </c>
      <c r="C707" s="4">
        <f t="shared" ref="C707:C770" si="11">(B707-B706)/B706</f>
        <v>1.3869346733668296E-2</v>
      </c>
      <c r="D707" s="4"/>
    </row>
    <row r="708" spans="1:4">
      <c r="A708" s="1">
        <v>42650</v>
      </c>
      <c r="B708" s="15">
        <v>49.76</v>
      </c>
      <c r="C708" s="4">
        <f t="shared" si="11"/>
        <v>-1.348136399682791E-2</v>
      </c>
      <c r="D708" s="4"/>
    </row>
    <row r="709" spans="1:4">
      <c r="A709" s="1">
        <v>42653</v>
      </c>
      <c r="B709" s="15">
        <v>49.76</v>
      </c>
      <c r="C709" s="4">
        <f t="shared" si="11"/>
        <v>0</v>
      </c>
      <c r="D709" s="4"/>
    </row>
    <row r="710" spans="1:4">
      <c r="A710" s="1">
        <v>42654</v>
      </c>
      <c r="B710" s="15">
        <v>50.72</v>
      </c>
      <c r="C710" s="4">
        <f t="shared" si="11"/>
        <v>1.9292604501607736E-2</v>
      </c>
      <c r="D710" s="4"/>
    </row>
    <row r="711" spans="1:4">
      <c r="A711" s="1">
        <v>42655</v>
      </c>
      <c r="B711" s="15">
        <v>50.14</v>
      </c>
      <c r="C711" s="4">
        <f t="shared" si="11"/>
        <v>-1.1435331230283879E-2</v>
      </c>
      <c r="D711" s="4"/>
    </row>
    <row r="712" spans="1:4">
      <c r="A712" s="1">
        <v>42656</v>
      </c>
      <c r="B712" s="15">
        <v>50.47</v>
      </c>
      <c r="C712" s="4">
        <f t="shared" si="11"/>
        <v>6.5815715995213063E-3</v>
      </c>
      <c r="D712" s="4"/>
    </row>
    <row r="713" spans="1:4">
      <c r="A713" s="1">
        <v>42657</v>
      </c>
      <c r="B713" s="15">
        <v>50.35</v>
      </c>
      <c r="C713" s="4">
        <f t="shared" si="11"/>
        <v>-2.3776500891618279E-3</v>
      </c>
      <c r="D713" s="4"/>
    </row>
    <row r="714" spans="1:4">
      <c r="A714" s="1">
        <v>42660</v>
      </c>
      <c r="B714" s="15">
        <v>49.97</v>
      </c>
      <c r="C714" s="4">
        <f t="shared" si="11"/>
        <v>-7.5471698113208051E-3</v>
      </c>
      <c r="D714" s="4"/>
    </row>
    <row r="715" spans="1:4">
      <c r="A715" s="1">
        <v>42661</v>
      </c>
      <c r="B715" s="15">
        <v>50.3</v>
      </c>
      <c r="C715" s="4">
        <f t="shared" si="11"/>
        <v>6.6039623774264223E-3</v>
      </c>
      <c r="D715" s="4"/>
    </row>
    <row r="716" spans="1:4">
      <c r="A716" s="1">
        <v>42662</v>
      </c>
      <c r="B716" s="15">
        <v>51.59</v>
      </c>
      <c r="C716" s="4">
        <f t="shared" si="11"/>
        <v>2.5646123260437501E-2</v>
      </c>
      <c r="D716" s="4"/>
    </row>
    <row r="717" spans="1:4">
      <c r="A717" s="1">
        <v>42663</v>
      </c>
      <c r="B717" s="15">
        <v>50.31</v>
      </c>
      <c r="C717" s="4">
        <f t="shared" si="11"/>
        <v>-2.4811009885636771E-2</v>
      </c>
      <c r="D717" s="4"/>
    </row>
    <row r="718" spans="1:4">
      <c r="A718" s="1">
        <v>42664</v>
      </c>
      <c r="B718" s="15">
        <v>50.61</v>
      </c>
      <c r="C718" s="4">
        <f t="shared" si="11"/>
        <v>5.9630292188431154E-3</v>
      </c>
      <c r="D718" s="4"/>
    </row>
    <row r="719" spans="1:4">
      <c r="A719" s="1">
        <v>42667</v>
      </c>
      <c r="B719" s="15">
        <v>50.18</v>
      </c>
      <c r="C719" s="4">
        <f t="shared" si="11"/>
        <v>-8.4963445959296523E-3</v>
      </c>
      <c r="D719" s="4"/>
    </row>
    <row r="720" spans="1:4">
      <c r="A720" s="1">
        <v>42668</v>
      </c>
      <c r="B720" s="15">
        <v>49.45</v>
      </c>
      <c r="C720" s="4">
        <f t="shared" si="11"/>
        <v>-1.454762853726578E-2</v>
      </c>
      <c r="D720" s="4"/>
    </row>
    <row r="721" spans="1:4">
      <c r="A721" s="1">
        <v>42669</v>
      </c>
      <c r="B721" s="15">
        <v>48.75</v>
      </c>
      <c r="C721" s="4">
        <f t="shared" si="11"/>
        <v>-1.4155712841253849E-2</v>
      </c>
      <c r="D721" s="4"/>
    </row>
    <row r="722" spans="1:4">
      <c r="A722" s="1">
        <v>42670</v>
      </c>
      <c r="B722" s="15">
        <v>49.71</v>
      </c>
      <c r="C722" s="4">
        <f t="shared" si="11"/>
        <v>1.969230769230771E-2</v>
      </c>
      <c r="D722" s="4"/>
    </row>
    <row r="723" spans="1:4">
      <c r="A723" s="1">
        <v>42671</v>
      </c>
      <c r="B723" s="15">
        <v>48.72</v>
      </c>
      <c r="C723" s="4">
        <f t="shared" si="11"/>
        <v>-1.9915509957755019E-2</v>
      </c>
      <c r="D723" s="4"/>
    </row>
    <row r="724" spans="1:4">
      <c r="A724" s="1">
        <v>42674</v>
      </c>
      <c r="B724" s="15">
        <v>46.83</v>
      </c>
      <c r="C724" s="4">
        <f t="shared" si="11"/>
        <v>-3.8793103448275877E-2</v>
      </c>
      <c r="D724" s="4"/>
    </row>
    <row r="725" spans="1:4">
      <c r="A725" s="1">
        <v>42675</v>
      </c>
      <c r="B725" s="15">
        <v>46.66</v>
      </c>
      <c r="C725" s="4">
        <f t="shared" si="11"/>
        <v>-3.6301516122144292E-3</v>
      </c>
      <c r="D725" s="4"/>
    </row>
    <row r="726" spans="1:4">
      <c r="A726" s="1">
        <v>42676</v>
      </c>
      <c r="B726" s="15">
        <v>45.32</v>
      </c>
      <c r="C726" s="4">
        <f t="shared" si="11"/>
        <v>-2.871838834119152E-2</v>
      </c>
      <c r="D726" s="4"/>
    </row>
    <row r="727" spans="1:4">
      <c r="A727" s="1">
        <v>42677</v>
      </c>
      <c r="B727" s="15">
        <v>44.66</v>
      </c>
      <c r="C727" s="4">
        <f t="shared" si="11"/>
        <v>-1.4563106796116587E-2</v>
      </c>
      <c r="D727" s="4"/>
    </row>
    <row r="728" spans="1:4">
      <c r="A728" s="1">
        <v>42678</v>
      </c>
      <c r="B728" s="15">
        <v>44.07</v>
      </c>
      <c r="C728" s="4">
        <f t="shared" si="11"/>
        <v>-1.3210927004030371E-2</v>
      </c>
      <c r="D728" s="4"/>
    </row>
    <row r="729" spans="1:4">
      <c r="A729" s="1">
        <v>42681</v>
      </c>
      <c r="B729" s="15">
        <v>44.88</v>
      </c>
      <c r="C729" s="4">
        <f t="shared" si="11"/>
        <v>1.8379850238257368E-2</v>
      </c>
      <c r="D729" s="4"/>
    </row>
    <row r="730" spans="1:4">
      <c r="A730" s="1">
        <v>42682</v>
      </c>
      <c r="B730" s="15">
        <v>44.96</v>
      </c>
      <c r="C730" s="4">
        <f t="shared" si="11"/>
        <v>1.7825311942958621E-3</v>
      </c>
      <c r="D730" s="4"/>
    </row>
    <row r="731" spans="1:4">
      <c r="A731" s="1">
        <v>42683</v>
      </c>
      <c r="B731" s="15">
        <v>45.2</v>
      </c>
      <c r="C731" s="4">
        <f t="shared" si="11"/>
        <v>5.338078291814991E-3</v>
      </c>
      <c r="D731" s="4"/>
    </row>
    <row r="732" spans="1:4">
      <c r="A732" s="1">
        <v>42684</v>
      </c>
      <c r="B732" s="15">
        <v>44.62</v>
      </c>
      <c r="C732" s="4">
        <f t="shared" si="11"/>
        <v>-1.2831858407079766E-2</v>
      </c>
      <c r="D732" s="4"/>
    </row>
    <row r="733" spans="1:4">
      <c r="A733" s="1">
        <v>42685</v>
      </c>
      <c r="B733" s="15">
        <v>43.39</v>
      </c>
      <c r="C733" s="4">
        <f t="shared" si="11"/>
        <v>-2.7566113850291282E-2</v>
      </c>
      <c r="D733" s="4"/>
    </row>
    <row r="734" spans="1:4">
      <c r="A734" s="1">
        <v>42688</v>
      </c>
      <c r="B734" s="15">
        <v>43.29</v>
      </c>
      <c r="C734" s="4">
        <f t="shared" si="11"/>
        <v>-2.3046784973496525E-3</v>
      </c>
      <c r="D734" s="4"/>
    </row>
    <row r="735" spans="1:4">
      <c r="A735" s="1">
        <v>42689</v>
      </c>
      <c r="B735" s="15">
        <v>45.86</v>
      </c>
      <c r="C735" s="4">
        <f t="shared" si="11"/>
        <v>5.9367059367059376E-2</v>
      </c>
      <c r="D735" s="4"/>
    </row>
    <row r="736" spans="1:4">
      <c r="A736" s="1">
        <v>42690</v>
      </c>
      <c r="B736" s="15">
        <v>45.56</v>
      </c>
      <c r="C736" s="4">
        <f t="shared" si="11"/>
        <v>-6.541648495420784E-3</v>
      </c>
      <c r="D736" s="4"/>
    </row>
    <row r="737" spans="1:4">
      <c r="A737" s="1">
        <v>42691</v>
      </c>
      <c r="B737" s="15">
        <v>45.37</v>
      </c>
      <c r="C737" s="4">
        <f t="shared" si="11"/>
        <v>-4.170324846356559E-3</v>
      </c>
      <c r="D737" s="4"/>
    </row>
    <row r="738" spans="1:4">
      <c r="A738" s="1">
        <v>42692</v>
      </c>
      <c r="B738" s="15">
        <v>45.69</v>
      </c>
      <c r="C738" s="4">
        <f t="shared" si="11"/>
        <v>7.0531188009698102E-3</v>
      </c>
      <c r="D738" s="4"/>
    </row>
    <row r="739" spans="1:4">
      <c r="A739" s="1">
        <v>42695</v>
      </c>
      <c r="B739" s="15">
        <v>47.48</v>
      </c>
      <c r="C739" s="4">
        <f t="shared" si="11"/>
        <v>3.9177062814620252E-2</v>
      </c>
      <c r="D739" s="4"/>
    </row>
    <row r="740" spans="1:4">
      <c r="A740" s="1">
        <v>42696</v>
      </c>
      <c r="B740" s="15">
        <v>48.07</v>
      </c>
      <c r="C740" s="4">
        <f t="shared" si="11"/>
        <v>1.2426284751474377E-2</v>
      </c>
      <c r="D740" s="4"/>
    </row>
    <row r="741" spans="1:4">
      <c r="A741" s="1">
        <v>42697</v>
      </c>
      <c r="B741" s="15">
        <v>46.72</v>
      </c>
      <c r="C741" s="4">
        <f t="shared" si="11"/>
        <v>-2.8084044102350769E-2</v>
      </c>
      <c r="D741" s="4"/>
    </row>
    <row r="742" spans="1:4">
      <c r="A742" s="1">
        <v>42698</v>
      </c>
      <c r="B742" s="15">
        <v>46.72</v>
      </c>
      <c r="C742" s="4">
        <f t="shared" si="11"/>
        <v>0</v>
      </c>
      <c r="D742" s="4"/>
    </row>
    <row r="743" spans="1:4">
      <c r="A743" s="1">
        <v>42699</v>
      </c>
      <c r="B743" s="15">
        <v>46.72</v>
      </c>
      <c r="C743" s="4">
        <f t="shared" si="11"/>
        <v>0</v>
      </c>
      <c r="D743" s="4"/>
    </row>
    <row r="744" spans="1:4">
      <c r="A744" s="1">
        <v>42702</v>
      </c>
      <c r="B744" s="15">
        <v>45.66</v>
      </c>
      <c r="C744" s="4">
        <f t="shared" si="11"/>
        <v>-2.2688356164383611E-2</v>
      </c>
      <c r="D744" s="4"/>
    </row>
    <row r="745" spans="1:4">
      <c r="A745" s="1">
        <v>42703</v>
      </c>
      <c r="B745" s="15">
        <v>45.29</v>
      </c>
      <c r="C745" s="4">
        <f t="shared" si="11"/>
        <v>-8.1033727551466806E-3</v>
      </c>
      <c r="D745" s="4"/>
    </row>
    <row r="746" spans="1:4">
      <c r="A746" s="1">
        <v>42704</v>
      </c>
      <c r="B746" s="15">
        <v>49.41</v>
      </c>
      <c r="C746" s="4">
        <f t="shared" si="11"/>
        <v>9.0969308898211476E-2</v>
      </c>
      <c r="D746" s="4"/>
    </row>
    <row r="747" spans="1:4">
      <c r="A747" s="1">
        <v>42705</v>
      </c>
      <c r="B747" s="15">
        <v>51.08</v>
      </c>
      <c r="C747" s="4">
        <f t="shared" si="11"/>
        <v>3.3798826148552959E-2</v>
      </c>
      <c r="D747" s="4"/>
    </row>
    <row r="748" spans="1:4">
      <c r="A748" s="1">
        <v>42706</v>
      </c>
      <c r="B748" s="15">
        <v>51.7</v>
      </c>
      <c r="C748" s="4">
        <f t="shared" si="11"/>
        <v>1.2137823022709564E-2</v>
      </c>
      <c r="D748" s="4"/>
    </row>
    <row r="749" spans="1:4">
      <c r="A749" s="1">
        <v>42709</v>
      </c>
      <c r="B749" s="15">
        <v>51.72</v>
      </c>
      <c r="C749" s="4">
        <f t="shared" si="11"/>
        <v>3.8684719535775667E-4</v>
      </c>
      <c r="D749" s="4"/>
    </row>
    <row r="750" spans="1:4">
      <c r="A750" s="1">
        <v>42710</v>
      </c>
      <c r="B750" s="15">
        <v>50.95</v>
      </c>
      <c r="C750" s="4">
        <f t="shared" si="11"/>
        <v>-1.4887857695282213E-2</v>
      </c>
      <c r="D750" s="4"/>
    </row>
    <row r="751" spans="1:4">
      <c r="A751" s="1">
        <v>42711</v>
      </c>
      <c r="B751" s="15">
        <v>49.85</v>
      </c>
      <c r="C751" s="4">
        <f t="shared" si="11"/>
        <v>-2.1589793915603561E-2</v>
      </c>
      <c r="D751" s="4"/>
    </row>
    <row r="752" spans="1:4">
      <c r="A752" s="1">
        <v>42712</v>
      </c>
      <c r="B752" s="15">
        <v>50.84</v>
      </c>
      <c r="C752" s="4">
        <f t="shared" si="11"/>
        <v>1.9859578736208666E-2</v>
      </c>
      <c r="D752" s="4"/>
    </row>
    <row r="753" spans="1:4">
      <c r="A753" s="1">
        <v>42713</v>
      </c>
      <c r="B753" s="15">
        <v>51.51</v>
      </c>
      <c r="C753" s="4">
        <f t="shared" si="11"/>
        <v>1.3178599527930657E-2</v>
      </c>
      <c r="D753" s="4"/>
    </row>
    <row r="754" spans="1:4">
      <c r="A754" s="1">
        <v>42716</v>
      </c>
      <c r="B754" s="15">
        <v>52.74</v>
      </c>
      <c r="C754" s="4">
        <f t="shared" si="11"/>
        <v>2.3878858474082779E-2</v>
      </c>
      <c r="D754" s="4"/>
    </row>
    <row r="755" spans="1:4">
      <c r="A755" s="1">
        <v>42717</v>
      </c>
      <c r="B755" s="15">
        <v>52.99</v>
      </c>
      <c r="C755" s="4">
        <f t="shared" si="11"/>
        <v>4.7402351156617369E-3</v>
      </c>
      <c r="D755" s="4"/>
    </row>
    <row r="756" spans="1:4">
      <c r="A756" s="1">
        <v>42718</v>
      </c>
      <c r="B756" s="15">
        <v>51.01</v>
      </c>
      <c r="C756" s="4">
        <f t="shared" si="11"/>
        <v>-3.7365540668050652E-2</v>
      </c>
      <c r="D756" s="4"/>
    </row>
    <row r="757" spans="1:4">
      <c r="A757" s="1">
        <v>42719</v>
      </c>
      <c r="B757" s="15">
        <v>50.9</v>
      </c>
      <c r="C757" s="4">
        <f t="shared" si="11"/>
        <v>-2.1564399137423925E-3</v>
      </c>
      <c r="D757" s="4"/>
    </row>
    <row r="758" spans="1:4">
      <c r="A758" s="1">
        <v>42720</v>
      </c>
      <c r="B758" s="15">
        <v>51.93</v>
      </c>
      <c r="C758" s="4">
        <f t="shared" si="11"/>
        <v>2.0235756385068786E-2</v>
      </c>
      <c r="D758" s="4"/>
    </row>
    <row r="759" spans="1:4">
      <c r="A759" s="1">
        <v>42723</v>
      </c>
      <c r="B759" s="15">
        <v>52.13</v>
      </c>
      <c r="C759" s="4">
        <f t="shared" si="11"/>
        <v>3.8513383400732302E-3</v>
      </c>
      <c r="D759" s="4"/>
    </row>
    <row r="760" spans="1:4">
      <c r="A760" s="1">
        <v>42724</v>
      </c>
      <c r="B760" s="15">
        <v>52.22</v>
      </c>
      <c r="C760" s="4">
        <f t="shared" si="11"/>
        <v>1.7264530980240994E-3</v>
      </c>
      <c r="D760" s="4"/>
    </row>
    <row r="761" spans="1:4">
      <c r="A761" s="1">
        <v>42725</v>
      </c>
      <c r="B761" s="15">
        <v>51.44</v>
      </c>
      <c r="C761" s="4">
        <f t="shared" si="11"/>
        <v>-1.4936805821524343E-2</v>
      </c>
      <c r="D761" s="4"/>
    </row>
    <row r="762" spans="1:4">
      <c r="A762" s="1">
        <v>42726</v>
      </c>
      <c r="B762" s="15">
        <v>51.98</v>
      </c>
      <c r="C762" s="4">
        <f t="shared" si="11"/>
        <v>1.0497667185069968E-2</v>
      </c>
      <c r="D762" s="4"/>
    </row>
    <row r="763" spans="1:4">
      <c r="A763" s="1">
        <v>42727</v>
      </c>
      <c r="B763" s="15">
        <v>52.01</v>
      </c>
      <c r="C763" s="4">
        <f t="shared" si="11"/>
        <v>5.7714505579071064E-4</v>
      </c>
      <c r="D763" s="4"/>
    </row>
    <row r="764" spans="1:4">
      <c r="A764" s="1">
        <v>42731</v>
      </c>
      <c r="B764" s="15">
        <v>52.82</v>
      </c>
      <c r="C764" s="4">
        <f t="shared" si="11"/>
        <v>1.5573928090751823E-2</v>
      </c>
      <c r="D764" s="4"/>
    </row>
    <row r="765" spans="1:4">
      <c r="A765" s="1">
        <v>42732</v>
      </c>
      <c r="B765" s="15">
        <v>54.01</v>
      </c>
      <c r="C765" s="4">
        <f t="shared" si="11"/>
        <v>2.2529344945096511E-2</v>
      </c>
      <c r="D765" s="4"/>
    </row>
    <row r="766" spans="1:4">
      <c r="A766" s="1">
        <v>42733</v>
      </c>
      <c r="B766" s="15">
        <v>53.8</v>
      </c>
      <c r="C766" s="4">
        <f t="shared" si="11"/>
        <v>-3.8881688576189754E-3</v>
      </c>
      <c r="D766" s="4"/>
    </row>
    <row r="767" spans="1:4">
      <c r="A767" s="1">
        <v>42734</v>
      </c>
      <c r="B767" s="15">
        <v>53.75</v>
      </c>
      <c r="C767" s="4">
        <f t="shared" si="11"/>
        <v>-9.2936802973972422E-4</v>
      </c>
      <c r="D767" s="4"/>
    </row>
    <row r="768" spans="1:4">
      <c r="A768" s="1">
        <v>42738</v>
      </c>
      <c r="B768" s="15">
        <v>52.36</v>
      </c>
      <c r="C768" s="4">
        <f t="shared" si="11"/>
        <v>-2.5860465116279079E-2</v>
      </c>
      <c r="D768" s="4"/>
    </row>
    <row r="769" spans="1:4">
      <c r="A769" s="1">
        <v>42739</v>
      </c>
      <c r="B769" s="15">
        <v>53.26</v>
      </c>
      <c r="C769" s="4">
        <f t="shared" si="11"/>
        <v>1.7188693659281867E-2</v>
      </c>
      <c r="D769" s="4"/>
    </row>
    <row r="770" spans="1:4">
      <c r="A770" s="1">
        <v>42740</v>
      </c>
      <c r="B770" s="15">
        <v>53.77</v>
      </c>
      <c r="C770" s="4">
        <f t="shared" si="11"/>
        <v>9.5756665414946512E-3</v>
      </c>
      <c r="D770" s="4"/>
    </row>
    <row r="771" spans="1:4">
      <c r="A771" s="1">
        <v>42741</v>
      </c>
      <c r="B771" s="15">
        <v>53.98</v>
      </c>
      <c r="C771" s="4">
        <f t="shared" ref="C771:C834" si="12">(B771-B770)/B770</f>
        <v>3.9055235261296955E-3</v>
      </c>
      <c r="D771" s="4"/>
    </row>
    <row r="772" spans="1:4">
      <c r="A772" s="1">
        <v>42744</v>
      </c>
      <c r="B772" s="15">
        <v>51.95</v>
      </c>
      <c r="C772" s="4">
        <f t="shared" si="12"/>
        <v>-3.7606520933679034E-2</v>
      </c>
      <c r="D772" s="4"/>
    </row>
    <row r="773" spans="1:4">
      <c r="A773" s="1">
        <v>42745</v>
      </c>
      <c r="B773" s="15">
        <v>50.82</v>
      </c>
      <c r="C773" s="4">
        <f t="shared" si="12"/>
        <v>-2.1751684311838354E-2</v>
      </c>
      <c r="D773" s="4"/>
    </row>
    <row r="774" spans="1:4">
      <c r="A774" s="1">
        <v>42746</v>
      </c>
      <c r="B774" s="15">
        <v>52.19</v>
      </c>
      <c r="C774" s="4">
        <f t="shared" si="12"/>
        <v>2.6957890594254179E-2</v>
      </c>
      <c r="D774" s="4"/>
    </row>
    <row r="775" spans="1:4">
      <c r="A775" s="1">
        <v>42747</v>
      </c>
      <c r="B775" s="15">
        <v>53.01</v>
      </c>
      <c r="C775" s="4">
        <f t="shared" si="12"/>
        <v>1.5711822188158656E-2</v>
      </c>
      <c r="D775" s="4"/>
    </row>
    <row r="776" spans="1:4">
      <c r="A776" s="1">
        <v>42748</v>
      </c>
      <c r="B776" s="15">
        <v>52.36</v>
      </c>
      <c r="C776" s="4">
        <f t="shared" si="12"/>
        <v>-1.2261837389171828E-2</v>
      </c>
      <c r="D776" s="4"/>
    </row>
    <row r="777" spans="1:4">
      <c r="A777" s="1">
        <v>42752</v>
      </c>
      <c r="B777" s="15">
        <v>52.45</v>
      </c>
      <c r="C777" s="4">
        <f t="shared" si="12"/>
        <v>1.7188693659282545E-3</v>
      </c>
      <c r="D777" s="4"/>
    </row>
    <row r="778" spans="1:4">
      <c r="A778" s="1">
        <v>42753</v>
      </c>
      <c r="B778" s="15">
        <v>51.12</v>
      </c>
      <c r="C778" s="4">
        <f t="shared" si="12"/>
        <v>-2.5357483317445289E-2</v>
      </c>
      <c r="D778" s="4"/>
    </row>
    <row r="779" spans="1:4">
      <c r="A779" s="1">
        <v>42754</v>
      </c>
      <c r="B779" s="15">
        <v>51.39</v>
      </c>
      <c r="C779" s="4">
        <f t="shared" si="12"/>
        <v>5.2816901408451319E-3</v>
      </c>
      <c r="D779" s="4"/>
    </row>
    <row r="780" spans="1:4">
      <c r="A780" s="1">
        <v>42755</v>
      </c>
      <c r="B780" s="15">
        <v>52.33</v>
      </c>
      <c r="C780" s="4">
        <f t="shared" si="12"/>
        <v>1.8291496400077791E-2</v>
      </c>
      <c r="D780" s="4"/>
    </row>
    <row r="781" spans="1:4">
      <c r="A781" s="1">
        <v>42758</v>
      </c>
      <c r="B781" s="15">
        <v>52.77</v>
      </c>
      <c r="C781" s="4">
        <f t="shared" si="12"/>
        <v>8.4081788648959453E-3</v>
      </c>
      <c r="D781" s="4"/>
    </row>
    <row r="782" spans="1:4">
      <c r="A782" s="1">
        <v>42759</v>
      </c>
      <c r="B782" s="15">
        <v>52.38</v>
      </c>
      <c r="C782" s="4">
        <f t="shared" si="12"/>
        <v>-7.3905628197839784E-3</v>
      </c>
      <c r="D782" s="4"/>
    </row>
    <row r="783" spans="1:4">
      <c r="A783" s="1">
        <v>42760</v>
      </c>
      <c r="B783" s="15">
        <v>52.14</v>
      </c>
      <c r="C783" s="4">
        <f t="shared" si="12"/>
        <v>-4.5819014891180215E-3</v>
      </c>
      <c r="D783" s="4"/>
    </row>
    <row r="784" spans="1:4">
      <c r="A784" s="1">
        <v>42761</v>
      </c>
      <c r="B784" s="15">
        <v>53.24</v>
      </c>
      <c r="C784" s="4">
        <f t="shared" si="12"/>
        <v>2.1097046413502137E-2</v>
      </c>
      <c r="D784" s="4"/>
    </row>
    <row r="785" spans="1:4">
      <c r="A785" s="1">
        <v>42762</v>
      </c>
      <c r="B785" s="15">
        <v>53.18</v>
      </c>
      <c r="C785" s="4">
        <f t="shared" si="12"/>
        <v>-1.1269722013524093E-3</v>
      </c>
      <c r="D785" s="4"/>
    </row>
    <row r="786" spans="1:4">
      <c r="A786" s="1">
        <v>42765</v>
      </c>
      <c r="B786" s="15">
        <v>52.63</v>
      </c>
      <c r="C786" s="4">
        <f t="shared" si="12"/>
        <v>-1.0342233922527212E-2</v>
      </c>
      <c r="D786" s="4"/>
    </row>
    <row r="787" spans="1:4">
      <c r="A787" s="1">
        <v>42766</v>
      </c>
      <c r="B787" s="15">
        <v>52.75</v>
      </c>
      <c r="C787" s="4">
        <f t="shared" si="12"/>
        <v>2.2800684020520129E-3</v>
      </c>
      <c r="D787" s="4"/>
    </row>
    <row r="788" spans="1:4">
      <c r="A788" s="1">
        <v>42767</v>
      </c>
      <c r="B788" s="15">
        <v>53.9</v>
      </c>
      <c r="C788" s="4">
        <f t="shared" si="12"/>
        <v>2.180094786729855E-2</v>
      </c>
      <c r="D788" s="4"/>
    </row>
    <row r="789" spans="1:4">
      <c r="A789" s="1">
        <v>42768</v>
      </c>
      <c r="B789" s="15">
        <v>53.55</v>
      </c>
      <c r="C789" s="4">
        <f t="shared" si="12"/>
        <v>-6.49350649350652E-3</v>
      </c>
      <c r="D789" s="4"/>
    </row>
    <row r="790" spans="1:4">
      <c r="A790" s="1">
        <v>42769</v>
      </c>
      <c r="B790" s="15">
        <v>53.81</v>
      </c>
      <c r="C790" s="4">
        <f t="shared" si="12"/>
        <v>4.8552754435108331E-3</v>
      </c>
      <c r="D790" s="4"/>
    </row>
    <row r="791" spans="1:4">
      <c r="A791" s="1">
        <v>42772</v>
      </c>
      <c r="B791" s="15">
        <v>53.01</v>
      </c>
      <c r="C791" s="4">
        <f t="shared" si="12"/>
        <v>-1.4867125069689728E-2</v>
      </c>
      <c r="D791" s="4"/>
    </row>
    <row r="792" spans="1:4">
      <c r="A792" s="1">
        <v>42773</v>
      </c>
      <c r="B792" s="15">
        <v>52.19</v>
      </c>
      <c r="C792" s="4">
        <f t="shared" si="12"/>
        <v>-1.5468779475570653E-2</v>
      </c>
      <c r="D792" s="4"/>
    </row>
    <row r="793" spans="1:4">
      <c r="A793" s="1">
        <v>42774</v>
      </c>
      <c r="B793" s="15">
        <v>52.37</v>
      </c>
      <c r="C793" s="4">
        <f t="shared" si="12"/>
        <v>3.4489365778884789E-3</v>
      </c>
      <c r="D793" s="4"/>
    </row>
    <row r="794" spans="1:4">
      <c r="A794" s="1">
        <v>42775</v>
      </c>
      <c r="B794" s="15">
        <v>52.99</v>
      </c>
      <c r="C794" s="4">
        <f t="shared" si="12"/>
        <v>1.1838839029979084E-2</v>
      </c>
      <c r="D794" s="4"/>
    </row>
    <row r="795" spans="1:4">
      <c r="A795" s="1">
        <v>42776</v>
      </c>
      <c r="B795" s="15">
        <v>53.84</v>
      </c>
      <c r="C795" s="4">
        <f t="shared" si="12"/>
        <v>1.6040762408001535E-2</v>
      </c>
      <c r="D795" s="4"/>
    </row>
    <row r="796" spans="1:4">
      <c r="A796" s="1">
        <v>42779</v>
      </c>
      <c r="B796" s="15">
        <v>52.96</v>
      </c>
      <c r="C796" s="4">
        <f t="shared" si="12"/>
        <v>-1.6344725111441354E-2</v>
      </c>
      <c r="D796" s="4"/>
    </row>
    <row r="797" spans="1:4">
      <c r="A797" s="1">
        <v>42780</v>
      </c>
      <c r="B797" s="15">
        <v>53.21</v>
      </c>
      <c r="C797" s="4">
        <f t="shared" si="12"/>
        <v>4.7205438066465254E-3</v>
      </c>
      <c r="D797" s="4"/>
    </row>
    <row r="798" spans="1:4">
      <c r="A798" s="1">
        <v>42781</v>
      </c>
      <c r="B798" s="15">
        <v>53.11</v>
      </c>
      <c r="C798" s="4">
        <f t="shared" si="12"/>
        <v>-1.8793459875963432E-3</v>
      </c>
      <c r="D798" s="4"/>
    </row>
    <row r="799" spans="1:4">
      <c r="A799" s="1">
        <v>42782</v>
      </c>
      <c r="B799" s="15">
        <v>53.41</v>
      </c>
      <c r="C799" s="4">
        <f t="shared" si="12"/>
        <v>5.6486537375258364E-3</v>
      </c>
      <c r="D799" s="4"/>
    </row>
    <row r="800" spans="1:4">
      <c r="A800" s="1">
        <v>42783</v>
      </c>
      <c r="B800" s="15">
        <v>53.41</v>
      </c>
      <c r="C800" s="4">
        <f t="shared" si="12"/>
        <v>0</v>
      </c>
      <c r="D800" s="4"/>
    </row>
    <row r="801" spans="1:4">
      <c r="A801" s="1">
        <v>42787</v>
      </c>
      <c r="B801" s="15">
        <v>54.02</v>
      </c>
      <c r="C801" s="4">
        <f t="shared" si="12"/>
        <v>1.1421082194345752E-2</v>
      </c>
      <c r="D801" s="4"/>
    </row>
    <row r="802" spans="1:4">
      <c r="A802" s="1">
        <v>42788</v>
      </c>
      <c r="B802" s="15">
        <v>53.61</v>
      </c>
      <c r="C802" s="4">
        <f t="shared" si="12"/>
        <v>-7.5897815623843703E-3</v>
      </c>
      <c r="D802" s="4"/>
    </row>
    <row r="803" spans="1:4">
      <c r="A803" s="1">
        <v>42789</v>
      </c>
      <c r="B803" s="15">
        <v>54.48</v>
      </c>
      <c r="C803" s="4">
        <f t="shared" si="12"/>
        <v>1.6228315612758767E-2</v>
      </c>
      <c r="D803" s="4"/>
    </row>
    <row r="804" spans="1:4">
      <c r="A804" s="1">
        <v>42790</v>
      </c>
      <c r="B804" s="15">
        <v>53.99</v>
      </c>
      <c r="C804" s="4">
        <f t="shared" si="12"/>
        <v>-8.9941262848750904E-3</v>
      </c>
      <c r="D804" s="4"/>
    </row>
    <row r="805" spans="1:4">
      <c r="A805" s="1">
        <v>42793</v>
      </c>
      <c r="B805" s="15">
        <v>54.04</v>
      </c>
      <c r="C805" s="4">
        <f t="shared" si="12"/>
        <v>9.2609742544910462E-4</v>
      </c>
      <c r="D805" s="4"/>
    </row>
    <row r="806" spans="1:4">
      <c r="A806" s="1">
        <v>42794</v>
      </c>
      <c r="B806" s="15">
        <v>54</v>
      </c>
      <c r="C806" s="4">
        <f t="shared" si="12"/>
        <v>-7.4019245003699387E-4</v>
      </c>
      <c r="D806" s="4"/>
    </row>
    <row r="807" spans="1:4">
      <c r="A807" s="1">
        <v>42795</v>
      </c>
      <c r="B807" s="15">
        <v>53.82</v>
      </c>
      <c r="C807" s="4">
        <f t="shared" si="12"/>
        <v>-3.3333333333333279E-3</v>
      </c>
      <c r="D807" s="4"/>
    </row>
    <row r="808" spans="1:4">
      <c r="A808" s="1">
        <v>42796</v>
      </c>
      <c r="B808" s="15">
        <v>52.63</v>
      </c>
      <c r="C808" s="4">
        <f t="shared" si="12"/>
        <v>-2.2110739502043807E-2</v>
      </c>
      <c r="D808" s="4"/>
    </row>
    <row r="809" spans="1:4">
      <c r="A809" s="1">
        <v>42797</v>
      </c>
      <c r="B809" s="15">
        <v>53.33</v>
      </c>
      <c r="C809" s="4">
        <f t="shared" si="12"/>
        <v>1.3300399011970278E-2</v>
      </c>
      <c r="D809" s="4"/>
    </row>
    <row r="810" spans="1:4">
      <c r="A810" s="1">
        <v>42800</v>
      </c>
      <c r="B810" s="15">
        <v>53.19</v>
      </c>
      <c r="C810" s="4">
        <f t="shared" si="12"/>
        <v>-2.6251640727545577E-3</v>
      </c>
      <c r="D810" s="4"/>
    </row>
    <row r="811" spans="1:4">
      <c r="A811" s="1">
        <v>42801</v>
      </c>
      <c r="B811" s="15">
        <v>52.68</v>
      </c>
      <c r="C811" s="4">
        <f t="shared" si="12"/>
        <v>-9.5882684715171661E-3</v>
      </c>
      <c r="D811" s="4"/>
    </row>
    <row r="812" spans="1:4">
      <c r="A812" s="1">
        <v>42802</v>
      </c>
      <c r="B812" s="15">
        <v>49.83</v>
      </c>
      <c r="C812" s="4">
        <f t="shared" si="12"/>
        <v>-5.4100227790432831E-2</v>
      </c>
      <c r="D812" s="4"/>
    </row>
    <row r="813" spans="1:4">
      <c r="A813" s="1">
        <v>42803</v>
      </c>
      <c r="B813" s="15">
        <v>48.75</v>
      </c>
      <c r="C813" s="4">
        <f t="shared" si="12"/>
        <v>-2.1673690547862699E-2</v>
      </c>
      <c r="D813" s="4"/>
    </row>
    <row r="814" spans="1:4">
      <c r="A814" s="1">
        <v>42804</v>
      </c>
      <c r="B814" s="15">
        <v>48.05</v>
      </c>
      <c r="C814" s="4">
        <f t="shared" si="12"/>
        <v>-1.4358974358974418E-2</v>
      </c>
      <c r="D814" s="4"/>
    </row>
    <row r="815" spans="1:4">
      <c r="A815" s="1">
        <v>42807</v>
      </c>
      <c r="B815" s="15">
        <v>47.95</v>
      </c>
      <c r="C815" s="4">
        <f t="shared" si="12"/>
        <v>-2.0811654526533678E-3</v>
      </c>
      <c r="D815" s="4"/>
    </row>
    <row r="816" spans="1:4">
      <c r="A816" s="1">
        <v>42808</v>
      </c>
      <c r="B816" s="15">
        <v>47.24</v>
      </c>
      <c r="C816" s="4">
        <f t="shared" si="12"/>
        <v>-1.4807090719499495E-2</v>
      </c>
      <c r="D816" s="4"/>
    </row>
    <row r="817" spans="1:4">
      <c r="A817" s="1">
        <v>42809</v>
      </c>
      <c r="B817" s="15">
        <v>48.34</v>
      </c>
      <c r="C817" s="4">
        <f t="shared" si="12"/>
        <v>2.3285351397121113E-2</v>
      </c>
      <c r="D817" s="4"/>
    </row>
    <row r="818" spans="1:4">
      <c r="A818" s="1">
        <v>42810</v>
      </c>
      <c r="B818" s="15">
        <v>48.3</v>
      </c>
      <c r="C818" s="4">
        <f t="shared" si="12"/>
        <v>-8.274720728176717E-4</v>
      </c>
      <c r="D818" s="4"/>
    </row>
    <row r="819" spans="1:4">
      <c r="A819" s="1">
        <v>42811</v>
      </c>
      <c r="B819" s="15">
        <v>48.34</v>
      </c>
      <c r="C819" s="4">
        <f t="shared" si="12"/>
        <v>8.2815734989660989E-4</v>
      </c>
      <c r="D819" s="4"/>
    </row>
    <row r="820" spans="1:4">
      <c r="A820" s="1">
        <v>42814</v>
      </c>
      <c r="B820" s="15">
        <v>47.79</v>
      </c>
      <c r="C820" s="4">
        <f t="shared" si="12"/>
        <v>-1.1377741001241296E-2</v>
      </c>
      <c r="D820" s="4"/>
    </row>
    <row r="821" spans="1:4">
      <c r="A821" s="1">
        <v>42815</v>
      </c>
      <c r="B821" s="15">
        <v>47.02</v>
      </c>
      <c r="C821" s="4">
        <f t="shared" si="12"/>
        <v>-1.6112157355095125E-2</v>
      </c>
      <c r="D821" s="4"/>
    </row>
    <row r="822" spans="1:4">
      <c r="A822" s="1">
        <v>42816</v>
      </c>
      <c r="B822" s="15">
        <v>47.29</v>
      </c>
      <c r="C822" s="4">
        <f t="shared" si="12"/>
        <v>5.7422373458102085E-3</v>
      </c>
      <c r="D822" s="4"/>
    </row>
    <row r="823" spans="1:4">
      <c r="A823" s="1">
        <v>42817</v>
      </c>
      <c r="B823" s="15">
        <v>47</v>
      </c>
      <c r="C823" s="4">
        <f t="shared" si="12"/>
        <v>-6.1323747092408365E-3</v>
      </c>
      <c r="D823" s="4"/>
    </row>
    <row r="824" spans="1:4">
      <c r="A824" s="1">
        <v>42818</v>
      </c>
      <c r="B824" s="15">
        <v>47.3</v>
      </c>
      <c r="C824" s="4">
        <f t="shared" si="12"/>
        <v>6.3829787234041951E-3</v>
      </c>
      <c r="D824" s="4"/>
    </row>
    <row r="825" spans="1:4">
      <c r="A825" s="1">
        <v>42821</v>
      </c>
      <c r="B825" s="15">
        <v>47.02</v>
      </c>
      <c r="C825" s="4">
        <f t="shared" si="12"/>
        <v>-5.9196617336150963E-3</v>
      </c>
      <c r="D825" s="4"/>
    </row>
    <row r="826" spans="1:4">
      <c r="A826" s="1">
        <v>42822</v>
      </c>
      <c r="B826" s="15">
        <v>48.36</v>
      </c>
      <c r="C826" s="4">
        <f t="shared" si="12"/>
        <v>2.8498511271799153E-2</v>
      </c>
      <c r="D826" s="4"/>
    </row>
    <row r="827" spans="1:4">
      <c r="A827" s="1">
        <v>42823</v>
      </c>
      <c r="B827" s="15">
        <v>49.47</v>
      </c>
      <c r="C827" s="4">
        <f t="shared" si="12"/>
        <v>2.2952853598014876E-2</v>
      </c>
      <c r="D827" s="4"/>
    </row>
    <row r="828" spans="1:4">
      <c r="A828" s="1">
        <v>42824</v>
      </c>
      <c r="B828" s="15">
        <v>50.3</v>
      </c>
      <c r="C828" s="4">
        <f t="shared" si="12"/>
        <v>1.6777845158681994E-2</v>
      </c>
      <c r="D828" s="4"/>
    </row>
    <row r="829" spans="1:4">
      <c r="A829" s="1">
        <v>42825</v>
      </c>
      <c r="B829" s="15">
        <v>50.54</v>
      </c>
      <c r="C829" s="4">
        <f t="shared" si="12"/>
        <v>4.7713717693837372E-3</v>
      </c>
      <c r="D829" s="4"/>
    </row>
    <row r="830" spans="1:4">
      <c r="A830" s="1">
        <v>42828</v>
      </c>
      <c r="B830" s="15">
        <v>50.25</v>
      </c>
      <c r="C830" s="4">
        <f t="shared" si="12"/>
        <v>-5.7380292837356378E-3</v>
      </c>
      <c r="D830" s="4"/>
    </row>
    <row r="831" spans="1:4">
      <c r="A831" s="1">
        <v>42829</v>
      </c>
      <c r="B831" s="15">
        <v>50.99</v>
      </c>
      <c r="C831" s="4">
        <f t="shared" si="12"/>
        <v>1.472636815920402E-2</v>
      </c>
      <c r="D831" s="4"/>
    </row>
    <row r="832" spans="1:4">
      <c r="A832" s="1">
        <v>42830</v>
      </c>
      <c r="B832" s="15">
        <v>51.14</v>
      </c>
      <c r="C832" s="4">
        <f t="shared" si="12"/>
        <v>2.941753284957807E-3</v>
      </c>
      <c r="D832" s="4"/>
    </row>
    <row r="833" spans="1:4">
      <c r="A833" s="1">
        <v>42831</v>
      </c>
      <c r="B833" s="15">
        <v>51.69</v>
      </c>
      <c r="C833" s="4">
        <f t="shared" si="12"/>
        <v>1.0754790770434047E-2</v>
      </c>
      <c r="D833" s="4"/>
    </row>
    <row r="834" spans="1:4">
      <c r="A834" s="1">
        <v>42832</v>
      </c>
      <c r="B834" s="15">
        <v>52.25</v>
      </c>
      <c r="C834" s="4">
        <f t="shared" si="12"/>
        <v>1.083381698587739E-2</v>
      </c>
      <c r="D834" s="4"/>
    </row>
    <row r="835" spans="1:4">
      <c r="A835" s="1">
        <v>42835</v>
      </c>
      <c r="B835" s="15">
        <v>53.06</v>
      </c>
      <c r="C835" s="4">
        <f t="shared" ref="C835:C898" si="13">(B835-B834)/B834</f>
        <v>1.5502392344497651E-2</v>
      </c>
      <c r="D835" s="4"/>
    </row>
    <row r="836" spans="1:4">
      <c r="A836" s="1">
        <v>42836</v>
      </c>
      <c r="B836" s="15">
        <v>53.38</v>
      </c>
      <c r="C836" s="4">
        <f t="shared" si="13"/>
        <v>6.0309084055785956E-3</v>
      </c>
      <c r="D836" s="4"/>
    </row>
    <row r="837" spans="1:4">
      <c r="A837" s="1">
        <v>42837</v>
      </c>
      <c r="B837" s="15">
        <v>53.12</v>
      </c>
      <c r="C837" s="4">
        <f t="shared" si="13"/>
        <v>-4.870738104158957E-3</v>
      </c>
      <c r="D837" s="4"/>
    </row>
    <row r="838" spans="1:4">
      <c r="A838" s="1">
        <v>42838</v>
      </c>
      <c r="B838" s="15">
        <v>53.19</v>
      </c>
      <c r="C838" s="4">
        <f t="shared" si="13"/>
        <v>1.3177710843373547E-3</v>
      </c>
      <c r="D838" s="4"/>
    </row>
    <row r="839" spans="1:4">
      <c r="A839" s="1">
        <v>42842</v>
      </c>
      <c r="B839" s="15">
        <v>52.62</v>
      </c>
      <c r="C839" s="4">
        <f t="shared" si="13"/>
        <v>-1.0716300056401585E-2</v>
      </c>
      <c r="D839" s="4"/>
    </row>
    <row r="840" spans="1:4">
      <c r="A840" s="1">
        <v>42843</v>
      </c>
      <c r="B840" s="15">
        <v>52.46</v>
      </c>
      <c r="C840" s="4">
        <f t="shared" si="13"/>
        <v>-3.0406689471683124E-3</v>
      </c>
      <c r="D840" s="4"/>
    </row>
    <row r="841" spans="1:4">
      <c r="A841" s="1">
        <v>42844</v>
      </c>
      <c r="B841" s="15">
        <v>50.49</v>
      </c>
      <c r="C841" s="4">
        <f t="shared" si="13"/>
        <v>-3.7552420892108251E-2</v>
      </c>
      <c r="D841" s="4"/>
    </row>
    <row r="842" spans="1:4">
      <c r="A842" s="1">
        <v>42845</v>
      </c>
      <c r="B842" s="15">
        <v>50.26</v>
      </c>
      <c r="C842" s="4">
        <f t="shared" si="13"/>
        <v>-4.555357496534046E-3</v>
      </c>
      <c r="D842" s="4"/>
    </row>
    <row r="843" spans="1:4">
      <c r="A843" s="1">
        <v>42846</v>
      </c>
      <c r="B843" s="15">
        <v>49.64</v>
      </c>
      <c r="C843" s="4">
        <f t="shared" si="13"/>
        <v>-1.2335853561480252E-2</v>
      </c>
      <c r="D843" s="4"/>
    </row>
    <row r="844" spans="1:4">
      <c r="A844" s="1">
        <v>42849</v>
      </c>
      <c r="B844" s="15">
        <v>48.9</v>
      </c>
      <c r="C844" s="4">
        <f t="shared" si="13"/>
        <v>-1.4907332796132192E-2</v>
      </c>
      <c r="D844" s="4"/>
    </row>
    <row r="845" spans="1:4">
      <c r="A845" s="1">
        <v>42850</v>
      </c>
      <c r="B845" s="15">
        <v>49.22</v>
      </c>
      <c r="C845" s="4">
        <f t="shared" si="13"/>
        <v>6.5439672801636053E-3</v>
      </c>
      <c r="D845" s="4"/>
    </row>
    <row r="846" spans="1:4">
      <c r="A846" s="1">
        <v>42851</v>
      </c>
      <c r="B846" s="15">
        <v>49.22</v>
      </c>
      <c r="C846" s="4">
        <f t="shared" si="13"/>
        <v>0</v>
      </c>
      <c r="D846" s="4"/>
    </row>
    <row r="847" spans="1:4">
      <c r="A847" s="1">
        <v>42852</v>
      </c>
      <c r="B847" s="15">
        <v>48.96</v>
      </c>
      <c r="C847" s="4">
        <f t="shared" si="13"/>
        <v>-5.2824055262088183E-3</v>
      </c>
      <c r="D847" s="4"/>
    </row>
    <row r="848" spans="1:4">
      <c r="A848" s="1">
        <v>42853</v>
      </c>
      <c r="B848" s="15">
        <v>49.31</v>
      </c>
      <c r="C848" s="4">
        <f t="shared" si="13"/>
        <v>7.1486928104575456E-3</v>
      </c>
      <c r="D848" s="4"/>
    </row>
    <row r="849" spans="1:4">
      <c r="A849" s="1">
        <v>42856</v>
      </c>
      <c r="B849" s="15">
        <v>48.83</v>
      </c>
      <c r="C849" s="4">
        <f t="shared" si="13"/>
        <v>-9.7343338065301963E-3</v>
      </c>
      <c r="D849" s="4"/>
    </row>
    <row r="850" spans="1:4">
      <c r="A850" s="1">
        <v>42857</v>
      </c>
      <c r="B850" s="15">
        <v>47.65</v>
      </c>
      <c r="C850" s="4">
        <f t="shared" si="13"/>
        <v>-2.4165472045873434E-2</v>
      </c>
      <c r="D850" s="4"/>
    </row>
    <row r="851" spans="1:4">
      <c r="A851" s="1">
        <v>42858</v>
      </c>
      <c r="B851" s="15">
        <v>47.79</v>
      </c>
      <c r="C851" s="4">
        <f t="shared" si="13"/>
        <v>2.938090241343139E-3</v>
      </c>
      <c r="D851" s="4"/>
    </row>
    <row r="852" spans="1:4">
      <c r="A852" s="1">
        <v>42859</v>
      </c>
      <c r="B852" s="15">
        <v>45.55</v>
      </c>
      <c r="C852" s="4">
        <f t="shared" si="13"/>
        <v>-4.6871730487549737E-2</v>
      </c>
      <c r="D852" s="4"/>
    </row>
    <row r="853" spans="1:4">
      <c r="A853" s="1">
        <v>42860</v>
      </c>
      <c r="B853" s="15">
        <v>46.23</v>
      </c>
      <c r="C853" s="4">
        <f t="shared" si="13"/>
        <v>1.4928649835345769E-2</v>
      </c>
      <c r="D853" s="4"/>
    </row>
    <row r="854" spans="1:4">
      <c r="A854" s="1">
        <v>42863</v>
      </c>
      <c r="B854" s="15">
        <v>46.46</v>
      </c>
      <c r="C854" s="4">
        <f t="shared" si="13"/>
        <v>4.9751243781095394E-3</v>
      </c>
      <c r="D854" s="4"/>
    </row>
    <row r="855" spans="1:4">
      <c r="A855" s="1">
        <v>42864</v>
      </c>
      <c r="B855" s="15">
        <v>45.84</v>
      </c>
      <c r="C855" s="4">
        <f t="shared" si="13"/>
        <v>-1.3344812742143724E-2</v>
      </c>
      <c r="D855" s="4"/>
    </row>
    <row r="856" spans="1:4">
      <c r="A856" s="1">
        <v>42865</v>
      </c>
      <c r="B856" s="15">
        <v>47.28</v>
      </c>
      <c r="C856" s="4">
        <f t="shared" si="13"/>
        <v>3.1413612565444976E-2</v>
      </c>
      <c r="D856" s="4"/>
    </row>
    <row r="857" spans="1:4">
      <c r="A857" s="1">
        <v>42866</v>
      </c>
      <c r="B857" s="15">
        <v>47.81</v>
      </c>
      <c r="C857" s="4">
        <f t="shared" si="13"/>
        <v>1.1209813874788518E-2</v>
      </c>
      <c r="D857" s="4"/>
    </row>
    <row r="858" spans="1:4">
      <c r="A858" s="1">
        <v>42867</v>
      </c>
      <c r="B858" s="15">
        <v>47.83</v>
      </c>
      <c r="C858" s="4">
        <f t="shared" si="13"/>
        <v>4.1832252666797784E-4</v>
      </c>
      <c r="D858" s="4"/>
    </row>
    <row r="859" spans="1:4">
      <c r="A859" s="1">
        <v>42870</v>
      </c>
      <c r="B859" s="15">
        <v>48.86</v>
      </c>
      <c r="C859" s="4">
        <f t="shared" si="13"/>
        <v>2.1534601714405209E-2</v>
      </c>
      <c r="D859" s="4"/>
    </row>
    <row r="860" spans="1:4">
      <c r="A860" s="1">
        <v>42871</v>
      </c>
      <c r="B860" s="15">
        <v>48.64</v>
      </c>
      <c r="C860" s="4">
        <f t="shared" si="13"/>
        <v>-4.502660663119093E-3</v>
      </c>
      <c r="D860" s="4"/>
    </row>
    <row r="861" spans="1:4">
      <c r="A861" s="1">
        <v>42872</v>
      </c>
      <c r="B861" s="15">
        <v>49.04</v>
      </c>
      <c r="C861" s="4">
        <f t="shared" si="13"/>
        <v>8.2236842105262858E-3</v>
      </c>
      <c r="D861" s="4"/>
    </row>
    <row r="862" spans="1:4">
      <c r="A862" s="1">
        <v>42873</v>
      </c>
      <c r="B862" s="15">
        <v>49.36</v>
      </c>
      <c r="C862" s="4">
        <f t="shared" si="13"/>
        <v>6.5252854812398097E-3</v>
      </c>
      <c r="D862" s="4"/>
    </row>
    <row r="863" spans="1:4">
      <c r="A863" s="1">
        <v>42874</v>
      </c>
      <c r="B863" s="15">
        <v>50.32</v>
      </c>
      <c r="C863" s="4">
        <f t="shared" si="13"/>
        <v>1.9448946515397102E-2</v>
      </c>
      <c r="D863" s="4"/>
    </row>
    <row r="864" spans="1:4">
      <c r="A864" s="1">
        <v>42877</v>
      </c>
      <c r="B864" s="15">
        <v>50.81</v>
      </c>
      <c r="C864" s="4">
        <f t="shared" si="13"/>
        <v>9.7376788553259538E-3</v>
      </c>
      <c r="D864" s="4"/>
    </row>
    <row r="865" spans="1:4">
      <c r="A865" s="1">
        <v>42878</v>
      </c>
      <c r="B865" s="15">
        <v>51.12</v>
      </c>
      <c r="C865" s="4">
        <f t="shared" si="13"/>
        <v>6.1011611887422778E-3</v>
      </c>
      <c r="D865" s="4"/>
    </row>
    <row r="866" spans="1:4">
      <c r="A866" s="1">
        <v>42879</v>
      </c>
      <c r="B866" s="15">
        <v>50.99</v>
      </c>
      <c r="C866" s="4">
        <f t="shared" si="13"/>
        <v>-2.5430359937401305E-3</v>
      </c>
      <c r="D866" s="4"/>
    </row>
    <row r="867" spans="1:4">
      <c r="A867" s="1">
        <v>42880</v>
      </c>
      <c r="B867" s="15">
        <v>48.57</v>
      </c>
      <c r="C867" s="4">
        <f t="shared" si="13"/>
        <v>-4.7460286330653099E-2</v>
      </c>
      <c r="D867" s="4"/>
    </row>
    <row r="868" spans="1:4">
      <c r="A868" s="1">
        <v>42881</v>
      </c>
      <c r="B868" s="15">
        <v>49.58</v>
      </c>
      <c r="C868" s="4">
        <f t="shared" si="13"/>
        <v>2.0794729256742805E-2</v>
      </c>
      <c r="D868" s="4"/>
    </row>
    <row r="869" spans="1:4">
      <c r="A869" s="1">
        <v>42885</v>
      </c>
      <c r="B869" s="15">
        <v>49.63</v>
      </c>
      <c r="C869" s="4">
        <f t="shared" si="13"/>
        <v>1.0084711577249752E-3</v>
      </c>
      <c r="D869" s="4"/>
    </row>
    <row r="870" spans="1:4">
      <c r="A870" s="1">
        <v>42886</v>
      </c>
      <c r="B870" s="15">
        <v>48.29</v>
      </c>
      <c r="C870" s="4">
        <f t="shared" si="13"/>
        <v>-2.699979850896642E-2</v>
      </c>
      <c r="D870" s="4"/>
    </row>
    <row r="871" spans="1:4">
      <c r="A871" s="1">
        <v>42887</v>
      </c>
      <c r="B871" s="15">
        <v>48.32</v>
      </c>
      <c r="C871" s="4">
        <f t="shared" si="13"/>
        <v>6.2124663491408441E-4</v>
      </c>
      <c r="D871" s="4"/>
    </row>
    <row r="872" spans="1:4">
      <c r="A872" s="1">
        <v>42888</v>
      </c>
      <c r="B872" s="15">
        <v>47.68</v>
      </c>
      <c r="C872" s="4">
        <f t="shared" si="13"/>
        <v>-1.3245033112582794E-2</v>
      </c>
      <c r="D872" s="4"/>
    </row>
    <row r="873" spans="1:4">
      <c r="A873" s="1">
        <v>42891</v>
      </c>
      <c r="B873" s="15">
        <v>47.4</v>
      </c>
      <c r="C873" s="4">
        <f t="shared" si="13"/>
        <v>-5.8724832214765337E-3</v>
      </c>
      <c r="D873" s="4"/>
    </row>
    <row r="874" spans="1:4">
      <c r="A874" s="1">
        <v>42892</v>
      </c>
      <c r="B874" s="15">
        <v>48.13</v>
      </c>
      <c r="C874" s="4">
        <f t="shared" si="13"/>
        <v>1.5400843881856625E-2</v>
      </c>
      <c r="D874" s="4"/>
    </row>
    <row r="875" spans="1:4">
      <c r="A875" s="1">
        <v>42893</v>
      </c>
      <c r="B875" s="15">
        <v>45.8</v>
      </c>
      <c r="C875" s="4">
        <f t="shared" si="13"/>
        <v>-4.8410554747558808E-2</v>
      </c>
      <c r="D875" s="4"/>
    </row>
    <row r="876" spans="1:4">
      <c r="A876" s="1">
        <v>42894</v>
      </c>
      <c r="B876" s="15">
        <v>45.68</v>
      </c>
      <c r="C876" s="4">
        <f t="shared" si="13"/>
        <v>-2.6200873362444859E-3</v>
      </c>
      <c r="D876" s="4"/>
    </row>
    <row r="877" spans="1:4">
      <c r="A877" s="1">
        <v>42895</v>
      </c>
      <c r="B877" s="15">
        <v>45.82</v>
      </c>
      <c r="C877" s="4">
        <f t="shared" si="13"/>
        <v>3.0647985989492245E-3</v>
      </c>
      <c r="D877" s="4"/>
    </row>
    <row r="878" spans="1:4">
      <c r="A878" s="1">
        <v>42898</v>
      </c>
      <c r="B878" s="15">
        <v>46.1</v>
      </c>
      <c r="C878" s="4">
        <f t="shared" si="13"/>
        <v>6.1108686163247735E-3</v>
      </c>
      <c r="D878" s="4"/>
    </row>
    <row r="879" spans="1:4">
      <c r="A879" s="1">
        <v>42899</v>
      </c>
      <c r="B879" s="15">
        <v>46.41</v>
      </c>
      <c r="C879" s="4">
        <f t="shared" si="13"/>
        <v>6.7245119305855781E-3</v>
      </c>
      <c r="D879" s="4"/>
    </row>
    <row r="880" spans="1:4">
      <c r="A880" s="1">
        <v>42900</v>
      </c>
      <c r="B880" s="15">
        <v>44.79</v>
      </c>
      <c r="C880" s="4">
        <f t="shared" si="13"/>
        <v>-3.4906270200387793E-2</v>
      </c>
      <c r="D880" s="4"/>
    </row>
    <row r="881" spans="1:4">
      <c r="A881" s="1">
        <v>42901</v>
      </c>
      <c r="B881" s="15">
        <v>44.47</v>
      </c>
      <c r="C881" s="4">
        <f t="shared" si="13"/>
        <v>-7.1444518865818327E-3</v>
      </c>
      <c r="D881" s="4"/>
    </row>
    <row r="882" spans="1:4">
      <c r="A882" s="1">
        <v>42902</v>
      </c>
      <c r="B882" s="15">
        <v>44.73</v>
      </c>
      <c r="C882" s="4">
        <f t="shared" si="13"/>
        <v>5.8466381830447047E-3</v>
      </c>
      <c r="D882" s="4"/>
    </row>
    <row r="883" spans="1:4">
      <c r="A883" s="1">
        <v>42905</v>
      </c>
      <c r="B883" s="15">
        <v>44.24</v>
      </c>
      <c r="C883" s="4">
        <f t="shared" si="13"/>
        <v>-1.0954616588419291E-2</v>
      </c>
      <c r="D883" s="4"/>
    </row>
    <row r="884" spans="1:4">
      <c r="A884" s="1">
        <v>42906</v>
      </c>
      <c r="B884" s="15">
        <v>43.34</v>
      </c>
      <c r="C884" s="4">
        <f t="shared" si="13"/>
        <v>-2.0343580470162714E-2</v>
      </c>
      <c r="D884" s="4"/>
    </row>
    <row r="885" spans="1:4">
      <c r="A885" s="1">
        <v>42907</v>
      </c>
      <c r="B885" s="15">
        <v>42.48</v>
      </c>
      <c r="C885" s="4">
        <f t="shared" si="13"/>
        <v>-1.9843101061375323E-2</v>
      </c>
      <c r="D885" s="4"/>
    </row>
    <row r="886" spans="1:4">
      <c r="A886" s="1">
        <v>42908</v>
      </c>
      <c r="B886" s="15">
        <v>42.53</v>
      </c>
      <c r="C886" s="4">
        <f t="shared" si="13"/>
        <v>1.1770244821093284E-3</v>
      </c>
      <c r="D886" s="4"/>
    </row>
    <row r="887" spans="1:4">
      <c r="A887" s="1">
        <v>42909</v>
      </c>
      <c r="B887" s="15">
        <v>42.86</v>
      </c>
      <c r="C887" s="4">
        <f t="shared" si="13"/>
        <v>7.7592287796848878E-3</v>
      </c>
      <c r="D887" s="4"/>
    </row>
    <row r="888" spans="1:4">
      <c r="A888" s="1">
        <v>42912</v>
      </c>
      <c r="B888" s="15">
        <v>43.24</v>
      </c>
      <c r="C888" s="4">
        <f t="shared" si="13"/>
        <v>8.8660755949603962E-3</v>
      </c>
      <c r="D888" s="4"/>
    </row>
    <row r="889" spans="1:4">
      <c r="A889" s="1">
        <v>42913</v>
      </c>
      <c r="B889" s="15">
        <v>44.25</v>
      </c>
      <c r="C889" s="4">
        <f t="shared" si="13"/>
        <v>2.3358001850138713E-2</v>
      </c>
      <c r="D889" s="4"/>
    </row>
    <row r="890" spans="1:4">
      <c r="A890" s="1">
        <v>42914</v>
      </c>
      <c r="B890" s="15">
        <v>44.74</v>
      </c>
      <c r="C890" s="4">
        <f t="shared" si="13"/>
        <v>1.107344632768366E-2</v>
      </c>
      <c r="D890" s="4"/>
    </row>
    <row r="891" spans="1:4">
      <c r="A891" s="1">
        <v>42915</v>
      </c>
      <c r="B891" s="15">
        <v>44.88</v>
      </c>
      <c r="C891" s="4">
        <f t="shared" si="13"/>
        <v>3.129190880643732E-3</v>
      </c>
      <c r="D891" s="4"/>
    </row>
    <row r="892" spans="1:4">
      <c r="A892" s="1">
        <v>42916</v>
      </c>
      <c r="B892" s="15">
        <v>46.02</v>
      </c>
      <c r="C892" s="4">
        <f t="shared" si="13"/>
        <v>2.5401069518716589E-2</v>
      </c>
      <c r="D892" s="4"/>
    </row>
    <row r="893" spans="1:4">
      <c r="A893" s="1">
        <v>42919</v>
      </c>
      <c r="B893" s="15">
        <v>46.02</v>
      </c>
      <c r="C893" s="4">
        <f t="shared" si="13"/>
        <v>0</v>
      </c>
      <c r="D893" s="4"/>
    </row>
    <row r="894" spans="1:4">
      <c r="A894" s="1">
        <v>42921</v>
      </c>
      <c r="B894" s="15">
        <v>45.11</v>
      </c>
      <c r="C894" s="4">
        <f t="shared" si="13"/>
        <v>-1.9774011299435106E-2</v>
      </c>
      <c r="D894" s="4"/>
    </row>
    <row r="895" spans="1:4">
      <c r="A895" s="1">
        <v>42922</v>
      </c>
      <c r="B895" s="15">
        <v>45.52</v>
      </c>
      <c r="C895" s="4">
        <f t="shared" si="13"/>
        <v>9.0888938151186816E-3</v>
      </c>
      <c r="D895" s="4"/>
    </row>
    <row r="896" spans="1:4">
      <c r="A896" s="1">
        <v>42923</v>
      </c>
      <c r="B896" s="15">
        <v>44.25</v>
      </c>
      <c r="C896" s="4">
        <f t="shared" si="13"/>
        <v>-2.7899824253075637E-2</v>
      </c>
      <c r="D896" s="4"/>
    </row>
    <row r="897" spans="1:4">
      <c r="A897" s="1">
        <v>42926</v>
      </c>
      <c r="B897" s="15">
        <v>44.4</v>
      </c>
      <c r="C897" s="4">
        <f t="shared" si="13"/>
        <v>3.3898305084745441E-3</v>
      </c>
      <c r="D897" s="4"/>
    </row>
    <row r="898" spans="1:4">
      <c r="A898" s="1">
        <v>42927</v>
      </c>
      <c r="B898" s="15">
        <v>45.06</v>
      </c>
      <c r="C898" s="4">
        <f t="shared" si="13"/>
        <v>1.4864864864864949E-2</v>
      </c>
      <c r="D898" s="4"/>
    </row>
    <row r="899" spans="1:4">
      <c r="A899" s="1">
        <v>42928</v>
      </c>
      <c r="B899" s="15">
        <v>45.48</v>
      </c>
      <c r="C899" s="4">
        <f t="shared" ref="C899:C962" si="14">(B899-B898)/B898</f>
        <v>9.3209054593873623E-3</v>
      </c>
      <c r="D899" s="4"/>
    </row>
    <row r="900" spans="1:4">
      <c r="A900" s="1">
        <v>42929</v>
      </c>
      <c r="B900" s="15">
        <v>46.06</v>
      </c>
      <c r="C900" s="4">
        <f t="shared" si="14"/>
        <v>1.2752858399296513E-2</v>
      </c>
      <c r="D900" s="4"/>
    </row>
    <row r="901" spans="1:4">
      <c r="A901" s="1">
        <v>42930</v>
      </c>
      <c r="B901" s="15">
        <v>46.53</v>
      </c>
      <c r="C901" s="4">
        <f t="shared" si="14"/>
        <v>1.0204081632653036E-2</v>
      </c>
      <c r="D901" s="4"/>
    </row>
    <row r="902" spans="1:4">
      <c r="A902" s="1">
        <v>42933</v>
      </c>
      <c r="B902" s="15">
        <v>46.02</v>
      </c>
      <c r="C902" s="4">
        <f t="shared" si="14"/>
        <v>-1.0960670535138578E-2</v>
      </c>
      <c r="D902" s="4"/>
    </row>
    <row r="903" spans="1:4">
      <c r="A903" s="1">
        <v>42934</v>
      </c>
      <c r="B903" s="15">
        <v>46.4</v>
      </c>
      <c r="C903" s="4">
        <f t="shared" si="14"/>
        <v>8.2572794437200218E-3</v>
      </c>
      <c r="D903" s="4"/>
    </row>
    <row r="904" spans="1:4">
      <c r="A904" s="1">
        <v>42935</v>
      </c>
      <c r="B904" s="15">
        <v>47.1</v>
      </c>
      <c r="C904" s="4">
        <f t="shared" si="14"/>
        <v>1.5086206896551786E-2</v>
      </c>
      <c r="D904" s="4"/>
    </row>
    <row r="905" spans="1:4">
      <c r="A905" s="1">
        <v>42936</v>
      </c>
      <c r="B905" s="15">
        <v>46.73</v>
      </c>
      <c r="C905" s="4">
        <f t="shared" si="14"/>
        <v>-7.8556263269640037E-3</v>
      </c>
      <c r="D905" s="4"/>
    </row>
    <row r="906" spans="1:4">
      <c r="A906" s="1">
        <v>42937</v>
      </c>
      <c r="B906" s="15">
        <v>45.78</v>
      </c>
      <c r="C906" s="4">
        <f t="shared" si="14"/>
        <v>-2.0329552749839414E-2</v>
      </c>
      <c r="D906" s="4"/>
    </row>
    <row r="907" spans="1:4">
      <c r="A907" s="1">
        <v>42940</v>
      </c>
      <c r="B907" s="15">
        <v>46.21</v>
      </c>
      <c r="C907" s="4">
        <f t="shared" si="14"/>
        <v>9.3927479248580095E-3</v>
      </c>
      <c r="D907" s="4"/>
    </row>
    <row r="908" spans="1:4">
      <c r="A908" s="1">
        <v>42941</v>
      </c>
      <c r="B908" s="15">
        <v>47.77</v>
      </c>
      <c r="C908" s="4">
        <f t="shared" si="14"/>
        <v>3.3758926639255622E-2</v>
      </c>
      <c r="D908" s="4"/>
    </row>
    <row r="909" spans="1:4">
      <c r="A909" s="1">
        <v>42942</v>
      </c>
      <c r="B909" s="15">
        <v>48.58</v>
      </c>
      <c r="C909" s="4">
        <f t="shared" si="14"/>
        <v>1.6956248691647375E-2</v>
      </c>
      <c r="D909" s="4"/>
    </row>
    <row r="910" spans="1:4">
      <c r="A910" s="1">
        <v>42943</v>
      </c>
      <c r="B910" s="15">
        <v>49.05</v>
      </c>
      <c r="C910" s="4">
        <f t="shared" si="14"/>
        <v>9.6747632770687302E-3</v>
      </c>
      <c r="D910" s="4"/>
    </row>
    <row r="911" spans="1:4">
      <c r="A911" s="1">
        <v>42944</v>
      </c>
      <c r="B911" s="15">
        <v>49.72</v>
      </c>
      <c r="C911" s="4">
        <f t="shared" si="14"/>
        <v>1.3659531090723787E-2</v>
      </c>
      <c r="D911" s="4"/>
    </row>
    <row r="912" spans="1:4">
      <c r="A912" s="1">
        <v>42947</v>
      </c>
      <c r="B912" s="15">
        <v>50.21</v>
      </c>
      <c r="C912" s="4">
        <f t="shared" si="14"/>
        <v>9.8551890587289213E-3</v>
      </c>
      <c r="D912" s="4"/>
    </row>
    <row r="913" spans="1:4">
      <c r="A913" s="1">
        <v>42948</v>
      </c>
      <c r="B913" s="15">
        <v>49.19</v>
      </c>
      <c r="C913" s="4">
        <f t="shared" si="14"/>
        <v>-2.0314678350926173E-2</v>
      </c>
      <c r="D913" s="4"/>
    </row>
    <row r="914" spans="1:4">
      <c r="A914" s="1">
        <v>42949</v>
      </c>
      <c r="B914" s="15">
        <v>49.6</v>
      </c>
      <c r="C914" s="4">
        <f t="shared" si="14"/>
        <v>8.3350274446026378E-3</v>
      </c>
      <c r="D914" s="4"/>
    </row>
    <row r="915" spans="1:4">
      <c r="A915" s="1">
        <v>42950</v>
      </c>
      <c r="B915" s="15">
        <v>49.03</v>
      </c>
      <c r="C915" s="4">
        <f t="shared" si="14"/>
        <v>-1.1491935483870973E-2</v>
      </c>
      <c r="D915" s="4"/>
    </row>
    <row r="916" spans="1:4">
      <c r="A916" s="1">
        <v>42951</v>
      </c>
      <c r="B916" s="15">
        <v>49.57</v>
      </c>
      <c r="C916" s="4">
        <f t="shared" si="14"/>
        <v>1.1013665102998147E-2</v>
      </c>
      <c r="D916" s="4"/>
    </row>
    <row r="917" spans="1:4">
      <c r="A917" s="1">
        <v>42954</v>
      </c>
      <c r="B917" s="15">
        <v>49.37</v>
      </c>
      <c r="C917" s="4">
        <f t="shared" si="14"/>
        <v>-4.0346984062941864E-3</v>
      </c>
      <c r="D917" s="4"/>
    </row>
    <row r="918" spans="1:4">
      <c r="A918" s="1">
        <v>42955</v>
      </c>
      <c r="B918" s="15">
        <v>49.07</v>
      </c>
      <c r="C918" s="4">
        <f t="shared" si="14"/>
        <v>-6.0765647154141615E-3</v>
      </c>
      <c r="D918" s="4"/>
    </row>
    <row r="919" spans="1:4">
      <c r="A919" s="1">
        <v>42956</v>
      </c>
      <c r="B919" s="15">
        <v>49.59</v>
      </c>
      <c r="C919" s="4">
        <f t="shared" si="14"/>
        <v>1.0597106174852315E-2</v>
      </c>
      <c r="D919" s="4"/>
    </row>
    <row r="920" spans="1:4">
      <c r="A920" s="1">
        <v>42957</v>
      </c>
      <c r="B920" s="15">
        <v>48.54</v>
      </c>
      <c r="C920" s="4">
        <f t="shared" si="14"/>
        <v>-2.1173623714458644E-2</v>
      </c>
      <c r="D920" s="4"/>
    </row>
    <row r="921" spans="1:4">
      <c r="A921" s="1">
        <v>42958</v>
      </c>
      <c r="B921" s="15">
        <v>48.81</v>
      </c>
      <c r="C921" s="4">
        <f t="shared" si="14"/>
        <v>5.5624227441286181E-3</v>
      </c>
      <c r="D921" s="4"/>
    </row>
    <row r="922" spans="1:4">
      <c r="A922" s="1">
        <v>42961</v>
      </c>
      <c r="B922" s="15">
        <v>47.59</v>
      </c>
      <c r="C922" s="4">
        <f t="shared" si="14"/>
        <v>-2.4994878098750232E-2</v>
      </c>
      <c r="D922" s="4"/>
    </row>
    <row r="923" spans="1:4">
      <c r="A923" s="1">
        <v>42962</v>
      </c>
      <c r="B923" s="15">
        <v>47.57</v>
      </c>
      <c r="C923" s="4">
        <f t="shared" si="14"/>
        <v>-4.2025635637745585E-4</v>
      </c>
      <c r="D923" s="4"/>
    </row>
    <row r="924" spans="1:4">
      <c r="A924" s="1">
        <v>42963</v>
      </c>
      <c r="B924" s="15">
        <v>46.8</v>
      </c>
      <c r="C924" s="4">
        <f t="shared" si="14"/>
        <v>-1.618667227244068E-2</v>
      </c>
      <c r="D924" s="4"/>
    </row>
    <row r="925" spans="1:4">
      <c r="A925" s="1">
        <v>42964</v>
      </c>
      <c r="B925" s="15">
        <v>47.07</v>
      </c>
      <c r="C925" s="4">
        <f t="shared" si="14"/>
        <v>5.7692307692308363E-3</v>
      </c>
      <c r="D925" s="4"/>
    </row>
    <row r="926" spans="1:4">
      <c r="A926" s="1">
        <v>42965</v>
      </c>
      <c r="B926" s="15">
        <v>48.59</v>
      </c>
      <c r="C926" s="4">
        <f t="shared" si="14"/>
        <v>3.2292330571489336E-2</v>
      </c>
      <c r="D926" s="4"/>
    </row>
    <row r="927" spans="1:4">
      <c r="A927" s="1">
        <v>42968</v>
      </c>
      <c r="B927" s="15">
        <v>47.39</v>
      </c>
      <c r="C927" s="4">
        <f t="shared" si="14"/>
        <v>-2.4696439596624875E-2</v>
      </c>
      <c r="D927" s="4"/>
    </row>
    <row r="928" spans="1:4">
      <c r="A928" s="1">
        <v>42969</v>
      </c>
      <c r="B928" s="15">
        <v>47.65</v>
      </c>
      <c r="C928" s="4">
        <f t="shared" si="14"/>
        <v>5.4863895336568474E-3</v>
      </c>
      <c r="D928" s="4"/>
    </row>
    <row r="929" spans="1:4">
      <c r="A929" s="1">
        <v>42970</v>
      </c>
      <c r="B929" s="15">
        <v>48.45</v>
      </c>
      <c r="C929" s="4">
        <f t="shared" si="14"/>
        <v>1.6789087093389388E-2</v>
      </c>
      <c r="D929" s="4"/>
    </row>
    <row r="930" spans="1:4">
      <c r="A930" s="1">
        <v>42971</v>
      </c>
      <c r="B930" s="15">
        <v>47.24</v>
      </c>
      <c r="C930" s="4">
        <f t="shared" si="14"/>
        <v>-2.4974200206398366E-2</v>
      </c>
      <c r="D930" s="4"/>
    </row>
    <row r="931" spans="1:4">
      <c r="A931" s="1">
        <v>42972</v>
      </c>
      <c r="B931" s="15">
        <v>47.65</v>
      </c>
      <c r="C931" s="4">
        <f t="shared" si="14"/>
        <v>8.6790855207450595E-3</v>
      </c>
      <c r="D931" s="4"/>
    </row>
    <row r="932" spans="1:4">
      <c r="A932" s="1">
        <v>42975</v>
      </c>
      <c r="B932" s="15">
        <v>46.4</v>
      </c>
      <c r="C932" s="4">
        <f t="shared" si="14"/>
        <v>-2.6232948583420776E-2</v>
      </c>
      <c r="D932" s="4"/>
    </row>
    <row r="933" spans="1:4">
      <c r="A933" s="1">
        <v>42976</v>
      </c>
      <c r="B933" s="15">
        <v>46.46</v>
      </c>
      <c r="C933" s="4">
        <f t="shared" si="14"/>
        <v>1.2931034482759111E-3</v>
      </c>
      <c r="D933" s="4"/>
    </row>
    <row r="934" spans="1:4">
      <c r="A934" s="1">
        <v>42977</v>
      </c>
      <c r="B934" s="15">
        <v>45.96</v>
      </c>
      <c r="C934" s="4">
        <f t="shared" si="14"/>
        <v>-1.0761945759793371E-2</v>
      </c>
      <c r="D934" s="4"/>
    </row>
    <row r="935" spans="1:4">
      <c r="A935" s="1">
        <v>42978</v>
      </c>
      <c r="B935" s="15">
        <v>47.26</v>
      </c>
      <c r="C935" s="4">
        <f t="shared" si="14"/>
        <v>2.8285465622280181E-2</v>
      </c>
      <c r="D935" s="4"/>
    </row>
    <row r="936" spans="1:4">
      <c r="A936" s="1">
        <v>42979</v>
      </c>
      <c r="B936" s="15">
        <v>47.32</v>
      </c>
      <c r="C936" s="4">
        <f t="shared" si="14"/>
        <v>1.26957257723238E-3</v>
      </c>
      <c r="D936" s="4"/>
    </row>
    <row r="937" spans="1:4">
      <c r="A937" s="1">
        <v>42983</v>
      </c>
      <c r="B937" s="15">
        <v>48.63</v>
      </c>
      <c r="C937" s="4">
        <f t="shared" si="14"/>
        <v>2.7683854606931579E-2</v>
      </c>
      <c r="D937" s="4"/>
    </row>
    <row r="938" spans="1:4">
      <c r="A938" s="1">
        <v>42984</v>
      </c>
      <c r="B938" s="15">
        <v>49.13</v>
      </c>
      <c r="C938" s="4">
        <f t="shared" si="14"/>
        <v>1.0281719103434093E-2</v>
      </c>
      <c r="D938" s="4"/>
    </row>
    <row r="939" spans="1:4">
      <c r="A939" s="1">
        <v>42985</v>
      </c>
      <c r="B939" s="15">
        <v>49.1</v>
      </c>
      <c r="C939" s="4">
        <f t="shared" si="14"/>
        <v>-6.1062487278650793E-4</v>
      </c>
      <c r="D939" s="4"/>
    </row>
    <row r="940" spans="1:4">
      <c r="A940" s="1">
        <v>42986</v>
      </c>
      <c r="B940" s="15">
        <v>47.44</v>
      </c>
      <c r="C940" s="4">
        <f t="shared" si="14"/>
        <v>-3.3808553971486834E-2</v>
      </c>
      <c r="D940" s="4"/>
    </row>
    <row r="941" spans="1:4">
      <c r="A941" s="1">
        <v>42989</v>
      </c>
      <c r="B941" s="15">
        <v>48.06</v>
      </c>
      <c r="C941" s="4">
        <f t="shared" si="14"/>
        <v>1.3069139966273284E-2</v>
      </c>
      <c r="D941" s="4"/>
    </row>
    <row r="942" spans="1:4">
      <c r="A942" s="1">
        <v>42990</v>
      </c>
      <c r="B942" s="15">
        <v>48.21</v>
      </c>
      <c r="C942" s="4">
        <f t="shared" si="14"/>
        <v>3.1210986267165746E-3</v>
      </c>
      <c r="D942" s="4"/>
    </row>
    <row r="943" spans="1:4">
      <c r="A943" s="1">
        <v>42991</v>
      </c>
      <c r="B943" s="15">
        <v>49.3</v>
      </c>
      <c r="C943" s="4">
        <f t="shared" si="14"/>
        <v>2.2609417133374742E-2</v>
      </c>
      <c r="D943" s="4"/>
    </row>
    <row r="944" spans="1:4">
      <c r="A944" s="1">
        <v>42992</v>
      </c>
      <c r="B944" s="15">
        <v>49.86</v>
      </c>
      <c r="C944" s="4">
        <f t="shared" si="14"/>
        <v>1.1359026369168404E-2</v>
      </c>
      <c r="D944" s="4"/>
    </row>
    <row r="945" spans="1:4">
      <c r="A945" s="1">
        <v>42993</v>
      </c>
      <c r="B945" s="15">
        <v>49.9</v>
      </c>
      <c r="C945" s="4">
        <f t="shared" si="14"/>
        <v>8.0224628961089348E-4</v>
      </c>
      <c r="D945" s="4"/>
    </row>
    <row r="946" spans="1:4">
      <c r="A946" s="1">
        <v>42996</v>
      </c>
      <c r="B946" s="15">
        <v>49.88</v>
      </c>
      <c r="C946" s="4">
        <f t="shared" si="14"/>
        <v>-4.0080160320633308E-4</v>
      </c>
      <c r="D946" s="4"/>
    </row>
    <row r="947" spans="1:4">
      <c r="A947" s="1">
        <v>42997</v>
      </c>
      <c r="B947" s="15">
        <v>49.54</v>
      </c>
      <c r="C947" s="4">
        <f t="shared" si="14"/>
        <v>-6.8163592622294189E-3</v>
      </c>
      <c r="D947" s="4"/>
    </row>
    <row r="948" spans="1:4">
      <c r="A948" s="1">
        <v>42998</v>
      </c>
      <c r="B948" s="15">
        <v>50.29</v>
      </c>
      <c r="C948" s="4">
        <f t="shared" si="14"/>
        <v>1.5139281388776746E-2</v>
      </c>
      <c r="D948" s="4"/>
    </row>
    <row r="949" spans="1:4">
      <c r="A949" s="1">
        <v>42999</v>
      </c>
      <c r="B949" s="15">
        <v>50.58</v>
      </c>
      <c r="C949" s="4">
        <f t="shared" si="14"/>
        <v>5.7665539868761015E-3</v>
      </c>
      <c r="D949" s="4"/>
    </row>
    <row r="950" spans="1:4">
      <c r="A950" s="1">
        <v>43000</v>
      </c>
      <c r="B950" s="15">
        <v>50.33</v>
      </c>
      <c r="C950" s="4">
        <f t="shared" si="14"/>
        <v>-4.9426650850138395E-3</v>
      </c>
      <c r="D950" s="4"/>
    </row>
    <row r="951" spans="1:4">
      <c r="A951" s="1">
        <v>43003</v>
      </c>
      <c r="B951" s="15">
        <v>51.85</v>
      </c>
      <c r="C951" s="4">
        <f t="shared" si="14"/>
        <v>3.0200675541426646E-2</v>
      </c>
      <c r="D951" s="4"/>
    </row>
    <row r="952" spans="1:4">
      <c r="A952" s="1">
        <v>43004</v>
      </c>
      <c r="B952" s="15">
        <v>51.59</v>
      </c>
      <c r="C952" s="4">
        <f t="shared" si="14"/>
        <v>-5.0144648023143302E-3</v>
      </c>
      <c r="D952" s="4"/>
    </row>
    <row r="953" spans="1:4">
      <c r="A953" s="1">
        <v>43005</v>
      </c>
      <c r="B953" s="15">
        <v>52.14</v>
      </c>
      <c r="C953" s="4">
        <f t="shared" si="14"/>
        <v>1.0660980810234486E-2</v>
      </c>
      <c r="D953" s="4"/>
    </row>
    <row r="954" spans="1:4">
      <c r="A954" s="1">
        <v>43006</v>
      </c>
      <c r="B954" s="15">
        <v>51.62</v>
      </c>
      <c r="C954" s="4">
        <f t="shared" si="14"/>
        <v>-9.9731492136556025E-3</v>
      </c>
      <c r="D954" s="4"/>
    </row>
    <row r="955" spans="1:4">
      <c r="A955" s="1">
        <v>43007</v>
      </c>
      <c r="B955" s="15">
        <v>51.67</v>
      </c>
      <c r="C955" s="4">
        <f t="shared" si="14"/>
        <v>9.6861681518799431E-4</v>
      </c>
      <c r="D955" s="4"/>
    </row>
    <row r="956" spans="1:4">
      <c r="A956" s="1">
        <v>43010</v>
      </c>
      <c r="B956" s="15">
        <v>50.59</v>
      </c>
      <c r="C956" s="4">
        <f t="shared" si="14"/>
        <v>-2.0901877298238791E-2</v>
      </c>
      <c r="D956" s="4"/>
    </row>
    <row r="957" spans="1:4">
      <c r="A957" s="1">
        <v>43011</v>
      </c>
      <c r="B957" s="15">
        <v>50.44</v>
      </c>
      <c r="C957" s="4">
        <f t="shared" si="14"/>
        <v>-2.9650128483891219E-3</v>
      </c>
      <c r="D957" s="4"/>
    </row>
    <row r="958" spans="1:4">
      <c r="A958" s="1">
        <v>43012</v>
      </c>
      <c r="B958" s="15">
        <v>50</v>
      </c>
      <c r="C958" s="4">
        <f t="shared" si="14"/>
        <v>-8.7232355273591938E-3</v>
      </c>
      <c r="D958" s="4"/>
    </row>
    <row r="959" spans="1:4">
      <c r="A959" s="1">
        <v>43013</v>
      </c>
      <c r="B959" s="15">
        <v>50.79</v>
      </c>
      <c r="C959" s="4">
        <f t="shared" si="14"/>
        <v>1.5799999999999984E-2</v>
      </c>
      <c r="D959" s="4"/>
    </row>
    <row r="960" spans="1:4">
      <c r="A960" s="1">
        <v>43014</v>
      </c>
      <c r="B960" s="15">
        <v>49.34</v>
      </c>
      <c r="C960" s="4">
        <f t="shared" si="14"/>
        <v>-2.8548926954124743E-2</v>
      </c>
      <c r="D960" s="4"/>
    </row>
    <row r="961" spans="1:4">
      <c r="A961" s="1">
        <v>43017</v>
      </c>
      <c r="B961" s="15">
        <v>49.58</v>
      </c>
      <c r="C961" s="4">
        <f t="shared" si="14"/>
        <v>4.8642075395215825E-3</v>
      </c>
      <c r="D961" s="4"/>
    </row>
    <row r="962" spans="1:4">
      <c r="A962" s="1">
        <v>43018</v>
      </c>
      <c r="B962" s="15">
        <v>50.93</v>
      </c>
      <c r="C962" s="4">
        <f t="shared" si="14"/>
        <v>2.7228721258572033E-2</v>
      </c>
      <c r="D962" s="4"/>
    </row>
    <row r="963" spans="1:4">
      <c r="A963" s="1">
        <v>43019</v>
      </c>
      <c r="B963" s="15">
        <v>51.3</v>
      </c>
      <c r="C963" s="4">
        <f t="shared" ref="C963:C1026" si="15">(B963-B962)/B962</f>
        <v>7.2648733555860483E-3</v>
      </c>
      <c r="D963" s="4"/>
    </row>
    <row r="964" spans="1:4">
      <c r="A964" s="1">
        <v>43020</v>
      </c>
      <c r="B964" s="15">
        <v>50.61</v>
      </c>
      <c r="C964" s="4">
        <f t="shared" si="15"/>
        <v>-1.3450292397660775E-2</v>
      </c>
      <c r="D964" s="4"/>
    </row>
    <row r="965" spans="1:4">
      <c r="A965" s="1">
        <v>43021</v>
      </c>
      <c r="B965" s="15">
        <v>51.43</v>
      </c>
      <c r="C965" s="4">
        <f t="shared" si="15"/>
        <v>1.6202331555028655E-2</v>
      </c>
      <c r="D965" s="4"/>
    </row>
    <row r="966" spans="1:4">
      <c r="A966" s="1">
        <v>43024</v>
      </c>
      <c r="B966" s="15">
        <v>51.86</v>
      </c>
      <c r="C966" s="4">
        <f t="shared" si="15"/>
        <v>8.3608788644759808E-3</v>
      </c>
      <c r="D966" s="4"/>
    </row>
    <row r="967" spans="1:4">
      <c r="A967" s="1">
        <v>43025</v>
      </c>
      <c r="B967" s="15">
        <v>51.87</v>
      </c>
      <c r="C967" s="4">
        <f t="shared" si="15"/>
        <v>1.9282684149629794E-4</v>
      </c>
      <c r="D967" s="4"/>
    </row>
    <row r="968" spans="1:4">
      <c r="A968" s="1">
        <v>43026</v>
      </c>
      <c r="B968" s="15">
        <v>52.05</v>
      </c>
      <c r="C968" s="4">
        <f t="shared" si="15"/>
        <v>3.4702139965297808E-3</v>
      </c>
      <c r="D968" s="4"/>
    </row>
    <row r="969" spans="1:4">
      <c r="A969" s="1">
        <v>43027</v>
      </c>
      <c r="B969" s="15">
        <v>51.29</v>
      </c>
      <c r="C969" s="4">
        <f t="shared" si="15"/>
        <v>-1.4601344860710817E-2</v>
      </c>
      <c r="D969" s="4"/>
    </row>
    <row r="970" spans="1:4">
      <c r="A970" s="1">
        <v>43028</v>
      </c>
      <c r="B970" s="15">
        <v>51.63</v>
      </c>
      <c r="C970" s="4">
        <f t="shared" si="15"/>
        <v>6.628972509261131E-3</v>
      </c>
      <c r="D970" s="4"/>
    </row>
    <row r="971" spans="1:4">
      <c r="A971" s="1">
        <v>43031</v>
      </c>
      <c r="B971" s="15">
        <v>51.91</v>
      </c>
      <c r="C971" s="4">
        <f t="shared" si="15"/>
        <v>5.4232035638193685E-3</v>
      </c>
      <c r="D971" s="4"/>
    </row>
    <row r="972" spans="1:4">
      <c r="A972" s="1">
        <v>43032</v>
      </c>
      <c r="B972" s="15">
        <v>52.32</v>
      </c>
      <c r="C972" s="4">
        <f t="shared" si="15"/>
        <v>7.898285494124517E-3</v>
      </c>
      <c r="D972" s="4"/>
    </row>
    <row r="973" spans="1:4">
      <c r="A973" s="1">
        <v>43033</v>
      </c>
      <c r="B973" s="15">
        <v>51.97</v>
      </c>
      <c r="C973" s="4">
        <f t="shared" si="15"/>
        <v>-6.6896024464832074E-3</v>
      </c>
      <c r="D973" s="4"/>
    </row>
    <row r="974" spans="1:4">
      <c r="A974" s="1">
        <v>43034</v>
      </c>
      <c r="B974" s="15">
        <v>52.41</v>
      </c>
      <c r="C974" s="4">
        <f t="shared" si="15"/>
        <v>8.4664229363093663E-3</v>
      </c>
      <c r="D974" s="4"/>
    </row>
    <row r="975" spans="1:4">
      <c r="A975" s="1">
        <v>43035</v>
      </c>
      <c r="B975" s="15">
        <v>53.92</v>
      </c>
      <c r="C975" s="4">
        <f t="shared" si="15"/>
        <v>2.8811295554283634E-2</v>
      </c>
      <c r="D975" s="4"/>
    </row>
    <row r="976" spans="1:4">
      <c r="A976" s="1">
        <v>43038</v>
      </c>
      <c r="B976" s="15">
        <v>54.11</v>
      </c>
      <c r="C976" s="4">
        <f t="shared" si="15"/>
        <v>3.5237388724035186E-3</v>
      </c>
      <c r="D976" s="4"/>
    </row>
    <row r="977" spans="1:4">
      <c r="A977" s="1">
        <v>43039</v>
      </c>
      <c r="B977" s="15">
        <v>54.36</v>
      </c>
      <c r="C977" s="4">
        <f t="shared" si="15"/>
        <v>4.620218074293107E-3</v>
      </c>
      <c r="D977" s="4"/>
    </row>
    <row r="978" spans="1:4">
      <c r="A978" s="1">
        <v>43040</v>
      </c>
      <c r="B978" s="15">
        <v>54.32</v>
      </c>
      <c r="C978" s="4">
        <f t="shared" si="15"/>
        <v>-7.3583517292124991E-4</v>
      </c>
      <c r="D978" s="4"/>
    </row>
    <row r="979" spans="1:4">
      <c r="A979" s="1">
        <v>43041</v>
      </c>
      <c r="B979" s="15">
        <v>54.55</v>
      </c>
      <c r="C979" s="4">
        <f t="shared" si="15"/>
        <v>4.2341678939616509E-3</v>
      </c>
      <c r="D979" s="4"/>
    </row>
    <row r="980" spans="1:4">
      <c r="A980" s="1">
        <v>43042</v>
      </c>
      <c r="B980" s="15">
        <v>55.63</v>
      </c>
      <c r="C980" s="4">
        <f t="shared" si="15"/>
        <v>1.9798350137488641E-2</v>
      </c>
      <c r="D980" s="4"/>
    </row>
    <row r="981" spans="1:4">
      <c r="A981" s="1">
        <v>43045</v>
      </c>
      <c r="B981" s="15">
        <v>57.34</v>
      </c>
      <c r="C981" s="4">
        <f t="shared" si="15"/>
        <v>3.0738809994607239E-2</v>
      </c>
      <c r="D981" s="4"/>
    </row>
    <row r="982" spans="1:4">
      <c r="A982" s="1">
        <v>43046</v>
      </c>
      <c r="B982" s="15">
        <v>57.19</v>
      </c>
      <c r="C982" s="4">
        <f t="shared" si="15"/>
        <v>-2.6159748866411872E-3</v>
      </c>
      <c r="D982" s="4"/>
    </row>
    <row r="983" spans="1:4">
      <c r="A983" s="1">
        <v>43047</v>
      </c>
      <c r="B983" s="15">
        <v>56.82</v>
      </c>
      <c r="C983" s="4">
        <f t="shared" si="15"/>
        <v>-6.4696625284140141E-3</v>
      </c>
      <c r="D983" s="4"/>
    </row>
    <row r="984" spans="1:4">
      <c r="A984" s="1">
        <v>43048</v>
      </c>
      <c r="B984" s="15">
        <v>57.16</v>
      </c>
      <c r="C984" s="4">
        <f t="shared" si="15"/>
        <v>5.9838085181273546E-3</v>
      </c>
      <c r="D984" s="4"/>
    </row>
    <row r="985" spans="1:4">
      <c r="A985" s="1">
        <v>43049</v>
      </c>
      <c r="B985" s="15">
        <v>56.75</v>
      </c>
      <c r="C985" s="4">
        <f t="shared" si="15"/>
        <v>-7.1728481455562735E-3</v>
      </c>
      <c r="D985" s="4"/>
    </row>
    <row r="986" spans="1:4">
      <c r="A986" s="1">
        <v>43052</v>
      </c>
      <c r="B986" s="15">
        <v>56.77</v>
      </c>
      <c r="C986" s="4">
        <f t="shared" si="15"/>
        <v>3.5242290748904189E-4</v>
      </c>
      <c r="D986" s="4"/>
    </row>
    <row r="987" spans="1:4">
      <c r="A987" s="1">
        <v>43053</v>
      </c>
      <c r="B987" s="15">
        <v>55.67</v>
      </c>
      <c r="C987" s="4">
        <f t="shared" si="15"/>
        <v>-1.9376431213669214E-2</v>
      </c>
      <c r="D987" s="4"/>
    </row>
    <row r="988" spans="1:4">
      <c r="A988" s="1">
        <v>43054</v>
      </c>
      <c r="B988" s="15">
        <v>55.28</v>
      </c>
      <c r="C988" s="4">
        <f t="shared" si="15"/>
        <v>-7.0055685288306193E-3</v>
      </c>
      <c r="D988" s="4"/>
    </row>
    <row r="989" spans="1:4">
      <c r="A989" s="1">
        <v>43055</v>
      </c>
      <c r="B989" s="15">
        <v>55.14</v>
      </c>
      <c r="C989" s="4">
        <f t="shared" si="15"/>
        <v>-2.5325615050651334E-3</v>
      </c>
      <c r="D989" s="4"/>
    </row>
    <row r="990" spans="1:4">
      <c r="A990" s="1">
        <v>43056</v>
      </c>
      <c r="B990" s="15">
        <v>56.21</v>
      </c>
      <c r="C990" s="4">
        <f t="shared" si="15"/>
        <v>1.940515052593399E-2</v>
      </c>
      <c r="D990" s="4"/>
    </row>
    <row r="991" spans="1:4">
      <c r="A991" s="1">
        <v>43059</v>
      </c>
      <c r="B991" s="15">
        <v>56.21</v>
      </c>
      <c r="C991" s="4">
        <f t="shared" si="15"/>
        <v>0</v>
      </c>
      <c r="D991" s="4"/>
    </row>
    <row r="992" spans="1:4">
      <c r="A992" s="1">
        <v>43060</v>
      </c>
      <c r="B992" s="15">
        <v>56.84</v>
      </c>
      <c r="C992" s="4">
        <f t="shared" si="15"/>
        <v>1.1207970112079746E-2</v>
      </c>
      <c r="D992" s="4"/>
    </row>
    <row r="993" spans="1:4">
      <c r="A993" s="1">
        <v>43061</v>
      </c>
      <c r="B993" s="15">
        <v>57.88</v>
      </c>
      <c r="C993" s="4">
        <f t="shared" si="15"/>
        <v>1.8296973961998576E-2</v>
      </c>
      <c r="D993" s="4"/>
    </row>
    <row r="994" spans="1:4">
      <c r="A994" s="1">
        <v>43063</v>
      </c>
      <c r="B994" s="15">
        <v>58.94</v>
      </c>
      <c r="C994" s="4">
        <f t="shared" si="15"/>
        <v>1.8313752591568679E-2</v>
      </c>
      <c r="D994" s="4"/>
    </row>
    <row r="995" spans="1:4">
      <c r="A995" s="1">
        <v>43066</v>
      </c>
      <c r="B995" s="15">
        <v>58.1</v>
      </c>
      <c r="C995" s="4">
        <f t="shared" si="15"/>
        <v>-1.4251781472684024E-2</v>
      </c>
      <c r="D995" s="4"/>
    </row>
    <row r="996" spans="1:4">
      <c r="A996" s="1">
        <v>43067</v>
      </c>
      <c r="B996" s="15">
        <v>57.96</v>
      </c>
      <c r="C996" s="4">
        <f t="shared" si="15"/>
        <v>-2.4096385542168772E-3</v>
      </c>
      <c r="D996" s="4"/>
    </row>
    <row r="997" spans="1:4">
      <c r="A997" s="1">
        <v>43068</v>
      </c>
      <c r="B997" s="15">
        <v>57.25</v>
      </c>
      <c r="C997" s="4">
        <f t="shared" si="15"/>
        <v>-1.2249827467218786E-2</v>
      </c>
      <c r="D997" s="4"/>
    </row>
    <row r="998" spans="1:4">
      <c r="A998" s="1">
        <v>43069</v>
      </c>
      <c r="B998" s="15">
        <v>57.4</v>
      </c>
      <c r="C998" s="4">
        <f t="shared" si="15"/>
        <v>2.6200873362445167E-3</v>
      </c>
      <c r="D998" s="4"/>
    </row>
    <row r="999" spans="1:4">
      <c r="A999" s="1">
        <v>43070</v>
      </c>
      <c r="B999" s="15">
        <v>58.35</v>
      </c>
      <c r="C999" s="4">
        <f t="shared" si="15"/>
        <v>1.6550522648083675E-2</v>
      </c>
      <c r="D999" s="4"/>
    </row>
    <row r="1000" spans="1:4">
      <c r="A1000" s="1">
        <v>43073</v>
      </c>
      <c r="B1000" s="15">
        <v>57.48</v>
      </c>
      <c r="C1000" s="4">
        <f t="shared" si="15"/>
        <v>-1.4910025706940952E-2</v>
      </c>
      <c r="D1000" s="4"/>
    </row>
    <row r="1001" spans="1:4">
      <c r="A1001" s="1">
        <v>43074</v>
      </c>
      <c r="B1001" s="15">
        <v>57.66</v>
      </c>
      <c r="C1001" s="4">
        <f t="shared" si="15"/>
        <v>3.131524008350726E-3</v>
      </c>
      <c r="D1001" s="4"/>
    </row>
    <row r="1002" spans="1:4">
      <c r="A1002" s="1">
        <v>43075</v>
      </c>
      <c r="B1002" s="15">
        <v>55.79</v>
      </c>
      <c r="C1002" s="4">
        <f t="shared" si="15"/>
        <v>-3.2431494970516783E-2</v>
      </c>
      <c r="D1002" s="4"/>
    </row>
    <row r="1003" spans="1:4">
      <c r="A1003" s="1">
        <v>43076</v>
      </c>
      <c r="B1003" s="15">
        <v>56.5</v>
      </c>
      <c r="C1003" s="4">
        <f t="shared" si="15"/>
        <v>1.2726295034952515E-2</v>
      </c>
      <c r="D1003" s="4"/>
    </row>
    <row r="1004" spans="1:4">
      <c r="A1004" s="1">
        <v>43077</v>
      </c>
      <c r="B1004" s="15">
        <v>57.15</v>
      </c>
      <c r="C1004" s="4">
        <f t="shared" si="15"/>
        <v>1.1504424778761038E-2</v>
      </c>
      <c r="D1004" s="4"/>
    </row>
    <row r="1005" spans="1:4">
      <c r="A1005" s="1">
        <v>43080</v>
      </c>
      <c r="B1005" s="15">
        <v>57.84</v>
      </c>
      <c r="C1005" s="4">
        <f t="shared" si="15"/>
        <v>1.2073490813648379E-2</v>
      </c>
      <c r="D1005" s="4"/>
    </row>
    <row r="1006" spans="1:4">
      <c r="A1006" s="1">
        <v>43081</v>
      </c>
      <c r="B1006" s="15">
        <v>57.12</v>
      </c>
      <c r="C1006" s="4">
        <f t="shared" si="15"/>
        <v>-1.2448132780083091E-2</v>
      </c>
      <c r="D1006" s="4"/>
    </row>
    <row r="1007" spans="1:4">
      <c r="A1007" s="1">
        <v>43082</v>
      </c>
      <c r="B1007" s="15">
        <v>56.59</v>
      </c>
      <c r="C1007" s="4">
        <f t="shared" si="15"/>
        <v>-9.2787114845937334E-3</v>
      </c>
      <c r="D1007" s="4"/>
    </row>
    <row r="1008" spans="1:4">
      <c r="A1008" s="1">
        <v>43083</v>
      </c>
      <c r="B1008" s="15">
        <v>57</v>
      </c>
      <c r="C1008" s="4">
        <f t="shared" si="15"/>
        <v>7.2450963067679196E-3</v>
      </c>
      <c r="D1008" s="4"/>
    </row>
    <row r="1009" spans="1:4">
      <c r="A1009" s="1">
        <v>43084</v>
      </c>
      <c r="B1009" s="15">
        <v>57.29</v>
      </c>
      <c r="C1009" s="4">
        <f t="shared" si="15"/>
        <v>5.0877192982455993E-3</v>
      </c>
      <c r="D1009" s="4"/>
    </row>
    <row r="1010" spans="1:4">
      <c r="A1010" s="1">
        <v>43087</v>
      </c>
      <c r="B1010" s="15">
        <v>57.17</v>
      </c>
      <c r="C1010" s="4">
        <f t="shared" si="15"/>
        <v>-2.0946063885494406E-3</v>
      </c>
      <c r="D1010" s="4"/>
    </row>
    <row r="1011" spans="1:4">
      <c r="A1011" s="1">
        <v>43088</v>
      </c>
      <c r="B1011" s="15">
        <v>57.49</v>
      </c>
      <c r="C1011" s="4">
        <f t="shared" si="15"/>
        <v>5.5973412629001275E-3</v>
      </c>
      <c r="D1011" s="4"/>
    </row>
    <row r="1012" spans="1:4">
      <c r="A1012" s="1">
        <v>43089</v>
      </c>
      <c r="B1012" s="15">
        <v>58.09</v>
      </c>
      <c r="C1012" s="4">
        <f t="shared" si="15"/>
        <v>1.0436597669159877E-2</v>
      </c>
      <c r="D1012" s="4"/>
    </row>
    <row r="1013" spans="1:4">
      <c r="A1013" s="1">
        <v>43090</v>
      </c>
      <c r="B1013" s="15">
        <v>58.34</v>
      </c>
      <c r="C1013" s="4">
        <f t="shared" si="15"/>
        <v>4.3036667240488897E-3</v>
      </c>
      <c r="D1013" s="4"/>
    </row>
    <row r="1014" spans="1:4">
      <c r="A1014" s="1">
        <v>43091</v>
      </c>
      <c r="B1014" s="15">
        <v>58.25</v>
      </c>
      <c r="C1014" s="4">
        <f t="shared" si="15"/>
        <v>-1.5426808364758897E-3</v>
      </c>
      <c r="D1014" s="4"/>
    </row>
    <row r="1015" spans="1:4">
      <c r="A1015" s="1">
        <v>43095</v>
      </c>
      <c r="B1015" s="15">
        <v>59.55</v>
      </c>
      <c r="C1015" s="4">
        <f t="shared" si="15"/>
        <v>2.2317596566523556E-2</v>
      </c>
      <c r="D1015" s="4"/>
    </row>
    <row r="1016" spans="1:4">
      <c r="A1016" s="1">
        <v>43096</v>
      </c>
      <c r="B1016" s="15">
        <v>59.67</v>
      </c>
      <c r="C1016" s="4">
        <f t="shared" si="15"/>
        <v>2.0151133501260209E-3</v>
      </c>
      <c r="D1016" s="4"/>
    </row>
    <row r="1017" spans="1:4">
      <c r="A1017" s="1">
        <v>43097</v>
      </c>
      <c r="B1017" s="15">
        <v>59.84</v>
      </c>
      <c r="C1017" s="4">
        <f t="shared" si="15"/>
        <v>2.8490028490028773E-3</v>
      </c>
      <c r="D1017" s="4"/>
    </row>
    <row r="1018" spans="1:4">
      <c r="A1018" s="1">
        <v>43098</v>
      </c>
      <c r="B1018" s="15">
        <v>60.46</v>
      </c>
      <c r="C1018" s="4">
        <f t="shared" si="15"/>
        <v>1.0360962566844876E-2</v>
      </c>
      <c r="D1018" s="4"/>
    </row>
    <row r="1019" spans="1:4">
      <c r="A1019" s="1">
        <v>43102</v>
      </c>
      <c r="B1019" s="15">
        <v>60.37</v>
      </c>
      <c r="C1019" s="4">
        <f t="shared" si="15"/>
        <v>-1.4885874958650912E-3</v>
      </c>
      <c r="D1019" s="4"/>
    </row>
    <row r="1020" spans="1:4">
      <c r="A1020" s="1">
        <v>43103</v>
      </c>
      <c r="B1020" s="15">
        <v>61.61</v>
      </c>
      <c r="C1020" s="4">
        <f t="shared" si="15"/>
        <v>2.0540003312903794E-2</v>
      </c>
      <c r="D1020" s="4"/>
    </row>
    <row r="1021" spans="1:4">
      <c r="A1021" s="1">
        <v>43104</v>
      </c>
      <c r="B1021" s="15">
        <v>61.98</v>
      </c>
      <c r="C1021" s="4">
        <f t="shared" si="15"/>
        <v>6.0055185846453083E-3</v>
      </c>
      <c r="D1021" s="4"/>
    </row>
    <row r="1022" spans="1:4">
      <c r="A1022" s="1">
        <v>43105</v>
      </c>
      <c r="B1022" s="15">
        <v>61.49</v>
      </c>
      <c r="C1022" s="4">
        <f t="shared" si="15"/>
        <v>-7.9057760567924316E-3</v>
      </c>
      <c r="D1022" s="4"/>
    </row>
    <row r="1023" spans="1:4">
      <c r="A1023" s="1">
        <v>43108</v>
      </c>
      <c r="B1023" s="15">
        <v>61.73</v>
      </c>
      <c r="C1023" s="4">
        <f t="shared" si="15"/>
        <v>3.9030736705154478E-3</v>
      </c>
      <c r="D1023" s="4"/>
    </row>
    <row r="1024" spans="1:4">
      <c r="A1024" s="1">
        <v>43109</v>
      </c>
      <c r="B1024" s="15">
        <v>62.92</v>
      </c>
      <c r="C1024" s="4">
        <f t="shared" si="15"/>
        <v>1.9277498785031669E-2</v>
      </c>
      <c r="D1024" s="4"/>
    </row>
    <row r="1025" spans="1:4">
      <c r="A1025" s="1">
        <v>43110</v>
      </c>
      <c r="B1025" s="15">
        <v>63.6</v>
      </c>
      <c r="C1025" s="4">
        <f t="shared" si="15"/>
        <v>1.0807374443738076E-2</v>
      </c>
      <c r="D1025" s="4"/>
    </row>
    <row r="1026" spans="1:4">
      <c r="A1026" s="1">
        <v>43111</v>
      </c>
      <c r="B1026" s="15">
        <v>63.81</v>
      </c>
      <c r="C1026" s="4">
        <f t="shared" si="15"/>
        <v>3.3018867924528433E-3</v>
      </c>
      <c r="D1026" s="4"/>
    </row>
    <row r="1027" spans="1:4">
      <c r="A1027" s="1">
        <v>43112</v>
      </c>
      <c r="B1027" s="15">
        <v>64.22</v>
      </c>
      <c r="C1027" s="4">
        <f t="shared" ref="C1027:C1090" si="16">(B1027-B1026)/B1026</f>
        <v>6.4253251841403635E-3</v>
      </c>
      <c r="D1027" s="4"/>
    </row>
    <row r="1028" spans="1:4">
      <c r="A1028" s="1">
        <v>43116</v>
      </c>
      <c r="B1028" s="15">
        <v>63.82</v>
      </c>
      <c r="C1028" s="4">
        <f t="shared" si="16"/>
        <v>-6.2285892245406193E-3</v>
      </c>
      <c r="D1028" s="4"/>
    </row>
    <row r="1029" spans="1:4">
      <c r="A1029" s="1">
        <v>43117</v>
      </c>
      <c r="B1029" s="15">
        <v>63.92</v>
      </c>
      <c r="C1029" s="4">
        <f t="shared" si="16"/>
        <v>1.566906925728634E-3</v>
      </c>
      <c r="D1029" s="4"/>
    </row>
    <row r="1030" spans="1:4">
      <c r="A1030" s="1">
        <v>43118</v>
      </c>
      <c r="B1030" s="15">
        <v>63.96</v>
      </c>
      <c r="C1030" s="4">
        <f t="shared" si="16"/>
        <v>6.2578222778471759E-4</v>
      </c>
      <c r="D1030" s="4"/>
    </row>
    <row r="1031" spans="1:4">
      <c r="A1031" s="1">
        <v>43119</v>
      </c>
      <c r="B1031" s="15">
        <v>63.38</v>
      </c>
      <c r="C1031" s="4">
        <f t="shared" si="16"/>
        <v>-9.0681676047529441E-3</v>
      </c>
      <c r="D1031" s="4"/>
    </row>
    <row r="1032" spans="1:4">
      <c r="A1032" s="1">
        <v>43122</v>
      </c>
      <c r="B1032" s="15">
        <v>63.66</v>
      </c>
      <c r="C1032" s="4">
        <f t="shared" si="16"/>
        <v>4.4177974124328494E-3</v>
      </c>
      <c r="D1032" s="4"/>
    </row>
    <row r="1033" spans="1:4">
      <c r="A1033" s="1">
        <v>43123</v>
      </c>
      <c r="B1033" s="15">
        <v>64.45</v>
      </c>
      <c r="C1033" s="4">
        <f t="shared" si="16"/>
        <v>1.2409676405906477E-2</v>
      </c>
      <c r="D1033" s="4"/>
    </row>
    <row r="1034" spans="1:4">
      <c r="A1034" s="1">
        <v>43124</v>
      </c>
      <c r="B1034" s="15">
        <v>65.69</v>
      </c>
      <c r="C1034" s="4">
        <f t="shared" si="16"/>
        <v>1.9239720713731496E-2</v>
      </c>
      <c r="D1034" s="4"/>
    </row>
    <row r="1035" spans="1:4">
      <c r="A1035" s="1">
        <v>43125</v>
      </c>
      <c r="B1035" s="15">
        <v>65.62</v>
      </c>
      <c r="C1035" s="4">
        <f t="shared" si="16"/>
        <v>-1.0656112041405568E-3</v>
      </c>
      <c r="D1035" s="4"/>
    </row>
    <row r="1036" spans="1:4">
      <c r="A1036" s="1">
        <v>43126</v>
      </c>
      <c r="B1036" s="15">
        <v>66.27</v>
      </c>
      <c r="C1036" s="4">
        <f t="shared" si="16"/>
        <v>9.9055166107892625E-3</v>
      </c>
      <c r="D1036" s="4"/>
    </row>
    <row r="1037" spans="1:4">
      <c r="A1037" s="1">
        <v>43129</v>
      </c>
      <c r="B1037" s="15">
        <v>65.709999999999994</v>
      </c>
      <c r="C1037" s="4">
        <f t="shared" si="16"/>
        <v>-8.4502791610080331E-3</v>
      </c>
      <c r="D1037" s="4"/>
    </row>
    <row r="1038" spans="1:4">
      <c r="A1038" s="1">
        <v>43130</v>
      </c>
      <c r="B1038" s="15">
        <v>64.64</v>
      </c>
      <c r="C1038" s="4">
        <f t="shared" si="16"/>
        <v>-1.62836706741743E-2</v>
      </c>
      <c r="D1038" s="4"/>
    </row>
    <row r="1039" spans="1:4">
      <c r="A1039" s="1">
        <v>43131</v>
      </c>
      <c r="B1039" s="15">
        <v>64.819999999999993</v>
      </c>
      <c r="C1039" s="4">
        <f t="shared" si="16"/>
        <v>2.7846534653464205E-3</v>
      </c>
      <c r="D1039" s="4"/>
    </row>
    <row r="1040" spans="1:4">
      <c r="A1040" s="1">
        <v>43132</v>
      </c>
      <c r="B1040" s="15">
        <v>65.92</v>
      </c>
      <c r="C1040" s="4">
        <f t="shared" si="16"/>
        <v>1.6970070965751444E-2</v>
      </c>
      <c r="D1040" s="4"/>
    </row>
    <row r="1041" spans="1:4">
      <c r="A1041" s="1">
        <v>43133</v>
      </c>
      <c r="B1041" s="15">
        <v>65.5</v>
      </c>
      <c r="C1041" s="4">
        <f t="shared" si="16"/>
        <v>-6.3713592233009967E-3</v>
      </c>
      <c r="D1041" s="4"/>
    </row>
    <row r="1042" spans="1:4">
      <c r="A1042" s="1">
        <v>43136</v>
      </c>
      <c r="B1042" s="15">
        <v>64.180000000000007</v>
      </c>
      <c r="C1042" s="4">
        <f t="shared" si="16"/>
        <v>-2.0152671755725087E-2</v>
      </c>
      <c r="D1042" s="4"/>
    </row>
    <row r="1043" spans="1:4">
      <c r="A1043" s="1">
        <v>43137</v>
      </c>
      <c r="B1043" s="15">
        <v>63.48</v>
      </c>
      <c r="C1043" s="4">
        <f t="shared" si="16"/>
        <v>-1.0906824555936582E-2</v>
      </c>
      <c r="D1043" s="4"/>
    </row>
    <row r="1044" spans="1:4">
      <c r="A1044" s="1">
        <v>43138</v>
      </c>
      <c r="B1044" s="15">
        <v>61.91</v>
      </c>
      <c r="C1044" s="4">
        <f t="shared" si="16"/>
        <v>-2.4732199117832393E-2</v>
      </c>
      <c r="D1044" s="4"/>
    </row>
    <row r="1045" spans="1:4">
      <c r="A1045" s="1">
        <v>43139</v>
      </c>
      <c r="B1045" s="15">
        <v>61.3</v>
      </c>
      <c r="C1045" s="4">
        <f t="shared" si="16"/>
        <v>-9.8530124374091345E-3</v>
      </c>
      <c r="D1045" s="4"/>
    </row>
    <row r="1046" spans="1:4">
      <c r="A1046" s="1">
        <v>43140</v>
      </c>
      <c r="B1046" s="15">
        <v>59.2</v>
      </c>
      <c r="C1046" s="4">
        <f t="shared" si="16"/>
        <v>-3.4257748776508883E-2</v>
      </c>
      <c r="D1046" s="4"/>
    </row>
    <row r="1047" spans="1:4">
      <c r="A1047" s="1">
        <v>43143</v>
      </c>
      <c r="B1047" s="15">
        <v>59.41</v>
      </c>
      <c r="C1047" s="4">
        <f t="shared" si="16"/>
        <v>3.5472972972971917E-3</v>
      </c>
      <c r="D1047" s="4"/>
    </row>
    <row r="1048" spans="1:4">
      <c r="A1048" s="1">
        <v>43144</v>
      </c>
      <c r="B1048" s="15">
        <v>59.33</v>
      </c>
      <c r="C1048" s="4">
        <f t="shared" si="16"/>
        <v>-1.3465746507321714E-3</v>
      </c>
      <c r="D1048" s="4"/>
    </row>
    <row r="1049" spans="1:4">
      <c r="A1049" s="1">
        <v>43145</v>
      </c>
      <c r="B1049" s="15">
        <v>60.7</v>
      </c>
      <c r="C1049" s="4">
        <f t="shared" si="16"/>
        <v>2.3091184898028055E-2</v>
      </c>
      <c r="D1049" s="4"/>
    </row>
    <row r="1050" spans="1:4">
      <c r="A1050" s="1">
        <v>43146</v>
      </c>
      <c r="B1050" s="15">
        <v>61.48</v>
      </c>
      <c r="C1050" s="4">
        <f t="shared" si="16"/>
        <v>1.28500823723228E-2</v>
      </c>
      <c r="D1050" s="4"/>
    </row>
    <row r="1051" spans="1:4">
      <c r="A1051" s="1">
        <v>43147</v>
      </c>
      <c r="B1051" s="15">
        <v>61.89</v>
      </c>
      <c r="C1051" s="4">
        <f t="shared" si="16"/>
        <v>6.6688353936240029E-3</v>
      </c>
      <c r="D1051" s="4"/>
    </row>
    <row r="1052" spans="1:4">
      <c r="A1052" s="1">
        <v>43151</v>
      </c>
      <c r="B1052" s="15">
        <v>61.91</v>
      </c>
      <c r="C1052" s="4">
        <f t="shared" si="16"/>
        <v>3.2315398287277461E-4</v>
      </c>
      <c r="D1052" s="4"/>
    </row>
    <row r="1053" spans="1:4">
      <c r="A1053" s="1">
        <v>43152</v>
      </c>
      <c r="B1053" s="15">
        <v>61.73</v>
      </c>
      <c r="C1053" s="4">
        <f t="shared" si="16"/>
        <v>-2.9074462930059721E-3</v>
      </c>
      <c r="D1053" s="4"/>
    </row>
    <row r="1054" spans="1:4">
      <c r="A1054" s="1">
        <v>43153</v>
      </c>
      <c r="B1054" s="15">
        <v>62.72</v>
      </c>
      <c r="C1054" s="4">
        <f t="shared" si="16"/>
        <v>1.6037583022841438E-2</v>
      </c>
      <c r="D1054" s="4"/>
    </row>
    <row r="1055" spans="1:4">
      <c r="A1055" s="1">
        <v>43154</v>
      </c>
      <c r="B1055" s="15">
        <v>63.52</v>
      </c>
      <c r="C1055" s="4">
        <f t="shared" si="16"/>
        <v>1.2755102040816394E-2</v>
      </c>
      <c r="D1055" s="4"/>
    </row>
    <row r="1056" spans="1:4">
      <c r="A1056" s="1">
        <v>43157</v>
      </c>
      <c r="B1056" s="15">
        <v>63.81</v>
      </c>
      <c r="C1056" s="4">
        <f t="shared" si="16"/>
        <v>4.5654911838790791E-3</v>
      </c>
      <c r="D1056" s="4"/>
    </row>
    <row r="1057" spans="1:4">
      <c r="A1057" s="1">
        <v>43158</v>
      </c>
      <c r="B1057" s="15">
        <v>62.94</v>
      </c>
      <c r="C1057" s="4">
        <f t="shared" si="16"/>
        <v>-1.3634226610249248E-2</v>
      </c>
      <c r="D1057" s="4"/>
    </row>
    <row r="1058" spans="1:4">
      <c r="A1058" s="1">
        <v>43159</v>
      </c>
      <c r="B1058" s="15">
        <v>61.43</v>
      </c>
      <c r="C1058" s="4">
        <f t="shared" si="16"/>
        <v>-2.3991102637432444E-2</v>
      </c>
      <c r="D1058" s="4"/>
    </row>
    <row r="1059" spans="1:4">
      <c r="A1059" s="1">
        <v>43160</v>
      </c>
      <c r="B1059" s="15">
        <v>60.98</v>
      </c>
      <c r="C1059" s="4">
        <f t="shared" si="16"/>
        <v>-7.3254110369526757E-3</v>
      </c>
      <c r="D1059" s="4"/>
    </row>
    <row r="1060" spans="1:4">
      <c r="A1060" s="1">
        <v>43161</v>
      </c>
      <c r="B1060" s="15">
        <v>61.19</v>
      </c>
      <c r="C1060" s="4">
        <f t="shared" si="16"/>
        <v>3.4437520498524247E-3</v>
      </c>
      <c r="D1060" s="4"/>
    </row>
    <row r="1061" spans="1:4">
      <c r="A1061" s="1">
        <v>43164</v>
      </c>
      <c r="B1061" s="15">
        <v>62.49</v>
      </c>
      <c r="C1061" s="4">
        <f t="shared" si="16"/>
        <v>2.1245301519856256E-2</v>
      </c>
      <c r="D1061" s="4"/>
    </row>
    <row r="1062" spans="1:4">
      <c r="A1062" s="1">
        <v>43165</v>
      </c>
      <c r="B1062" s="15">
        <v>62.54</v>
      </c>
      <c r="C1062" s="4">
        <f t="shared" si="16"/>
        <v>8.0012802048323186E-4</v>
      </c>
      <c r="D1062" s="4"/>
    </row>
    <row r="1063" spans="1:4">
      <c r="A1063" s="1">
        <v>43166</v>
      </c>
      <c r="B1063" s="15">
        <v>61.09</v>
      </c>
      <c r="C1063" s="4">
        <f t="shared" si="16"/>
        <v>-2.3185161496642081E-2</v>
      </c>
      <c r="D1063" s="4"/>
    </row>
    <row r="1064" spans="1:4">
      <c r="A1064" s="1">
        <v>43167</v>
      </c>
      <c r="B1064" s="15">
        <v>60.13</v>
      </c>
      <c r="C1064" s="4">
        <f t="shared" si="16"/>
        <v>-1.5714519561303007E-2</v>
      </c>
      <c r="D1064" s="4"/>
    </row>
    <row r="1065" spans="1:4">
      <c r="A1065" s="1">
        <v>43168</v>
      </c>
      <c r="B1065" s="15">
        <v>62.02</v>
      </c>
      <c r="C1065" s="4">
        <f t="shared" si="16"/>
        <v>3.1431897555296864E-2</v>
      </c>
      <c r="D1065" s="4"/>
    </row>
    <row r="1066" spans="1:4">
      <c r="A1066" s="1">
        <v>43171</v>
      </c>
      <c r="B1066" s="15">
        <v>61.35</v>
      </c>
      <c r="C1066" s="4">
        <f t="shared" si="16"/>
        <v>-1.0802966784908122E-2</v>
      </c>
      <c r="D1066" s="4"/>
    </row>
    <row r="1067" spans="1:4">
      <c r="A1067" s="1">
        <v>43172</v>
      </c>
      <c r="B1067" s="15">
        <v>60.69</v>
      </c>
      <c r="C1067" s="4">
        <f t="shared" si="16"/>
        <v>-1.0757946210269008E-2</v>
      </c>
      <c r="D1067" s="4"/>
    </row>
    <row r="1068" spans="1:4">
      <c r="A1068" s="1">
        <v>43173</v>
      </c>
      <c r="B1068" s="15">
        <v>60.89</v>
      </c>
      <c r="C1068" s="4">
        <f t="shared" si="16"/>
        <v>3.2954358213874253E-3</v>
      </c>
      <c r="D1068" s="4"/>
    </row>
    <row r="1069" spans="1:4">
      <c r="A1069" s="1">
        <v>43174</v>
      </c>
      <c r="B1069" s="15">
        <v>61.16</v>
      </c>
      <c r="C1069" s="4">
        <f t="shared" si="16"/>
        <v>4.4342256528164892E-3</v>
      </c>
      <c r="D1069" s="4"/>
    </row>
    <row r="1070" spans="1:4">
      <c r="A1070" s="1">
        <v>43175</v>
      </c>
      <c r="B1070" s="15">
        <v>62.29</v>
      </c>
      <c r="C1070" s="4">
        <f t="shared" si="16"/>
        <v>1.8476128188358448E-2</v>
      </c>
      <c r="D1070" s="4"/>
    </row>
    <row r="1071" spans="1:4">
      <c r="A1071" s="1">
        <v>43178</v>
      </c>
      <c r="B1071" s="15">
        <v>62.01</v>
      </c>
      <c r="C1071" s="4">
        <f t="shared" si="16"/>
        <v>-4.4951035479210326E-3</v>
      </c>
      <c r="D1071" s="4"/>
    </row>
    <row r="1072" spans="1:4">
      <c r="A1072" s="1">
        <v>43179</v>
      </c>
      <c r="B1072" s="15">
        <v>63.37</v>
      </c>
      <c r="C1072" s="4">
        <f t="shared" si="16"/>
        <v>2.193194646024834E-2</v>
      </c>
      <c r="D1072" s="4"/>
    </row>
    <row r="1073" spans="1:4">
      <c r="A1073" s="1">
        <v>43180</v>
      </c>
      <c r="B1073" s="15">
        <v>65.099999999999994</v>
      </c>
      <c r="C1073" s="4">
        <f t="shared" si="16"/>
        <v>2.7299984219662253E-2</v>
      </c>
      <c r="D1073" s="4"/>
    </row>
    <row r="1074" spans="1:4">
      <c r="A1074" s="1">
        <v>43181</v>
      </c>
      <c r="B1074" s="15">
        <v>64.25</v>
      </c>
      <c r="C1074" s="4">
        <f t="shared" si="16"/>
        <v>-1.3056835637480713E-2</v>
      </c>
      <c r="D1074" s="4"/>
    </row>
    <row r="1075" spans="1:4">
      <c r="A1075" s="1">
        <v>43182</v>
      </c>
      <c r="B1075" s="15">
        <v>65.8</v>
      </c>
      <c r="C1075" s="4">
        <f t="shared" si="16"/>
        <v>2.4124513618676999E-2</v>
      </c>
      <c r="D1075" s="4"/>
    </row>
    <row r="1076" spans="1:4">
      <c r="A1076" s="1">
        <v>43185</v>
      </c>
      <c r="B1076" s="15">
        <v>65.489999999999995</v>
      </c>
      <c r="C1076" s="4">
        <f t="shared" si="16"/>
        <v>-4.7112462006079379E-3</v>
      </c>
      <c r="D1076" s="4"/>
    </row>
    <row r="1077" spans="1:4">
      <c r="A1077" s="1">
        <v>43186</v>
      </c>
      <c r="B1077" s="15">
        <v>65.209999999999994</v>
      </c>
      <c r="C1077" s="4">
        <f t="shared" si="16"/>
        <v>-4.2754619025805645E-3</v>
      </c>
      <c r="D1077" s="4"/>
    </row>
    <row r="1078" spans="1:4">
      <c r="A1078" s="1">
        <v>43187</v>
      </c>
      <c r="B1078" s="15">
        <v>64.3</v>
      </c>
      <c r="C1078" s="4">
        <f t="shared" si="16"/>
        <v>-1.3954914890354189E-2</v>
      </c>
      <c r="D1078" s="4"/>
    </row>
    <row r="1079" spans="1:4">
      <c r="A1079" s="1">
        <v>43188</v>
      </c>
      <c r="B1079" s="15">
        <v>64.87</v>
      </c>
      <c r="C1079" s="4">
        <f t="shared" si="16"/>
        <v>8.8646967340592128E-3</v>
      </c>
      <c r="D1079" s="4"/>
    </row>
    <row r="1080" spans="1:4">
      <c r="A1080" s="1">
        <v>43192</v>
      </c>
      <c r="B1080" s="15">
        <v>63.05</v>
      </c>
      <c r="C1080" s="4">
        <f t="shared" si="16"/>
        <v>-2.8056112224449009E-2</v>
      </c>
      <c r="D1080" s="4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4344D-0C52-4DCC-A98F-7DCCA4092E2C}">
  <dimension ref="A1:B1080"/>
  <sheetViews>
    <sheetView topLeftCell="A1063" workbookViewId="0">
      <selection activeCell="A2" sqref="A2:B1080"/>
    </sheetView>
  </sheetViews>
  <sheetFormatPr defaultRowHeight="15"/>
  <cols>
    <col min="1" max="1" width="10.7109375" style="1" bestFit="1" customWidth="1"/>
    <col min="2" max="2" width="9.140625" style="15"/>
  </cols>
  <sheetData>
    <row r="1" spans="1:2">
      <c r="A1" s="1" t="s">
        <v>0</v>
      </c>
      <c r="B1" s="15" t="s">
        <v>1</v>
      </c>
    </row>
    <row r="2" spans="1:2">
      <c r="A2" s="1">
        <v>41641</v>
      </c>
      <c r="B2" s="15">
        <v>95.14</v>
      </c>
    </row>
    <row r="3" spans="1:2">
      <c r="A3" s="1">
        <v>41642</v>
      </c>
      <c r="B3" s="15">
        <v>93.66</v>
      </c>
    </row>
    <row r="4" spans="1:2">
      <c r="A4" s="1">
        <v>41645</v>
      </c>
      <c r="B4" s="15">
        <v>93.12</v>
      </c>
    </row>
    <row r="5" spans="1:2">
      <c r="A5" s="1">
        <v>41646</v>
      </c>
      <c r="B5" s="15">
        <v>93.31</v>
      </c>
    </row>
    <row r="6" spans="1:2">
      <c r="A6" s="1">
        <v>41647</v>
      </c>
      <c r="B6" s="15">
        <v>91.9</v>
      </c>
    </row>
    <row r="7" spans="1:2">
      <c r="A7" s="1">
        <v>41648</v>
      </c>
      <c r="B7" s="15">
        <v>91.36</v>
      </c>
    </row>
    <row r="8" spans="1:2">
      <c r="A8" s="1">
        <v>41649</v>
      </c>
      <c r="B8" s="15">
        <v>92.39</v>
      </c>
    </row>
    <row r="9" spans="1:2">
      <c r="A9" s="1">
        <v>41652</v>
      </c>
      <c r="B9" s="15">
        <v>91.45</v>
      </c>
    </row>
    <row r="10" spans="1:2">
      <c r="A10" s="1">
        <v>41653</v>
      </c>
      <c r="B10" s="15">
        <v>92.15</v>
      </c>
    </row>
    <row r="11" spans="1:2">
      <c r="A11" s="1">
        <v>41654</v>
      </c>
      <c r="B11" s="15">
        <v>93.78</v>
      </c>
    </row>
    <row r="12" spans="1:2">
      <c r="A12" s="1">
        <v>41655</v>
      </c>
      <c r="B12" s="15">
        <v>93.54</v>
      </c>
    </row>
    <row r="13" spans="1:2">
      <c r="A13" s="1">
        <v>41656</v>
      </c>
      <c r="B13" s="15">
        <v>93.96</v>
      </c>
    </row>
    <row r="14" spans="1:2">
      <c r="A14" s="1">
        <v>41660</v>
      </c>
      <c r="B14" s="15">
        <v>94.51</v>
      </c>
    </row>
    <row r="15" spans="1:2">
      <c r="A15" s="1">
        <v>41661</v>
      </c>
      <c r="B15" s="15">
        <v>96.35</v>
      </c>
    </row>
    <row r="16" spans="1:2">
      <c r="A16" s="1">
        <v>41662</v>
      </c>
      <c r="B16" s="15">
        <v>97.23</v>
      </c>
    </row>
    <row r="17" spans="1:2">
      <c r="A17" s="1">
        <v>41663</v>
      </c>
      <c r="B17" s="15">
        <v>96.66</v>
      </c>
    </row>
    <row r="18" spans="1:2">
      <c r="A18" s="1">
        <v>41666</v>
      </c>
      <c r="B18" s="15">
        <v>95.82</v>
      </c>
    </row>
    <row r="19" spans="1:2">
      <c r="A19" s="1">
        <v>41667</v>
      </c>
      <c r="B19" s="15">
        <v>97.49</v>
      </c>
    </row>
    <row r="20" spans="1:2">
      <c r="A20" s="1">
        <v>41668</v>
      </c>
      <c r="B20" s="15">
        <v>97.34</v>
      </c>
    </row>
    <row r="21" spans="1:2">
      <c r="A21" s="1">
        <v>41669</v>
      </c>
      <c r="B21" s="15">
        <v>98.25</v>
      </c>
    </row>
    <row r="22" spans="1:2">
      <c r="A22" s="1">
        <v>41670</v>
      </c>
      <c r="B22" s="15">
        <v>97.55</v>
      </c>
    </row>
    <row r="23" spans="1:2">
      <c r="A23" s="1">
        <v>41673</v>
      </c>
      <c r="B23" s="15">
        <v>96.44</v>
      </c>
    </row>
    <row r="24" spans="1:2">
      <c r="A24" s="1">
        <v>41674</v>
      </c>
      <c r="B24" s="15">
        <v>97.24</v>
      </c>
    </row>
    <row r="25" spans="1:2">
      <c r="A25" s="1">
        <v>41675</v>
      </c>
      <c r="B25" s="15">
        <v>97.4</v>
      </c>
    </row>
    <row r="26" spans="1:2">
      <c r="A26" s="1">
        <v>41676</v>
      </c>
      <c r="B26" s="15">
        <v>97.84</v>
      </c>
    </row>
    <row r="27" spans="1:2">
      <c r="A27" s="1">
        <v>41677</v>
      </c>
      <c r="B27" s="15">
        <v>99.98</v>
      </c>
    </row>
    <row r="28" spans="1:2">
      <c r="A28" s="1">
        <v>41680</v>
      </c>
      <c r="B28" s="15">
        <v>100.12</v>
      </c>
    </row>
    <row r="29" spans="1:2">
      <c r="A29" s="1">
        <v>41681</v>
      </c>
      <c r="B29" s="15">
        <v>99.96</v>
      </c>
    </row>
    <row r="30" spans="1:2">
      <c r="A30" s="1">
        <v>41682</v>
      </c>
      <c r="B30" s="15">
        <v>100.38</v>
      </c>
    </row>
    <row r="31" spans="1:2">
      <c r="A31" s="1">
        <v>41683</v>
      </c>
      <c r="B31" s="15">
        <v>100.27</v>
      </c>
    </row>
    <row r="32" spans="1:2">
      <c r="A32" s="1">
        <v>41684</v>
      </c>
      <c r="B32" s="15">
        <v>100.31</v>
      </c>
    </row>
    <row r="33" spans="1:2">
      <c r="A33" s="1">
        <v>41688</v>
      </c>
      <c r="B33" s="15">
        <v>102.54</v>
      </c>
    </row>
    <row r="34" spans="1:2">
      <c r="A34" s="1">
        <v>41689</v>
      </c>
      <c r="B34" s="15">
        <v>103.46</v>
      </c>
    </row>
    <row r="35" spans="1:2">
      <c r="A35" s="1">
        <v>41690</v>
      </c>
      <c r="B35" s="15">
        <v>103.2</v>
      </c>
    </row>
    <row r="36" spans="1:2">
      <c r="A36" s="1">
        <v>41691</v>
      </c>
      <c r="B36" s="15">
        <v>102.53</v>
      </c>
    </row>
    <row r="37" spans="1:2">
      <c r="A37" s="1">
        <v>41694</v>
      </c>
      <c r="B37" s="15">
        <v>103.17</v>
      </c>
    </row>
    <row r="38" spans="1:2">
      <c r="A38" s="1">
        <v>41695</v>
      </c>
      <c r="B38" s="15">
        <v>102.2</v>
      </c>
    </row>
    <row r="39" spans="1:2">
      <c r="A39" s="1">
        <v>41696</v>
      </c>
      <c r="B39" s="15">
        <v>102.93</v>
      </c>
    </row>
    <row r="40" spans="1:2">
      <c r="A40" s="1">
        <v>41697</v>
      </c>
      <c r="B40" s="15">
        <v>102.68</v>
      </c>
    </row>
    <row r="41" spans="1:2">
      <c r="A41" s="1">
        <v>41698</v>
      </c>
      <c r="B41" s="15">
        <v>102.88</v>
      </c>
    </row>
    <row r="42" spans="1:2">
      <c r="A42" s="1">
        <v>41701</v>
      </c>
      <c r="B42" s="15">
        <v>105.34</v>
      </c>
    </row>
    <row r="43" spans="1:2">
      <c r="A43" s="1">
        <v>41702</v>
      </c>
      <c r="B43" s="15">
        <v>103.64</v>
      </c>
    </row>
    <row r="44" spans="1:2">
      <c r="A44" s="1">
        <v>41703</v>
      </c>
      <c r="B44" s="15">
        <v>101.75</v>
      </c>
    </row>
    <row r="45" spans="1:2">
      <c r="A45" s="1">
        <v>41704</v>
      </c>
      <c r="B45" s="15">
        <v>101.82</v>
      </c>
    </row>
    <row r="46" spans="1:2">
      <c r="A46" s="1">
        <v>41705</v>
      </c>
      <c r="B46" s="15">
        <v>102.82</v>
      </c>
    </row>
    <row r="47" spans="1:2">
      <c r="A47" s="1">
        <v>41708</v>
      </c>
      <c r="B47" s="15">
        <v>101.39</v>
      </c>
    </row>
    <row r="48" spans="1:2">
      <c r="A48" s="1">
        <v>41709</v>
      </c>
      <c r="B48" s="15">
        <v>100.29</v>
      </c>
    </row>
    <row r="49" spans="1:2">
      <c r="A49" s="1">
        <v>41710</v>
      </c>
      <c r="B49" s="15">
        <v>98.29</v>
      </c>
    </row>
    <row r="50" spans="1:2">
      <c r="A50" s="1">
        <v>41711</v>
      </c>
      <c r="B50" s="15">
        <v>98.57</v>
      </c>
    </row>
    <row r="51" spans="1:2">
      <c r="A51" s="1">
        <v>41712</v>
      </c>
      <c r="B51" s="15">
        <v>99.23</v>
      </c>
    </row>
    <row r="52" spans="1:2">
      <c r="A52" s="1">
        <v>41715</v>
      </c>
      <c r="B52" s="15">
        <v>98.43</v>
      </c>
    </row>
    <row r="53" spans="1:2">
      <c r="A53" s="1">
        <v>41716</v>
      </c>
      <c r="B53" s="15">
        <v>100.08</v>
      </c>
    </row>
    <row r="54" spans="1:2">
      <c r="A54" s="1">
        <v>41717</v>
      </c>
      <c r="B54" s="15">
        <v>100.71</v>
      </c>
    </row>
    <row r="55" spans="1:2">
      <c r="A55" s="1">
        <v>41718</v>
      </c>
      <c r="B55" s="15">
        <v>99.68</v>
      </c>
    </row>
    <row r="56" spans="1:2">
      <c r="A56" s="1">
        <v>41719</v>
      </c>
      <c r="B56" s="15">
        <v>99.97</v>
      </c>
    </row>
    <row r="57" spans="1:2">
      <c r="A57" s="1">
        <v>41722</v>
      </c>
      <c r="B57" s="15">
        <v>100.05</v>
      </c>
    </row>
    <row r="58" spans="1:2">
      <c r="A58" s="1">
        <v>41723</v>
      </c>
      <c r="B58" s="15">
        <v>99.66</v>
      </c>
    </row>
    <row r="59" spans="1:2">
      <c r="A59" s="1">
        <v>41724</v>
      </c>
      <c r="B59" s="15">
        <v>100.61</v>
      </c>
    </row>
    <row r="60" spans="1:2">
      <c r="A60" s="1">
        <v>41725</v>
      </c>
      <c r="B60" s="15">
        <v>101.25</v>
      </c>
    </row>
    <row r="61" spans="1:2">
      <c r="A61" s="1">
        <v>41726</v>
      </c>
      <c r="B61" s="15">
        <v>101.73</v>
      </c>
    </row>
    <row r="62" spans="1:2">
      <c r="A62" s="1">
        <v>41729</v>
      </c>
      <c r="B62" s="15">
        <v>101.57</v>
      </c>
    </row>
    <row r="63" spans="1:2">
      <c r="A63" s="1">
        <v>41730</v>
      </c>
      <c r="B63" s="15">
        <v>99.69</v>
      </c>
    </row>
    <row r="64" spans="1:2">
      <c r="A64" s="1">
        <v>41731</v>
      </c>
      <c r="B64" s="15">
        <v>99.6</v>
      </c>
    </row>
    <row r="65" spans="1:2">
      <c r="A65" s="1">
        <v>41732</v>
      </c>
      <c r="B65" s="15">
        <v>100.29</v>
      </c>
    </row>
    <row r="66" spans="1:2">
      <c r="A66" s="1">
        <v>41733</v>
      </c>
      <c r="B66" s="15">
        <v>101.16</v>
      </c>
    </row>
    <row r="67" spans="1:2">
      <c r="A67" s="1">
        <v>41736</v>
      </c>
      <c r="B67" s="15">
        <v>100.43</v>
      </c>
    </row>
    <row r="68" spans="1:2">
      <c r="A68" s="1">
        <v>41737</v>
      </c>
      <c r="B68" s="15">
        <v>102.57</v>
      </c>
    </row>
    <row r="69" spans="1:2">
      <c r="A69" s="1">
        <v>41738</v>
      </c>
      <c r="B69" s="15">
        <v>103.55</v>
      </c>
    </row>
    <row r="70" spans="1:2">
      <c r="A70" s="1">
        <v>41739</v>
      </c>
      <c r="B70" s="15">
        <v>103.37</v>
      </c>
    </row>
    <row r="71" spans="1:2">
      <c r="A71" s="1">
        <v>41740</v>
      </c>
      <c r="B71" s="15">
        <v>103.68</v>
      </c>
    </row>
    <row r="72" spans="1:2">
      <c r="A72" s="1">
        <v>41743</v>
      </c>
      <c r="B72" s="15">
        <v>104.05</v>
      </c>
    </row>
    <row r="73" spans="1:2">
      <c r="A73" s="1">
        <v>41744</v>
      </c>
      <c r="B73" s="15">
        <v>103.7</v>
      </c>
    </row>
    <row r="74" spans="1:2">
      <c r="A74" s="1">
        <v>41745</v>
      </c>
      <c r="B74" s="15">
        <v>103.71</v>
      </c>
    </row>
    <row r="75" spans="1:2">
      <c r="A75" s="1">
        <v>41746</v>
      </c>
      <c r="B75" s="15">
        <v>104.33</v>
      </c>
    </row>
    <row r="76" spans="1:2">
      <c r="A76" s="1">
        <v>41750</v>
      </c>
      <c r="B76" s="15">
        <v>104.35</v>
      </c>
    </row>
    <row r="77" spans="1:2">
      <c r="A77" s="1">
        <v>41751</v>
      </c>
      <c r="B77" s="15">
        <v>101.69</v>
      </c>
    </row>
    <row r="78" spans="1:2">
      <c r="A78" s="1">
        <v>41752</v>
      </c>
      <c r="B78" s="15">
        <v>101.47</v>
      </c>
    </row>
    <row r="79" spans="1:2">
      <c r="A79" s="1">
        <v>41753</v>
      </c>
      <c r="B79" s="15">
        <v>102.2</v>
      </c>
    </row>
    <row r="80" spans="1:2">
      <c r="A80" s="1">
        <v>41754</v>
      </c>
      <c r="B80" s="15">
        <v>100.85</v>
      </c>
    </row>
    <row r="81" spans="1:2">
      <c r="A81" s="1">
        <v>41757</v>
      </c>
      <c r="B81" s="15">
        <v>101.13</v>
      </c>
    </row>
    <row r="82" spans="1:2">
      <c r="A82" s="1">
        <v>41758</v>
      </c>
      <c r="B82" s="15">
        <v>101.56</v>
      </c>
    </row>
    <row r="83" spans="1:2">
      <c r="A83" s="1">
        <v>41759</v>
      </c>
      <c r="B83" s="15">
        <v>100.07</v>
      </c>
    </row>
    <row r="84" spans="1:2">
      <c r="A84" s="1">
        <v>41760</v>
      </c>
      <c r="B84" s="15">
        <v>99.69</v>
      </c>
    </row>
    <row r="85" spans="1:2">
      <c r="A85" s="1">
        <v>41761</v>
      </c>
      <c r="B85" s="15">
        <v>100.09</v>
      </c>
    </row>
    <row r="86" spans="1:2">
      <c r="A86" s="1">
        <v>41764</v>
      </c>
      <c r="B86" s="15">
        <v>99.74</v>
      </c>
    </row>
    <row r="87" spans="1:2">
      <c r="A87" s="1">
        <v>41765</v>
      </c>
      <c r="B87" s="15">
        <v>99.81</v>
      </c>
    </row>
    <row r="88" spans="1:2">
      <c r="A88" s="1">
        <v>41766</v>
      </c>
      <c r="B88" s="15">
        <v>101.06</v>
      </c>
    </row>
    <row r="89" spans="1:2">
      <c r="A89" s="1">
        <v>41767</v>
      </c>
      <c r="B89" s="15">
        <v>100.52</v>
      </c>
    </row>
    <row r="90" spans="1:2">
      <c r="A90" s="1">
        <v>41768</v>
      </c>
      <c r="B90" s="15">
        <v>100.32</v>
      </c>
    </row>
    <row r="91" spans="1:2">
      <c r="A91" s="1">
        <v>41771</v>
      </c>
      <c r="B91" s="15">
        <v>100.89</v>
      </c>
    </row>
    <row r="92" spans="1:2">
      <c r="A92" s="1">
        <v>41772</v>
      </c>
      <c r="B92" s="15">
        <v>102.01</v>
      </c>
    </row>
    <row r="93" spans="1:2">
      <c r="A93" s="1">
        <v>41773</v>
      </c>
      <c r="B93" s="15">
        <v>102.63</v>
      </c>
    </row>
    <row r="94" spans="1:2">
      <c r="A94" s="1">
        <v>41774</v>
      </c>
      <c r="B94" s="15">
        <v>101.74</v>
      </c>
    </row>
    <row r="95" spans="1:2">
      <c r="A95" s="1">
        <v>41775</v>
      </c>
      <c r="B95" s="15">
        <v>102.31</v>
      </c>
    </row>
    <row r="96" spans="1:2">
      <c r="A96" s="1">
        <v>41778</v>
      </c>
      <c r="B96" s="15">
        <v>102.95</v>
      </c>
    </row>
    <row r="97" spans="1:2">
      <c r="A97" s="1">
        <v>41779</v>
      </c>
      <c r="B97" s="15">
        <v>102.8</v>
      </c>
    </row>
    <row r="98" spans="1:2">
      <c r="A98" s="1">
        <v>41780</v>
      </c>
      <c r="B98" s="15">
        <v>104.31</v>
      </c>
    </row>
    <row r="99" spans="1:2">
      <c r="A99" s="1">
        <v>41781</v>
      </c>
      <c r="B99" s="15">
        <v>104.03</v>
      </c>
    </row>
    <row r="100" spans="1:2">
      <c r="A100" s="1">
        <v>41782</v>
      </c>
      <c r="B100" s="15">
        <v>105.01</v>
      </c>
    </row>
    <row r="101" spans="1:2">
      <c r="A101" s="1">
        <v>41786</v>
      </c>
      <c r="B101" s="15">
        <v>104.78</v>
      </c>
    </row>
    <row r="102" spans="1:2">
      <c r="A102" s="1">
        <v>41787</v>
      </c>
      <c r="B102" s="15">
        <v>103.37</v>
      </c>
    </row>
    <row r="103" spans="1:2">
      <c r="A103" s="1">
        <v>41788</v>
      </c>
      <c r="B103" s="15">
        <v>104.26</v>
      </c>
    </row>
    <row r="104" spans="1:2">
      <c r="A104" s="1">
        <v>41789</v>
      </c>
      <c r="B104" s="15">
        <v>103.4</v>
      </c>
    </row>
    <row r="105" spans="1:2">
      <c r="A105" s="1">
        <v>41792</v>
      </c>
      <c r="B105" s="15">
        <v>103.07</v>
      </c>
    </row>
    <row r="106" spans="1:2">
      <c r="A106" s="1">
        <v>41793</v>
      </c>
      <c r="B106" s="15">
        <v>103.34</v>
      </c>
    </row>
    <row r="107" spans="1:2">
      <c r="A107" s="1">
        <v>41794</v>
      </c>
      <c r="B107" s="15">
        <v>103.27</v>
      </c>
    </row>
    <row r="108" spans="1:2">
      <c r="A108" s="1">
        <v>41795</v>
      </c>
      <c r="B108" s="15">
        <v>103.17</v>
      </c>
    </row>
    <row r="109" spans="1:2">
      <c r="A109" s="1">
        <v>41796</v>
      </c>
      <c r="B109" s="15">
        <v>103.32</v>
      </c>
    </row>
    <row r="110" spans="1:2">
      <c r="A110" s="1">
        <v>41799</v>
      </c>
      <c r="B110" s="15">
        <v>105.09</v>
      </c>
    </row>
    <row r="111" spans="1:2">
      <c r="A111" s="1">
        <v>41800</v>
      </c>
      <c r="B111" s="15">
        <v>105.02</v>
      </c>
    </row>
    <row r="112" spans="1:2">
      <c r="A112" s="1">
        <v>41801</v>
      </c>
      <c r="B112" s="15">
        <v>105.04</v>
      </c>
    </row>
    <row r="113" spans="1:2">
      <c r="A113" s="1">
        <v>41802</v>
      </c>
      <c r="B113" s="15">
        <v>107.2</v>
      </c>
    </row>
    <row r="114" spans="1:2">
      <c r="A114" s="1">
        <v>41803</v>
      </c>
      <c r="B114" s="15">
        <v>107.49</v>
      </c>
    </row>
    <row r="115" spans="1:2">
      <c r="A115" s="1">
        <v>41806</v>
      </c>
      <c r="B115" s="15">
        <v>107.52</v>
      </c>
    </row>
    <row r="116" spans="1:2">
      <c r="A116" s="1">
        <v>41807</v>
      </c>
      <c r="B116" s="15">
        <v>106.95</v>
      </c>
    </row>
    <row r="117" spans="1:2">
      <c r="A117" s="1">
        <v>41808</v>
      </c>
      <c r="B117" s="15">
        <v>106.64</v>
      </c>
    </row>
    <row r="118" spans="1:2">
      <c r="A118" s="1">
        <v>41809</v>
      </c>
      <c r="B118" s="15">
        <v>107.08</v>
      </c>
    </row>
    <row r="119" spans="1:2">
      <c r="A119" s="1">
        <v>41810</v>
      </c>
      <c r="B119" s="15">
        <v>107.95</v>
      </c>
    </row>
    <row r="120" spans="1:2">
      <c r="A120" s="1">
        <v>41813</v>
      </c>
      <c r="B120" s="15">
        <v>106.83</v>
      </c>
    </row>
    <row r="121" spans="1:2">
      <c r="A121" s="1">
        <v>41814</v>
      </c>
      <c r="B121" s="15">
        <v>106.64</v>
      </c>
    </row>
    <row r="122" spans="1:2">
      <c r="A122" s="1">
        <v>41815</v>
      </c>
      <c r="B122" s="15">
        <v>107.04</v>
      </c>
    </row>
    <row r="123" spans="1:2">
      <c r="A123" s="1">
        <v>41816</v>
      </c>
      <c r="B123" s="15">
        <v>106.49</v>
      </c>
    </row>
    <row r="124" spans="1:2">
      <c r="A124" s="1">
        <v>41817</v>
      </c>
      <c r="B124" s="15">
        <v>106.46</v>
      </c>
    </row>
    <row r="125" spans="1:2">
      <c r="A125" s="1">
        <v>41820</v>
      </c>
      <c r="B125" s="15">
        <v>106.07</v>
      </c>
    </row>
    <row r="126" spans="1:2">
      <c r="A126" s="1">
        <v>41821</v>
      </c>
      <c r="B126" s="15">
        <v>106.06</v>
      </c>
    </row>
    <row r="127" spans="1:2">
      <c r="A127" s="1">
        <v>41822</v>
      </c>
      <c r="B127" s="15">
        <v>105.18</v>
      </c>
    </row>
    <row r="128" spans="1:2">
      <c r="A128" s="1">
        <v>41823</v>
      </c>
      <c r="B128" s="15">
        <v>104.76</v>
      </c>
    </row>
    <row r="129" spans="1:2">
      <c r="A129" s="1">
        <v>41827</v>
      </c>
      <c r="B129" s="15">
        <v>104.19</v>
      </c>
    </row>
    <row r="130" spans="1:2">
      <c r="A130" s="1">
        <v>41828</v>
      </c>
      <c r="B130" s="15">
        <v>104.06</v>
      </c>
    </row>
    <row r="131" spans="1:2">
      <c r="A131" s="1">
        <v>41829</v>
      </c>
      <c r="B131" s="15">
        <v>102.93</v>
      </c>
    </row>
    <row r="132" spans="1:2">
      <c r="A132" s="1">
        <v>41830</v>
      </c>
      <c r="B132" s="15">
        <v>103.61</v>
      </c>
    </row>
    <row r="133" spans="1:2">
      <c r="A133" s="1">
        <v>41831</v>
      </c>
      <c r="B133" s="15">
        <v>101.48</v>
      </c>
    </row>
    <row r="134" spans="1:2">
      <c r="A134" s="1">
        <v>41834</v>
      </c>
      <c r="B134" s="15">
        <v>101.73</v>
      </c>
    </row>
    <row r="135" spans="1:2">
      <c r="A135" s="1">
        <v>41835</v>
      </c>
      <c r="B135" s="15">
        <v>100.56</v>
      </c>
    </row>
    <row r="136" spans="1:2">
      <c r="A136" s="1">
        <v>41836</v>
      </c>
      <c r="B136" s="15">
        <v>101.88</v>
      </c>
    </row>
    <row r="137" spans="1:2">
      <c r="A137" s="1">
        <v>41837</v>
      </c>
      <c r="B137" s="15">
        <v>103.84</v>
      </c>
    </row>
    <row r="138" spans="1:2">
      <c r="A138" s="1">
        <v>41838</v>
      </c>
      <c r="B138" s="15">
        <v>103.83</v>
      </c>
    </row>
    <row r="139" spans="1:2">
      <c r="A139" s="1">
        <v>41841</v>
      </c>
      <c r="B139" s="15">
        <v>105.34</v>
      </c>
    </row>
    <row r="140" spans="1:2">
      <c r="A140" s="1">
        <v>41842</v>
      </c>
      <c r="B140" s="15">
        <v>104.59</v>
      </c>
    </row>
    <row r="141" spans="1:2">
      <c r="A141" s="1">
        <v>41843</v>
      </c>
      <c r="B141" s="15">
        <v>103.81</v>
      </c>
    </row>
    <row r="142" spans="1:2">
      <c r="A142" s="1">
        <v>41844</v>
      </c>
      <c r="B142" s="15">
        <v>102.76</v>
      </c>
    </row>
    <row r="143" spans="1:2">
      <c r="A143" s="1">
        <v>41845</v>
      </c>
      <c r="B143" s="15">
        <v>105.23</v>
      </c>
    </row>
    <row r="144" spans="1:2">
      <c r="A144" s="1">
        <v>41848</v>
      </c>
      <c r="B144" s="15">
        <v>105.68</v>
      </c>
    </row>
    <row r="145" spans="1:2">
      <c r="A145" s="1">
        <v>41849</v>
      </c>
      <c r="B145" s="15">
        <v>104.91</v>
      </c>
    </row>
    <row r="146" spans="1:2">
      <c r="A146" s="1">
        <v>41850</v>
      </c>
      <c r="B146" s="15">
        <v>104.29</v>
      </c>
    </row>
    <row r="147" spans="1:2">
      <c r="A147" s="1">
        <v>41851</v>
      </c>
      <c r="B147" s="15">
        <v>98.23</v>
      </c>
    </row>
    <row r="148" spans="1:2">
      <c r="A148" s="1">
        <v>41852</v>
      </c>
      <c r="B148" s="15">
        <v>97.86</v>
      </c>
    </row>
    <row r="149" spans="1:2">
      <c r="A149" s="1">
        <v>41855</v>
      </c>
      <c r="B149" s="15">
        <v>98.26</v>
      </c>
    </row>
    <row r="150" spans="1:2">
      <c r="A150" s="1">
        <v>41856</v>
      </c>
      <c r="B150" s="15">
        <v>97.34</v>
      </c>
    </row>
    <row r="151" spans="1:2">
      <c r="A151" s="1">
        <v>41857</v>
      </c>
      <c r="B151" s="15">
        <v>96.93</v>
      </c>
    </row>
    <row r="152" spans="1:2">
      <c r="A152" s="1">
        <v>41858</v>
      </c>
      <c r="B152" s="15">
        <v>97.34</v>
      </c>
    </row>
    <row r="153" spans="1:2">
      <c r="A153" s="1">
        <v>41859</v>
      </c>
      <c r="B153" s="15">
        <v>97.61</v>
      </c>
    </row>
    <row r="154" spans="1:2">
      <c r="A154" s="1">
        <v>41862</v>
      </c>
      <c r="B154" s="15">
        <v>98.09</v>
      </c>
    </row>
    <row r="155" spans="1:2">
      <c r="A155" s="1">
        <v>41863</v>
      </c>
      <c r="B155" s="15">
        <v>97.36</v>
      </c>
    </row>
    <row r="156" spans="1:2">
      <c r="A156" s="1">
        <v>41864</v>
      </c>
      <c r="B156" s="15">
        <v>97.57</v>
      </c>
    </row>
    <row r="157" spans="1:2">
      <c r="A157" s="1">
        <v>41865</v>
      </c>
      <c r="B157" s="15">
        <v>95.54</v>
      </c>
    </row>
    <row r="158" spans="1:2">
      <c r="A158" s="1">
        <v>41866</v>
      </c>
      <c r="B158" s="15">
        <v>97.3</v>
      </c>
    </row>
    <row r="159" spans="1:2">
      <c r="A159" s="1">
        <v>41869</v>
      </c>
      <c r="B159" s="15">
        <v>96.44</v>
      </c>
    </row>
    <row r="160" spans="1:2">
      <c r="A160" s="1">
        <v>41870</v>
      </c>
      <c r="B160" s="15">
        <v>94.35</v>
      </c>
    </row>
    <row r="161" spans="1:2">
      <c r="A161" s="1">
        <v>41871</v>
      </c>
      <c r="B161" s="15">
        <v>96.4</v>
      </c>
    </row>
    <row r="162" spans="1:2">
      <c r="A162" s="1">
        <v>41872</v>
      </c>
      <c r="B162" s="15">
        <v>93.97</v>
      </c>
    </row>
    <row r="163" spans="1:2">
      <c r="A163" s="1">
        <v>41873</v>
      </c>
      <c r="B163" s="15">
        <v>93.61</v>
      </c>
    </row>
    <row r="164" spans="1:2">
      <c r="A164" s="1">
        <v>41876</v>
      </c>
      <c r="B164" s="15">
        <v>95.39</v>
      </c>
    </row>
    <row r="165" spans="1:2">
      <c r="A165" s="1">
        <v>41877</v>
      </c>
      <c r="B165" s="15">
        <v>95.78</v>
      </c>
    </row>
    <row r="166" spans="1:2">
      <c r="A166" s="1">
        <v>41878</v>
      </c>
      <c r="B166" s="15">
        <v>95.82</v>
      </c>
    </row>
    <row r="167" spans="1:2">
      <c r="A167" s="1">
        <v>41879</v>
      </c>
      <c r="B167" s="15">
        <v>96.44</v>
      </c>
    </row>
    <row r="168" spans="1:2">
      <c r="A168" s="1">
        <v>41880</v>
      </c>
      <c r="B168" s="15">
        <v>97.86</v>
      </c>
    </row>
    <row r="169" spans="1:2">
      <c r="A169" s="1">
        <v>41884</v>
      </c>
      <c r="B169" s="15">
        <v>92.92</v>
      </c>
    </row>
    <row r="170" spans="1:2">
      <c r="A170" s="1">
        <v>41885</v>
      </c>
      <c r="B170" s="15">
        <v>95.5</v>
      </c>
    </row>
    <row r="171" spans="1:2">
      <c r="A171" s="1">
        <v>41886</v>
      </c>
      <c r="B171" s="15">
        <v>94.51</v>
      </c>
    </row>
    <row r="172" spans="1:2">
      <c r="A172" s="1">
        <v>41887</v>
      </c>
      <c r="B172" s="15">
        <v>93.32</v>
      </c>
    </row>
    <row r="173" spans="1:2">
      <c r="A173" s="1">
        <v>41890</v>
      </c>
      <c r="B173" s="15">
        <v>92.64</v>
      </c>
    </row>
    <row r="174" spans="1:2">
      <c r="A174" s="1">
        <v>41891</v>
      </c>
      <c r="B174" s="15">
        <v>92.73</v>
      </c>
    </row>
    <row r="175" spans="1:2">
      <c r="A175" s="1">
        <v>41892</v>
      </c>
      <c r="B175" s="15">
        <v>91.71</v>
      </c>
    </row>
    <row r="176" spans="1:2">
      <c r="A176" s="1">
        <v>41893</v>
      </c>
      <c r="B176" s="15">
        <v>92.89</v>
      </c>
    </row>
    <row r="177" spans="1:2">
      <c r="A177" s="1">
        <v>41894</v>
      </c>
      <c r="B177" s="15">
        <v>92.18</v>
      </c>
    </row>
    <row r="178" spans="1:2">
      <c r="A178" s="1">
        <v>41897</v>
      </c>
      <c r="B178" s="15">
        <v>92.86</v>
      </c>
    </row>
    <row r="179" spans="1:2">
      <c r="A179" s="1">
        <v>41898</v>
      </c>
      <c r="B179" s="15">
        <v>94.91</v>
      </c>
    </row>
    <row r="180" spans="1:2">
      <c r="A180" s="1">
        <v>41899</v>
      </c>
      <c r="B180" s="15">
        <v>94.33</v>
      </c>
    </row>
    <row r="181" spans="1:2">
      <c r="A181" s="1">
        <v>41900</v>
      </c>
      <c r="B181" s="15">
        <v>93.07</v>
      </c>
    </row>
    <row r="182" spans="1:2">
      <c r="A182" s="1">
        <v>41901</v>
      </c>
      <c r="B182" s="15">
        <v>92.43</v>
      </c>
    </row>
    <row r="183" spans="1:2">
      <c r="A183" s="1">
        <v>41904</v>
      </c>
      <c r="B183" s="15">
        <v>91.46</v>
      </c>
    </row>
    <row r="184" spans="1:2">
      <c r="A184" s="1">
        <v>41905</v>
      </c>
      <c r="B184" s="15">
        <v>91.55</v>
      </c>
    </row>
    <row r="185" spans="1:2">
      <c r="A185" s="1">
        <v>41906</v>
      </c>
      <c r="B185" s="15">
        <v>93.6</v>
      </c>
    </row>
    <row r="186" spans="1:2">
      <c r="A186" s="1">
        <v>41907</v>
      </c>
      <c r="B186" s="15">
        <v>93.59</v>
      </c>
    </row>
    <row r="187" spans="1:2">
      <c r="A187" s="1">
        <v>41908</v>
      </c>
      <c r="B187" s="15">
        <v>95.55</v>
      </c>
    </row>
    <row r="188" spans="1:2">
      <c r="A188" s="1">
        <v>41911</v>
      </c>
      <c r="B188" s="15">
        <v>94.53</v>
      </c>
    </row>
    <row r="189" spans="1:2">
      <c r="A189" s="1">
        <v>41912</v>
      </c>
      <c r="B189" s="15">
        <v>91.17</v>
      </c>
    </row>
    <row r="190" spans="1:2">
      <c r="A190" s="1">
        <v>41913</v>
      </c>
      <c r="B190" s="15">
        <v>90.74</v>
      </c>
    </row>
    <row r="191" spans="1:2">
      <c r="A191" s="1">
        <v>41914</v>
      </c>
      <c r="B191" s="15">
        <v>91.02</v>
      </c>
    </row>
    <row r="192" spans="1:2">
      <c r="A192" s="1">
        <v>41915</v>
      </c>
      <c r="B192" s="15">
        <v>89.76</v>
      </c>
    </row>
    <row r="193" spans="1:2">
      <c r="A193" s="1">
        <v>41918</v>
      </c>
      <c r="B193" s="15">
        <v>90.33</v>
      </c>
    </row>
    <row r="194" spans="1:2">
      <c r="A194" s="1">
        <v>41919</v>
      </c>
      <c r="B194" s="15">
        <v>88.89</v>
      </c>
    </row>
    <row r="195" spans="1:2">
      <c r="A195" s="1">
        <v>41920</v>
      </c>
      <c r="B195" s="15">
        <v>87.29</v>
      </c>
    </row>
    <row r="196" spans="1:2">
      <c r="A196" s="1">
        <v>41921</v>
      </c>
      <c r="B196" s="15">
        <v>85.76</v>
      </c>
    </row>
    <row r="197" spans="1:2">
      <c r="A197" s="1">
        <v>41922</v>
      </c>
      <c r="B197" s="15">
        <v>85.87</v>
      </c>
    </row>
    <row r="198" spans="1:2">
      <c r="A198" s="1">
        <v>41925</v>
      </c>
      <c r="B198" s="15">
        <v>85.73</v>
      </c>
    </row>
    <row r="199" spans="1:2">
      <c r="A199" s="1">
        <v>41926</v>
      </c>
      <c r="B199" s="15">
        <v>81.72</v>
      </c>
    </row>
    <row r="200" spans="1:2">
      <c r="A200" s="1">
        <v>41927</v>
      </c>
      <c r="B200" s="15">
        <v>81.819999999999993</v>
      </c>
    </row>
    <row r="201" spans="1:2">
      <c r="A201" s="1">
        <v>41928</v>
      </c>
      <c r="B201" s="15">
        <v>82.33</v>
      </c>
    </row>
    <row r="202" spans="1:2">
      <c r="A202" s="1">
        <v>41929</v>
      </c>
      <c r="B202" s="15">
        <v>82.8</v>
      </c>
    </row>
    <row r="203" spans="1:2">
      <c r="A203" s="1">
        <v>41932</v>
      </c>
      <c r="B203" s="15">
        <v>82.76</v>
      </c>
    </row>
    <row r="204" spans="1:2">
      <c r="A204" s="1">
        <v>41933</v>
      </c>
      <c r="B204" s="15">
        <v>83.25</v>
      </c>
    </row>
    <row r="205" spans="1:2">
      <c r="A205" s="1">
        <v>41934</v>
      </c>
      <c r="B205" s="15">
        <v>80.52</v>
      </c>
    </row>
    <row r="206" spans="1:2">
      <c r="A206" s="1">
        <v>41935</v>
      </c>
      <c r="B206" s="15">
        <v>82.81</v>
      </c>
    </row>
    <row r="207" spans="1:2">
      <c r="A207" s="1">
        <v>41936</v>
      </c>
      <c r="B207" s="15">
        <v>81.27</v>
      </c>
    </row>
    <row r="208" spans="1:2">
      <c r="A208" s="1">
        <v>41939</v>
      </c>
      <c r="B208" s="15">
        <v>81.260000000000005</v>
      </c>
    </row>
    <row r="209" spans="1:2">
      <c r="A209" s="1">
        <v>41940</v>
      </c>
      <c r="B209" s="15">
        <v>81.36</v>
      </c>
    </row>
    <row r="210" spans="1:2">
      <c r="A210" s="1">
        <v>41941</v>
      </c>
      <c r="B210" s="15">
        <v>82.25</v>
      </c>
    </row>
    <row r="211" spans="1:2">
      <c r="A211" s="1">
        <v>41942</v>
      </c>
      <c r="B211" s="15">
        <v>81.06</v>
      </c>
    </row>
    <row r="212" spans="1:2">
      <c r="A212" s="1">
        <v>41943</v>
      </c>
      <c r="B212" s="15">
        <v>80.53</v>
      </c>
    </row>
    <row r="213" spans="1:2">
      <c r="A213" s="1">
        <v>41946</v>
      </c>
      <c r="B213" s="15">
        <v>78.77</v>
      </c>
    </row>
    <row r="214" spans="1:2">
      <c r="A214" s="1">
        <v>41947</v>
      </c>
      <c r="B214" s="15">
        <v>77.150000000000006</v>
      </c>
    </row>
    <row r="215" spans="1:2">
      <c r="A215" s="1">
        <v>41948</v>
      </c>
      <c r="B215" s="15">
        <v>78.709999999999994</v>
      </c>
    </row>
    <row r="216" spans="1:2">
      <c r="A216" s="1">
        <v>41949</v>
      </c>
      <c r="B216" s="15">
        <v>77.87</v>
      </c>
    </row>
    <row r="217" spans="1:2">
      <c r="A217" s="1">
        <v>41950</v>
      </c>
      <c r="B217" s="15">
        <v>78.709999999999994</v>
      </c>
    </row>
    <row r="218" spans="1:2">
      <c r="A218" s="1">
        <v>41953</v>
      </c>
      <c r="B218" s="15">
        <v>77.430000000000007</v>
      </c>
    </row>
    <row r="219" spans="1:2">
      <c r="A219" s="1">
        <v>41954</v>
      </c>
      <c r="B219" s="15">
        <v>77.849999999999994</v>
      </c>
    </row>
    <row r="220" spans="1:2">
      <c r="A220" s="1">
        <v>41955</v>
      </c>
      <c r="B220" s="15">
        <v>77.16</v>
      </c>
    </row>
    <row r="221" spans="1:2">
      <c r="A221" s="1">
        <v>41956</v>
      </c>
      <c r="B221" s="15">
        <v>74.13</v>
      </c>
    </row>
    <row r="222" spans="1:2">
      <c r="A222" s="1">
        <v>41957</v>
      </c>
      <c r="B222" s="15">
        <v>75.91</v>
      </c>
    </row>
    <row r="223" spans="1:2">
      <c r="A223" s="1">
        <v>41960</v>
      </c>
      <c r="B223" s="15">
        <v>75.64</v>
      </c>
    </row>
    <row r="224" spans="1:2">
      <c r="A224" s="1">
        <v>41961</v>
      </c>
      <c r="B224" s="15">
        <v>74.55</v>
      </c>
    </row>
    <row r="225" spans="1:2">
      <c r="A225" s="1">
        <v>41962</v>
      </c>
      <c r="B225" s="15">
        <v>74.55</v>
      </c>
    </row>
    <row r="226" spans="1:2">
      <c r="A226" s="1">
        <v>41963</v>
      </c>
      <c r="B226" s="15">
        <v>75.63</v>
      </c>
    </row>
    <row r="227" spans="1:2">
      <c r="A227" s="1">
        <v>41964</v>
      </c>
      <c r="B227" s="15">
        <v>76.52</v>
      </c>
    </row>
    <row r="228" spans="1:2">
      <c r="A228" s="1">
        <v>41967</v>
      </c>
      <c r="B228" s="15">
        <v>75.739999999999995</v>
      </c>
    </row>
    <row r="229" spans="1:2">
      <c r="A229" s="1">
        <v>41968</v>
      </c>
      <c r="B229" s="15">
        <v>74.040000000000006</v>
      </c>
    </row>
    <row r="230" spans="1:2">
      <c r="A230" s="1">
        <v>41969</v>
      </c>
      <c r="B230" s="15">
        <v>73.7</v>
      </c>
    </row>
    <row r="231" spans="1:2">
      <c r="A231" s="1">
        <v>41971</v>
      </c>
      <c r="B231" s="15">
        <v>65.94</v>
      </c>
    </row>
    <row r="232" spans="1:2">
      <c r="A232" s="1">
        <v>41974</v>
      </c>
      <c r="B232" s="15">
        <v>68.98</v>
      </c>
    </row>
    <row r="233" spans="1:2">
      <c r="A233" s="1">
        <v>41975</v>
      </c>
      <c r="B233" s="15">
        <v>66.989999999999995</v>
      </c>
    </row>
    <row r="234" spans="1:2">
      <c r="A234" s="1">
        <v>41976</v>
      </c>
      <c r="B234" s="15">
        <v>67.3</v>
      </c>
    </row>
    <row r="235" spans="1:2">
      <c r="A235" s="1">
        <v>41977</v>
      </c>
      <c r="B235" s="15">
        <v>66.73</v>
      </c>
    </row>
    <row r="236" spans="1:2">
      <c r="A236" s="1">
        <v>41978</v>
      </c>
      <c r="B236" s="15">
        <v>65.89</v>
      </c>
    </row>
    <row r="237" spans="1:2">
      <c r="A237" s="1">
        <v>41981</v>
      </c>
      <c r="B237" s="15">
        <v>63.13</v>
      </c>
    </row>
    <row r="238" spans="1:2">
      <c r="A238" s="1">
        <v>41982</v>
      </c>
      <c r="B238" s="15">
        <v>63.74</v>
      </c>
    </row>
    <row r="239" spans="1:2">
      <c r="A239" s="1">
        <v>41983</v>
      </c>
      <c r="B239" s="15">
        <v>60.99</v>
      </c>
    </row>
    <row r="240" spans="1:2">
      <c r="A240" s="1">
        <v>41984</v>
      </c>
      <c r="B240" s="15">
        <v>60.01</v>
      </c>
    </row>
    <row r="241" spans="1:2">
      <c r="A241" s="1">
        <v>41985</v>
      </c>
      <c r="B241" s="15">
        <v>57.81</v>
      </c>
    </row>
    <row r="242" spans="1:2">
      <c r="A242" s="1">
        <v>41988</v>
      </c>
      <c r="B242" s="15">
        <v>55.96</v>
      </c>
    </row>
    <row r="243" spans="1:2">
      <c r="A243" s="1">
        <v>41989</v>
      </c>
      <c r="B243" s="15">
        <v>55.97</v>
      </c>
    </row>
    <row r="244" spans="1:2">
      <c r="A244" s="1">
        <v>41990</v>
      </c>
      <c r="B244" s="15">
        <v>56.43</v>
      </c>
    </row>
    <row r="245" spans="1:2">
      <c r="A245" s="1">
        <v>41991</v>
      </c>
      <c r="B245" s="15">
        <v>54.18</v>
      </c>
    </row>
    <row r="246" spans="1:2">
      <c r="A246" s="1">
        <v>41992</v>
      </c>
      <c r="B246" s="15">
        <v>56.91</v>
      </c>
    </row>
    <row r="247" spans="1:2">
      <c r="A247" s="1">
        <v>41995</v>
      </c>
      <c r="B247" s="15">
        <v>55.25</v>
      </c>
    </row>
    <row r="248" spans="1:2">
      <c r="A248" s="1">
        <v>41996</v>
      </c>
      <c r="B248" s="15">
        <v>56.78</v>
      </c>
    </row>
    <row r="249" spans="1:2">
      <c r="A249" s="1">
        <v>41997</v>
      </c>
      <c r="B249" s="15">
        <v>55.7</v>
      </c>
    </row>
    <row r="250" spans="1:2">
      <c r="A250" s="1">
        <v>41999</v>
      </c>
      <c r="B250" s="15">
        <v>54.59</v>
      </c>
    </row>
    <row r="251" spans="1:2">
      <c r="A251" s="1">
        <v>42002</v>
      </c>
      <c r="B251" s="15">
        <v>53.46</v>
      </c>
    </row>
    <row r="252" spans="1:2">
      <c r="A252" s="1">
        <v>42003</v>
      </c>
      <c r="B252" s="15">
        <v>54.14</v>
      </c>
    </row>
    <row r="253" spans="1:2">
      <c r="A253" s="1">
        <v>42004</v>
      </c>
      <c r="B253" s="15">
        <v>53.45</v>
      </c>
    </row>
    <row r="254" spans="1:2">
      <c r="A254" s="1">
        <v>42005</v>
      </c>
      <c r="B254" s="15">
        <v>53.45</v>
      </c>
    </row>
    <row r="255" spans="1:2">
      <c r="A255" s="1">
        <v>42006</v>
      </c>
      <c r="B255" s="15">
        <v>52.72</v>
      </c>
    </row>
    <row r="256" spans="1:2">
      <c r="A256" s="1">
        <v>42009</v>
      </c>
      <c r="B256" s="15">
        <v>50.05</v>
      </c>
    </row>
    <row r="257" spans="1:2">
      <c r="A257" s="1">
        <v>42010</v>
      </c>
      <c r="B257" s="15">
        <v>47.98</v>
      </c>
    </row>
    <row r="258" spans="1:2">
      <c r="A258" s="1">
        <v>42011</v>
      </c>
      <c r="B258" s="15">
        <v>48.69</v>
      </c>
    </row>
    <row r="259" spans="1:2">
      <c r="A259" s="1">
        <v>42012</v>
      </c>
      <c r="B259" s="15">
        <v>48.8</v>
      </c>
    </row>
    <row r="260" spans="1:2">
      <c r="A260" s="1">
        <v>42013</v>
      </c>
      <c r="B260" s="15">
        <v>48.35</v>
      </c>
    </row>
    <row r="261" spans="1:2">
      <c r="A261" s="1">
        <v>42016</v>
      </c>
      <c r="B261" s="15">
        <v>46.06</v>
      </c>
    </row>
    <row r="262" spans="1:2">
      <c r="A262" s="1">
        <v>42017</v>
      </c>
      <c r="B262" s="15">
        <v>45.92</v>
      </c>
    </row>
    <row r="263" spans="1:2">
      <c r="A263" s="1">
        <v>42018</v>
      </c>
      <c r="B263" s="15">
        <v>48.49</v>
      </c>
    </row>
    <row r="264" spans="1:2">
      <c r="A264" s="1">
        <v>42019</v>
      </c>
      <c r="B264" s="15">
        <v>46.37</v>
      </c>
    </row>
    <row r="265" spans="1:2">
      <c r="A265" s="1">
        <v>42020</v>
      </c>
      <c r="B265" s="15">
        <v>48.49</v>
      </c>
    </row>
    <row r="266" spans="1:2">
      <c r="A266" s="1">
        <v>42024</v>
      </c>
      <c r="B266" s="15">
        <v>46.79</v>
      </c>
    </row>
    <row r="267" spans="1:2">
      <c r="A267" s="1">
        <v>42025</v>
      </c>
      <c r="B267" s="15">
        <v>47.85</v>
      </c>
    </row>
    <row r="268" spans="1:2">
      <c r="A268" s="1">
        <v>42026</v>
      </c>
      <c r="B268" s="15">
        <v>45.93</v>
      </c>
    </row>
    <row r="269" spans="1:2">
      <c r="A269" s="1">
        <v>42027</v>
      </c>
      <c r="B269" s="15">
        <v>45.26</v>
      </c>
    </row>
    <row r="270" spans="1:2">
      <c r="A270" s="1">
        <v>42030</v>
      </c>
      <c r="B270" s="15">
        <v>44.8</v>
      </c>
    </row>
    <row r="271" spans="1:2">
      <c r="A271" s="1">
        <v>42031</v>
      </c>
      <c r="B271" s="15">
        <v>45.84</v>
      </c>
    </row>
    <row r="272" spans="1:2">
      <c r="A272" s="1">
        <v>42032</v>
      </c>
      <c r="B272" s="15">
        <v>44.08</v>
      </c>
    </row>
    <row r="273" spans="1:2">
      <c r="A273" s="1">
        <v>42033</v>
      </c>
      <c r="B273" s="15">
        <v>44.12</v>
      </c>
    </row>
    <row r="274" spans="1:2">
      <c r="A274" s="1">
        <v>42034</v>
      </c>
      <c r="B274" s="15">
        <v>47.79</v>
      </c>
    </row>
    <row r="275" spans="1:2">
      <c r="A275" s="1">
        <v>42037</v>
      </c>
      <c r="B275" s="15">
        <v>49.25</v>
      </c>
    </row>
    <row r="276" spans="1:2">
      <c r="A276" s="1">
        <v>42038</v>
      </c>
      <c r="B276" s="15">
        <v>53.04</v>
      </c>
    </row>
    <row r="277" spans="1:2">
      <c r="A277" s="1">
        <v>42039</v>
      </c>
      <c r="B277" s="15">
        <v>48.45</v>
      </c>
    </row>
    <row r="278" spans="1:2">
      <c r="A278" s="1">
        <v>42040</v>
      </c>
      <c r="B278" s="15">
        <v>50.48</v>
      </c>
    </row>
    <row r="279" spans="1:2">
      <c r="A279" s="1">
        <v>42041</v>
      </c>
      <c r="B279" s="15">
        <v>51.66</v>
      </c>
    </row>
    <row r="280" spans="1:2">
      <c r="A280" s="1">
        <v>42044</v>
      </c>
      <c r="B280" s="15">
        <v>52.99</v>
      </c>
    </row>
    <row r="281" spans="1:2">
      <c r="A281" s="1">
        <v>42045</v>
      </c>
      <c r="B281" s="15">
        <v>50.06</v>
      </c>
    </row>
    <row r="282" spans="1:2">
      <c r="A282" s="1">
        <v>42046</v>
      </c>
      <c r="B282" s="15">
        <v>48.8</v>
      </c>
    </row>
    <row r="283" spans="1:2">
      <c r="A283" s="1">
        <v>42047</v>
      </c>
      <c r="B283" s="15">
        <v>51.17</v>
      </c>
    </row>
    <row r="284" spans="1:2">
      <c r="A284" s="1">
        <v>42048</v>
      </c>
      <c r="B284" s="15">
        <v>52.66</v>
      </c>
    </row>
    <row r="285" spans="1:2">
      <c r="A285" s="1">
        <v>42052</v>
      </c>
      <c r="B285" s="15">
        <v>53.56</v>
      </c>
    </row>
    <row r="286" spans="1:2">
      <c r="A286" s="1">
        <v>42053</v>
      </c>
      <c r="B286" s="15">
        <v>52.13</v>
      </c>
    </row>
    <row r="287" spans="1:2">
      <c r="A287" s="1">
        <v>42054</v>
      </c>
      <c r="B287" s="15">
        <v>51.12</v>
      </c>
    </row>
    <row r="288" spans="1:2">
      <c r="A288" s="1">
        <v>42055</v>
      </c>
      <c r="B288" s="15">
        <v>49.95</v>
      </c>
    </row>
    <row r="289" spans="1:2">
      <c r="A289" s="1">
        <v>42058</v>
      </c>
      <c r="B289" s="15">
        <v>49.56</v>
      </c>
    </row>
    <row r="290" spans="1:2">
      <c r="A290" s="1">
        <v>42059</v>
      </c>
      <c r="B290" s="15">
        <v>48.48</v>
      </c>
    </row>
    <row r="291" spans="1:2">
      <c r="A291" s="1">
        <v>42060</v>
      </c>
      <c r="B291" s="15">
        <v>50.25</v>
      </c>
    </row>
    <row r="292" spans="1:2">
      <c r="A292" s="1">
        <v>42061</v>
      </c>
      <c r="B292" s="15">
        <v>47.65</v>
      </c>
    </row>
    <row r="293" spans="1:2">
      <c r="A293" s="1">
        <v>42062</v>
      </c>
      <c r="B293" s="15">
        <v>49.84</v>
      </c>
    </row>
    <row r="294" spans="1:2">
      <c r="A294" s="1">
        <v>42065</v>
      </c>
      <c r="B294" s="15">
        <v>49.59</v>
      </c>
    </row>
    <row r="295" spans="1:2">
      <c r="A295" s="1">
        <v>42066</v>
      </c>
      <c r="B295" s="15">
        <v>50.43</v>
      </c>
    </row>
    <row r="296" spans="1:2">
      <c r="A296" s="1">
        <v>42067</v>
      </c>
      <c r="B296" s="15">
        <v>51.53</v>
      </c>
    </row>
    <row r="297" spans="1:2">
      <c r="A297" s="1">
        <v>42068</v>
      </c>
      <c r="B297" s="15">
        <v>50.76</v>
      </c>
    </row>
    <row r="298" spans="1:2">
      <c r="A298" s="1">
        <v>42069</v>
      </c>
      <c r="B298" s="15">
        <v>49.61</v>
      </c>
    </row>
    <row r="299" spans="1:2">
      <c r="A299" s="1">
        <v>42072</v>
      </c>
      <c r="B299" s="15">
        <v>49.95</v>
      </c>
    </row>
    <row r="300" spans="1:2">
      <c r="A300" s="1">
        <v>42073</v>
      </c>
      <c r="B300" s="15">
        <v>48.42</v>
      </c>
    </row>
    <row r="301" spans="1:2">
      <c r="A301" s="1">
        <v>42074</v>
      </c>
      <c r="B301" s="15">
        <v>48.06</v>
      </c>
    </row>
    <row r="302" spans="1:2">
      <c r="A302" s="1">
        <v>42075</v>
      </c>
      <c r="B302" s="15">
        <v>47.12</v>
      </c>
    </row>
    <row r="303" spans="1:2">
      <c r="A303" s="1">
        <v>42076</v>
      </c>
      <c r="B303" s="15">
        <v>44.88</v>
      </c>
    </row>
    <row r="304" spans="1:2">
      <c r="A304" s="1">
        <v>42079</v>
      </c>
      <c r="B304" s="15">
        <v>43.93</v>
      </c>
    </row>
    <row r="305" spans="1:2">
      <c r="A305" s="1">
        <v>42080</v>
      </c>
      <c r="B305" s="15">
        <v>43.39</v>
      </c>
    </row>
    <row r="306" spans="1:2">
      <c r="A306" s="1">
        <v>42081</v>
      </c>
      <c r="B306" s="15">
        <v>44.63</v>
      </c>
    </row>
    <row r="307" spans="1:2">
      <c r="A307" s="1">
        <v>42082</v>
      </c>
      <c r="B307" s="15">
        <v>44.02</v>
      </c>
    </row>
    <row r="308" spans="1:2">
      <c r="A308" s="1">
        <v>42083</v>
      </c>
      <c r="B308" s="15">
        <v>46</v>
      </c>
    </row>
    <row r="309" spans="1:2">
      <c r="A309" s="1">
        <v>42086</v>
      </c>
      <c r="B309" s="15">
        <v>47.4</v>
      </c>
    </row>
    <row r="310" spans="1:2">
      <c r="A310" s="1">
        <v>42087</v>
      </c>
      <c r="B310" s="15">
        <v>47.03</v>
      </c>
    </row>
    <row r="311" spans="1:2">
      <c r="A311" s="1">
        <v>42088</v>
      </c>
      <c r="B311" s="15">
        <v>48.75</v>
      </c>
    </row>
    <row r="312" spans="1:2">
      <c r="A312" s="1">
        <v>42089</v>
      </c>
      <c r="B312" s="15">
        <v>51.41</v>
      </c>
    </row>
    <row r="313" spans="1:2">
      <c r="A313" s="1">
        <v>42090</v>
      </c>
      <c r="B313" s="15">
        <v>48.83</v>
      </c>
    </row>
    <row r="314" spans="1:2">
      <c r="A314" s="1">
        <v>42093</v>
      </c>
      <c r="B314" s="15">
        <v>48.66</v>
      </c>
    </row>
    <row r="315" spans="1:2">
      <c r="A315" s="1">
        <v>42094</v>
      </c>
      <c r="B315" s="15">
        <v>47.72</v>
      </c>
    </row>
    <row r="316" spans="1:2">
      <c r="A316" s="1">
        <v>42095</v>
      </c>
      <c r="B316" s="15">
        <v>50.12</v>
      </c>
    </row>
    <row r="317" spans="1:2">
      <c r="A317" s="1">
        <v>42096</v>
      </c>
      <c r="B317" s="15">
        <v>49.13</v>
      </c>
    </row>
    <row r="318" spans="1:2">
      <c r="A318" s="1">
        <v>42097</v>
      </c>
      <c r="B318" s="15">
        <v>49.13</v>
      </c>
    </row>
    <row r="319" spans="1:2">
      <c r="A319" s="1">
        <v>42100</v>
      </c>
      <c r="B319" s="15">
        <v>52.08</v>
      </c>
    </row>
    <row r="320" spans="1:2">
      <c r="A320" s="1">
        <v>42101</v>
      </c>
      <c r="B320" s="15">
        <v>53.95</v>
      </c>
    </row>
    <row r="321" spans="1:2">
      <c r="A321" s="1">
        <v>42102</v>
      </c>
      <c r="B321" s="15">
        <v>50.44</v>
      </c>
    </row>
    <row r="322" spans="1:2">
      <c r="A322" s="1">
        <v>42103</v>
      </c>
      <c r="B322" s="15">
        <v>50.79</v>
      </c>
    </row>
    <row r="323" spans="1:2">
      <c r="A323" s="1">
        <v>42104</v>
      </c>
      <c r="B323" s="15">
        <v>51.63</v>
      </c>
    </row>
    <row r="324" spans="1:2">
      <c r="A324" s="1">
        <v>42107</v>
      </c>
      <c r="B324" s="15">
        <v>51.95</v>
      </c>
    </row>
    <row r="325" spans="1:2">
      <c r="A325" s="1">
        <v>42108</v>
      </c>
      <c r="B325" s="15">
        <v>53.3</v>
      </c>
    </row>
    <row r="326" spans="1:2">
      <c r="A326" s="1">
        <v>42109</v>
      </c>
      <c r="B326" s="15">
        <v>56.25</v>
      </c>
    </row>
    <row r="327" spans="1:2">
      <c r="A327" s="1">
        <v>42110</v>
      </c>
      <c r="B327" s="15">
        <v>56.69</v>
      </c>
    </row>
    <row r="328" spans="1:2">
      <c r="A328" s="1">
        <v>42111</v>
      </c>
      <c r="B328" s="15">
        <v>55.71</v>
      </c>
    </row>
    <row r="329" spans="1:2">
      <c r="A329" s="1">
        <v>42114</v>
      </c>
      <c r="B329" s="15">
        <v>56.37</v>
      </c>
    </row>
    <row r="330" spans="1:2">
      <c r="A330" s="1">
        <v>42115</v>
      </c>
      <c r="B330" s="15">
        <v>55.58</v>
      </c>
    </row>
    <row r="331" spans="1:2">
      <c r="A331" s="1">
        <v>42116</v>
      </c>
      <c r="B331" s="15">
        <v>56.17</v>
      </c>
    </row>
    <row r="332" spans="1:2">
      <c r="A332" s="1">
        <v>42117</v>
      </c>
      <c r="B332" s="15">
        <v>56.59</v>
      </c>
    </row>
    <row r="333" spans="1:2">
      <c r="A333" s="1">
        <v>42118</v>
      </c>
      <c r="B333" s="15">
        <v>55.98</v>
      </c>
    </row>
    <row r="334" spans="1:2">
      <c r="A334" s="1">
        <v>42121</v>
      </c>
      <c r="B334" s="15">
        <v>55.56</v>
      </c>
    </row>
    <row r="335" spans="1:2">
      <c r="A335" s="1">
        <v>42122</v>
      </c>
      <c r="B335" s="15">
        <v>57.05</v>
      </c>
    </row>
    <row r="336" spans="1:2">
      <c r="A336" s="1">
        <v>42123</v>
      </c>
      <c r="B336" s="15">
        <v>58.55</v>
      </c>
    </row>
    <row r="337" spans="1:2">
      <c r="A337" s="1">
        <v>42124</v>
      </c>
      <c r="B337" s="15">
        <v>59.62</v>
      </c>
    </row>
    <row r="338" spans="1:2">
      <c r="A338" s="1">
        <v>42125</v>
      </c>
      <c r="B338" s="15">
        <v>59.1</v>
      </c>
    </row>
    <row r="339" spans="1:2">
      <c r="A339" s="1">
        <v>42128</v>
      </c>
      <c r="B339" s="15">
        <v>58.92</v>
      </c>
    </row>
    <row r="340" spans="1:2">
      <c r="A340" s="1">
        <v>42129</v>
      </c>
      <c r="B340" s="15">
        <v>60.38</v>
      </c>
    </row>
    <row r="341" spans="1:2">
      <c r="A341" s="1">
        <v>42130</v>
      </c>
      <c r="B341" s="15">
        <v>60.93</v>
      </c>
    </row>
    <row r="342" spans="1:2">
      <c r="A342" s="1">
        <v>42131</v>
      </c>
      <c r="B342" s="15">
        <v>58.99</v>
      </c>
    </row>
    <row r="343" spans="1:2">
      <c r="A343" s="1">
        <v>42132</v>
      </c>
      <c r="B343" s="15">
        <v>59.41</v>
      </c>
    </row>
    <row r="344" spans="1:2">
      <c r="A344" s="1">
        <v>42135</v>
      </c>
      <c r="B344" s="15">
        <v>59.23</v>
      </c>
    </row>
    <row r="345" spans="1:2">
      <c r="A345" s="1">
        <v>42136</v>
      </c>
      <c r="B345" s="15">
        <v>60.72</v>
      </c>
    </row>
    <row r="346" spans="1:2">
      <c r="A346" s="1">
        <v>42137</v>
      </c>
      <c r="B346" s="15">
        <v>60.5</v>
      </c>
    </row>
    <row r="347" spans="1:2">
      <c r="A347" s="1">
        <v>42138</v>
      </c>
      <c r="B347" s="15">
        <v>59.89</v>
      </c>
    </row>
    <row r="348" spans="1:2">
      <c r="A348" s="1">
        <v>42139</v>
      </c>
      <c r="B348" s="15">
        <v>59.73</v>
      </c>
    </row>
    <row r="349" spans="1:2">
      <c r="A349" s="1">
        <v>42142</v>
      </c>
      <c r="B349" s="15">
        <v>59.44</v>
      </c>
    </row>
    <row r="350" spans="1:2">
      <c r="A350" s="1">
        <v>42143</v>
      </c>
      <c r="B350" s="15">
        <v>57.3</v>
      </c>
    </row>
    <row r="351" spans="1:2">
      <c r="A351" s="1">
        <v>42144</v>
      </c>
      <c r="B351" s="15">
        <v>58.96</v>
      </c>
    </row>
    <row r="352" spans="1:2">
      <c r="A352" s="1">
        <v>42145</v>
      </c>
      <c r="B352" s="15">
        <v>60.18</v>
      </c>
    </row>
    <row r="353" spans="1:2">
      <c r="A353" s="1">
        <v>42146</v>
      </c>
      <c r="B353" s="15">
        <v>58.88</v>
      </c>
    </row>
    <row r="354" spans="1:2">
      <c r="A354" s="1">
        <v>42149</v>
      </c>
      <c r="B354" s="15">
        <v>58.88</v>
      </c>
    </row>
    <row r="355" spans="1:2">
      <c r="A355" s="1">
        <v>42150</v>
      </c>
      <c r="B355" s="15">
        <v>57.29</v>
      </c>
    </row>
    <row r="356" spans="1:2">
      <c r="A356" s="1">
        <v>42151</v>
      </c>
      <c r="B356" s="15">
        <v>57.51</v>
      </c>
    </row>
    <row r="357" spans="1:2">
      <c r="A357" s="1">
        <v>42152</v>
      </c>
      <c r="B357" s="15">
        <v>57.69</v>
      </c>
    </row>
    <row r="358" spans="1:2">
      <c r="A358" s="1">
        <v>42153</v>
      </c>
      <c r="B358" s="15">
        <v>60.25</v>
      </c>
    </row>
    <row r="359" spans="1:2">
      <c r="A359" s="1">
        <v>42156</v>
      </c>
      <c r="B359" s="15">
        <v>60.24</v>
      </c>
    </row>
    <row r="360" spans="1:2">
      <c r="A360" s="1">
        <v>42157</v>
      </c>
      <c r="B360" s="15">
        <v>61.3</v>
      </c>
    </row>
    <row r="361" spans="1:2">
      <c r="A361" s="1">
        <v>42158</v>
      </c>
      <c r="B361" s="15">
        <v>59.67</v>
      </c>
    </row>
    <row r="362" spans="1:2">
      <c r="A362" s="1">
        <v>42159</v>
      </c>
      <c r="B362" s="15">
        <v>58</v>
      </c>
    </row>
    <row r="363" spans="1:2">
      <c r="A363" s="1">
        <v>42160</v>
      </c>
      <c r="B363" s="15">
        <v>59.11</v>
      </c>
    </row>
    <row r="364" spans="1:2">
      <c r="A364" s="1">
        <v>42163</v>
      </c>
      <c r="B364" s="15">
        <v>58.15</v>
      </c>
    </row>
    <row r="365" spans="1:2">
      <c r="A365" s="1">
        <v>42164</v>
      </c>
      <c r="B365" s="15">
        <v>60.15</v>
      </c>
    </row>
    <row r="366" spans="1:2">
      <c r="A366" s="1">
        <v>42165</v>
      </c>
      <c r="B366" s="15">
        <v>61.36</v>
      </c>
    </row>
    <row r="367" spans="1:2">
      <c r="A367" s="1">
        <v>42166</v>
      </c>
      <c r="B367" s="15">
        <v>60.74</v>
      </c>
    </row>
    <row r="368" spans="1:2">
      <c r="A368" s="1">
        <v>42167</v>
      </c>
      <c r="B368" s="15">
        <v>59.96</v>
      </c>
    </row>
    <row r="369" spans="1:2">
      <c r="A369" s="1">
        <v>42170</v>
      </c>
      <c r="B369" s="15">
        <v>59.53</v>
      </c>
    </row>
    <row r="370" spans="1:2">
      <c r="A370" s="1">
        <v>42171</v>
      </c>
      <c r="B370" s="15">
        <v>60.01</v>
      </c>
    </row>
    <row r="371" spans="1:2">
      <c r="A371" s="1">
        <v>42172</v>
      </c>
      <c r="B371" s="15">
        <v>59.89</v>
      </c>
    </row>
    <row r="372" spans="1:2">
      <c r="A372" s="1">
        <v>42173</v>
      </c>
      <c r="B372" s="15">
        <v>60.41</v>
      </c>
    </row>
    <row r="373" spans="1:2">
      <c r="A373" s="1">
        <v>42174</v>
      </c>
      <c r="B373" s="15">
        <v>59.62</v>
      </c>
    </row>
    <row r="374" spans="1:2">
      <c r="A374" s="1">
        <v>42177</v>
      </c>
      <c r="B374" s="15">
        <v>60.01</v>
      </c>
    </row>
    <row r="375" spans="1:2">
      <c r="A375" s="1">
        <v>42178</v>
      </c>
      <c r="B375" s="15">
        <v>61.05</v>
      </c>
    </row>
    <row r="376" spans="1:2">
      <c r="A376" s="1">
        <v>42179</v>
      </c>
      <c r="B376" s="15">
        <v>60.01</v>
      </c>
    </row>
    <row r="377" spans="1:2">
      <c r="A377" s="1">
        <v>42180</v>
      </c>
      <c r="B377" s="15">
        <v>59.59</v>
      </c>
    </row>
    <row r="378" spans="1:2">
      <c r="A378" s="1">
        <v>42181</v>
      </c>
      <c r="B378" s="15">
        <v>59.41</v>
      </c>
    </row>
    <row r="379" spans="1:2">
      <c r="A379" s="1">
        <v>42184</v>
      </c>
      <c r="B379" s="15">
        <v>58.34</v>
      </c>
    </row>
    <row r="380" spans="1:2">
      <c r="A380" s="1">
        <v>42185</v>
      </c>
      <c r="B380" s="15">
        <v>59.48</v>
      </c>
    </row>
    <row r="381" spans="1:2">
      <c r="A381" s="1">
        <v>42186</v>
      </c>
      <c r="B381" s="15">
        <v>56.94</v>
      </c>
    </row>
    <row r="382" spans="1:2">
      <c r="A382" s="1">
        <v>42187</v>
      </c>
      <c r="B382" s="15">
        <v>56.93</v>
      </c>
    </row>
    <row r="383" spans="1:2">
      <c r="A383" s="1">
        <v>42188</v>
      </c>
      <c r="B383" s="15">
        <v>56.93</v>
      </c>
    </row>
    <row r="384" spans="1:2">
      <c r="A384" s="1">
        <v>42191</v>
      </c>
      <c r="B384" s="15">
        <v>52.48</v>
      </c>
    </row>
    <row r="385" spans="1:2">
      <c r="A385" s="1">
        <v>42192</v>
      </c>
      <c r="B385" s="15">
        <v>52.33</v>
      </c>
    </row>
    <row r="386" spans="1:2">
      <c r="A386" s="1">
        <v>42193</v>
      </c>
      <c r="B386" s="15">
        <v>51.61</v>
      </c>
    </row>
    <row r="387" spans="1:2">
      <c r="A387" s="1">
        <v>42194</v>
      </c>
      <c r="B387" s="15">
        <v>52.76</v>
      </c>
    </row>
    <row r="388" spans="1:2">
      <c r="A388" s="1">
        <v>42195</v>
      </c>
      <c r="B388" s="15">
        <v>52.74</v>
      </c>
    </row>
    <row r="389" spans="1:2">
      <c r="A389" s="1">
        <v>42198</v>
      </c>
      <c r="B389" s="15">
        <v>52.19</v>
      </c>
    </row>
    <row r="390" spans="1:2">
      <c r="A390" s="1">
        <v>42199</v>
      </c>
      <c r="B390" s="15">
        <v>53.05</v>
      </c>
    </row>
    <row r="391" spans="1:2">
      <c r="A391" s="1">
        <v>42200</v>
      </c>
      <c r="B391" s="15">
        <v>51.4</v>
      </c>
    </row>
    <row r="392" spans="1:2">
      <c r="A392" s="1">
        <v>42201</v>
      </c>
      <c r="B392" s="15">
        <v>50.9</v>
      </c>
    </row>
    <row r="393" spans="1:2">
      <c r="A393" s="1">
        <v>42202</v>
      </c>
      <c r="B393" s="15">
        <v>50.88</v>
      </c>
    </row>
    <row r="394" spans="1:2">
      <c r="A394" s="1">
        <v>42205</v>
      </c>
      <c r="B394" s="15">
        <v>50.11</v>
      </c>
    </row>
    <row r="395" spans="1:2">
      <c r="A395" s="1">
        <v>42206</v>
      </c>
      <c r="B395" s="15">
        <v>50.59</v>
      </c>
    </row>
    <row r="396" spans="1:2">
      <c r="A396" s="1">
        <v>42207</v>
      </c>
      <c r="B396" s="15">
        <v>49.27</v>
      </c>
    </row>
    <row r="397" spans="1:2">
      <c r="A397" s="1">
        <v>42208</v>
      </c>
      <c r="B397" s="15">
        <v>48.11</v>
      </c>
    </row>
    <row r="398" spans="1:2">
      <c r="A398" s="1">
        <v>42209</v>
      </c>
      <c r="B398" s="15">
        <v>47.98</v>
      </c>
    </row>
    <row r="399" spans="1:2">
      <c r="A399" s="1">
        <v>42212</v>
      </c>
      <c r="B399" s="15">
        <v>47.17</v>
      </c>
    </row>
    <row r="400" spans="1:2">
      <c r="A400" s="1">
        <v>42213</v>
      </c>
      <c r="B400" s="15">
        <v>47.97</v>
      </c>
    </row>
    <row r="401" spans="1:2">
      <c r="A401" s="1">
        <v>42214</v>
      </c>
      <c r="B401" s="15">
        <v>48.77</v>
      </c>
    </row>
    <row r="402" spans="1:2">
      <c r="A402" s="1">
        <v>42215</v>
      </c>
      <c r="B402" s="15">
        <v>48.53</v>
      </c>
    </row>
    <row r="403" spans="1:2">
      <c r="A403" s="1">
        <v>42216</v>
      </c>
      <c r="B403" s="15">
        <v>47.11</v>
      </c>
    </row>
    <row r="404" spans="1:2">
      <c r="A404" s="1">
        <v>42219</v>
      </c>
      <c r="B404" s="15">
        <v>45.25</v>
      </c>
    </row>
    <row r="405" spans="1:2">
      <c r="A405" s="1">
        <v>42220</v>
      </c>
      <c r="B405" s="15">
        <v>45.75</v>
      </c>
    </row>
    <row r="406" spans="1:2">
      <c r="A406" s="1">
        <v>42221</v>
      </c>
      <c r="B406" s="15">
        <v>45.13</v>
      </c>
    </row>
    <row r="407" spans="1:2">
      <c r="A407" s="1">
        <v>42222</v>
      </c>
      <c r="B407" s="15">
        <v>44.69</v>
      </c>
    </row>
    <row r="408" spans="1:2">
      <c r="A408" s="1">
        <v>42223</v>
      </c>
      <c r="B408" s="15">
        <v>43.87</v>
      </c>
    </row>
    <row r="409" spans="1:2">
      <c r="A409" s="1">
        <v>42226</v>
      </c>
      <c r="B409" s="15">
        <v>44.94</v>
      </c>
    </row>
    <row r="410" spans="1:2">
      <c r="A410" s="1">
        <v>42227</v>
      </c>
      <c r="B410" s="15">
        <v>43.11</v>
      </c>
    </row>
    <row r="411" spans="1:2">
      <c r="A411" s="1">
        <v>42228</v>
      </c>
      <c r="B411" s="15">
        <v>43.22</v>
      </c>
    </row>
    <row r="412" spans="1:2">
      <c r="A412" s="1">
        <v>42229</v>
      </c>
      <c r="B412" s="15">
        <v>42.27</v>
      </c>
    </row>
    <row r="413" spans="1:2">
      <c r="A413" s="1">
        <v>42230</v>
      </c>
      <c r="B413" s="15">
        <v>42.45</v>
      </c>
    </row>
    <row r="414" spans="1:2">
      <c r="A414" s="1">
        <v>42233</v>
      </c>
      <c r="B414" s="15">
        <v>41.93</v>
      </c>
    </row>
    <row r="415" spans="1:2">
      <c r="A415" s="1">
        <v>42234</v>
      </c>
      <c r="B415" s="15">
        <v>42.58</v>
      </c>
    </row>
    <row r="416" spans="1:2">
      <c r="A416" s="1">
        <v>42235</v>
      </c>
      <c r="B416" s="15">
        <v>40.75</v>
      </c>
    </row>
    <row r="417" spans="1:2">
      <c r="A417" s="1">
        <v>42236</v>
      </c>
      <c r="B417" s="15">
        <v>41</v>
      </c>
    </row>
    <row r="418" spans="1:2">
      <c r="A418" s="1">
        <v>42237</v>
      </c>
      <c r="B418" s="15">
        <v>40.450000000000003</v>
      </c>
    </row>
    <row r="419" spans="1:2">
      <c r="A419" s="1">
        <v>42240</v>
      </c>
      <c r="B419" s="15">
        <v>38.22</v>
      </c>
    </row>
    <row r="420" spans="1:2">
      <c r="A420" s="1">
        <v>42241</v>
      </c>
      <c r="B420" s="15">
        <v>39.15</v>
      </c>
    </row>
    <row r="421" spans="1:2">
      <c r="A421" s="1">
        <v>42242</v>
      </c>
      <c r="B421" s="15">
        <v>38.5</v>
      </c>
    </row>
    <row r="422" spans="1:2">
      <c r="A422" s="1">
        <v>42243</v>
      </c>
      <c r="B422" s="15">
        <v>42.47</v>
      </c>
    </row>
    <row r="423" spans="1:2">
      <c r="A423" s="1">
        <v>42244</v>
      </c>
      <c r="B423" s="15">
        <v>45.29</v>
      </c>
    </row>
    <row r="424" spans="1:2">
      <c r="A424" s="1">
        <v>42247</v>
      </c>
      <c r="B424" s="15">
        <v>49.2</v>
      </c>
    </row>
    <row r="425" spans="1:2">
      <c r="A425" s="1">
        <v>42248</v>
      </c>
      <c r="B425" s="15">
        <v>45.38</v>
      </c>
    </row>
    <row r="426" spans="1:2">
      <c r="A426" s="1">
        <v>42249</v>
      </c>
      <c r="B426" s="15">
        <v>46.3</v>
      </c>
    </row>
    <row r="427" spans="1:2">
      <c r="A427" s="1">
        <v>42250</v>
      </c>
      <c r="B427" s="15">
        <v>46.75</v>
      </c>
    </row>
    <row r="428" spans="1:2">
      <c r="A428" s="1">
        <v>42251</v>
      </c>
      <c r="B428" s="15">
        <v>46.02</v>
      </c>
    </row>
    <row r="429" spans="1:2">
      <c r="A429" s="1">
        <v>42254</v>
      </c>
      <c r="B429" s="15">
        <v>46.02</v>
      </c>
    </row>
    <row r="430" spans="1:2">
      <c r="A430" s="1">
        <v>42255</v>
      </c>
      <c r="B430" s="15">
        <v>45.92</v>
      </c>
    </row>
    <row r="431" spans="1:2">
      <c r="A431" s="1">
        <v>42256</v>
      </c>
      <c r="B431" s="15">
        <v>44.13</v>
      </c>
    </row>
    <row r="432" spans="1:2">
      <c r="A432" s="1">
        <v>42257</v>
      </c>
      <c r="B432" s="15">
        <v>45.85</v>
      </c>
    </row>
    <row r="433" spans="1:2">
      <c r="A433" s="1">
        <v>42258</v>
      </c>
      <c r="B433" s="15">
        <v>44.75</v>
      </c>
    </row>
    <row r="434" spans="1:2">
      <c r="A434" s="1">
        <v>42261</v>
      </c>
      <c r="B434" s="15">
        <v>44.07</v>
      </c>
    </row>
    <row r="435" spans="1:2">
      <c r="A435" s="1">
        <v>42262</v>
      </c>
      <c r="B435" s="15">
        <v>44.58</v>
      </c>
    </row>
    <row r="436" spans="1:2">
      <c r="A436" s="1">
        <v>42263</v>
      </c>
      <c r="B436" s="15">
        <v>47.12</v>
      </c>
    </row>
    <row r="437" spans="1:2">
      <c r="A437" s="1">
        <v>42264</v>
      </c>
      <c r="B437" s="15">
        <v>46.93</v>
      </c>
    </row>
    <row r="438" spans="1:2">
      <c r="A438" s="1">
        <v>42265</v>
      </c>
      <c r="B438" s="15">
        <v>44.71</v>
      </c>
    </row>
    <row r="439" spans="1:2">
      <c r="A439" s="1">
        <v>42268</v>
      </c>
      <c r="B439" s="15">
        <v>46.67</v>
      </c>
    </row>
    <row r="440" spans="1:2">
      <c r="A440" s="1">
        <v>42269</v>
      </c>
      <c r="B440" s="15">
        <v>46.17</v>
      </c>
    </row>
    <row r="441" spans="1:2">
      <c r="A441" s="1">
        <v>42270</v>
      </c>
      <c r="B441" s="15">
        <v>44.53</v>
      </c>
    </row>
    <row r="442" spans="1:2">
      <c r="A442" s="1">
        <v>42271</v>
      </c>
      <c r="B442" s="15">
        <v>44.94</v>
      </c>
    </row>
    <row r="443" spans="1:2">
      <c r="A443" s="1">
        <v>42272</v>
      </c>
      <c r="B443" s="15">
        <v>45.55</v>
      </c>
    </row>
    <row r="444" spans="1:2">
      <c r="A444" s="1">
        <v>42275</v>
      </c>
      <c r="B444" s="15">
        <v>44.4</v>
      </c>
    </row>
    <row r="445" spans="1:2">
      <c r="A445" s="1">
        <v>42276</v>
      </c>
      <c r="B445" s="15">
        <v>45.24</v>
      </c>
    </row>
    <row r="446" spans="1:2">
      <c r="A446" s="1">
        <v>42277</v>
      </c>
      <c r="B446" s="15">
        <v>45.06</v>
      </c>
    </row>
    <row r="447" spans="1:2">
      <c r="A447" s="1">
        <v>42278</v>
      </c>
      <c r="B447" s="15">
        <v>44.75</v>
      </c>
    </row>
    <row r="448" spans="1:2">
      <c r="A448" s="1">
        <v>42279</v>
      </c>
      <c r="B448" s="15">
        <v>45.54</v>
      </c>
    </row>
    <row r="449" spans="1:2">
      <c r="A449" s="1">
        <v>42282</v>
      </c>
      <c r="B449" s="15">
        <v>46.28</v>
      </c>
    </row>
    <row r="450" spans="1:2">
      <c r="A450" s="1">
        <v>42283</v>
      </c>
      <c r="B450" s="15">
        <v>48.53</v>
      </c>
    </row>
    <row r="451" spans="1:2">
      <c r="A451" s="1">
        <v>42284</v>
      </c>
      <c r="B451" s="15">
        <v>47.86</v>
      </c>
    </row>
    <row r="452" spans="1:2">
      <c r="A452" s="1">
        <v>42285</v>
      </c>
      <c r="B452" s="15">
        <v>49.46</v>
      </c>
    </row>
    <row r="453" spans="1:2">
      <c r="A453" s="1">
        <v>42286</v>
      </c>
      <c r="B453" s="15">
        <v>49.67</v>
      </c>
    </row>
    <row r="454" spans="1:2">
      <c r="A454" s="1">
        <v>42289</v>
      </c>
      <c r="B454" s="15">
        <v>47.09</v>
      </c>
    </row>
    <row r="455" spans="1:2">
      <c r="A455" s="1">
        <v>42290</v>
      </c>
      <c r="B455" s="15">
        <v>46.7</v>
      </c>
    </row>
    <row r="456" spans="1:2">
      <c r="A456" s="1">
        <v>42291</v>
      </c>
      <c r="B456" s="15">
        <v>46.63</v>
      </c>
    </row>
    <row r="457" spans="1:2">
      <c r="A457" s="1">
        <v>42292</v>
      </c>
      <c r="B457" s="15">
        <v>46.38</v>
      </c>
    </row>
    <row r="458" spans="1:2">
      <c r="A458" s="1">
        <v>42293</v>
      </c>
      <c r="B458" s="15">
        <v>47.3</v>
      </c>
    </row>
    <row r="459" spans="1:2">
      <c r="A459" s="1">
        <v>42296</v>
      </c>
      <c r="B459" s="15">
        <v>45.91</v>
      </c>
    </row>
    <row r="460" spans="1:2">
      <c r="A460" s="1">
        <v>42297</v>
      </c>
      <c r="B460" s="15">
        <v>45.84</v>
      </c>
    </row>
    <row r="461" spans="1:2">
      <c r="A461" s="1">
        <v>42298</v>
      </c>
      <c r="B461" s="15">
        <v>45.22</v>
      </c>
    </row>
    <row r="462" spans="1:2">
      <c r="A462" s="1">
        <v>42299</v>
      </c>
      <c r="B462" s="15">
        <v>44.9</v>
      </c>
    </row>
    <row r="463" spans="1:2">
      <c r="A463" s="1">
        <v>42300</v>
      </c>
      <c r="B463" s="15">
        <v>43.91</v>
      </c>
    </row>
    <row r="464" spans="1:2">
      <c r="A464" s="1">
        <v>42303</v>
      </c>
      <c r="B464" s="15">
        <v>43.19</v>
      </c>
    </row>
    <row r="465" spans="1:2">
      <c r="A465" s="1">
        <v>42304</v>
      </c>
      <c r="B465" s="15">
        <v>43.21</v>
      </c>
    </row>
    <row r="466" spans="1:2">
      <c r="A466" s="1">
        <v>42305</v>
      </c>
      <c r="B466" s="15">
        <v>45.93</v>
      </c>
    </row>
    <row r="467" spans="1:2">
      <c r="A467" s="1">
        <v>42306</v>
      </c>
      <c r="B467" s="15">
        <v>46.02</v>
      </c>
    </row>
    <row r="468" spans="1:2">
      <c r="A468" s="1">
        <v>42307</v>
      </c>
      <c r="B468" s="15">
        <v>46.6</v>
      </c>
    </row>
    <row r="469" spans="1:2">
      <c r="A469" s="1">
        <v>42310</v>
      </c>
      <c r="B469" s="15">
        <v>46.12</v>
      </c>
    </row>
    <row r="470" spans="1:2">
      <c r="A470" s="1">
        <v>42311</v>
      </c>
      <c r="B470" s="15">
        <v>47.88</v>
      </c>
    </row>
    <row r="471" spans="1:2">
      <c r="A471" s="1">
        <v>42312</v>
      </c>
      <c r="B471" s="15">
        <v>46.32</v>
      </c>
    </row>
    <row r="472" spans="1:2">
      <c r="A472" s="1">
        <v>42313</v>
      </c>
      <c r="B472" s="15">
        <v>45.27</v>
      </c>
    </row>
    <row r="473" spans="1:2">
      <c r="A473" s="1">
        <v>42314</v>
      </c>
      <c r="B473" s="15">
        <v>44.32</v>
      </c>
    </row>
    <row r="474" spans="1:2">
      <c r="A474" s="1">
        <v>42317</v>
      </c>
      <c r="B474" s="15">
        <v>43.87</v>
      </c>
    </row>
    <row r="475" spans="1:2">
      <c r="A475" s="1">
        <v>42318</v>
      </c>
      <c r="B475" s="15">
        <v>44.23</v>
      </c>
    </row>
    <row r="476" spans="1:2">
      <c r="A476" s="1">
        <v>42319</v>
      </c>
      <c r="B476" s="15">
        <v>42.95</v>
      </c>
    </row>
    <row r="477" spans="1:2">
      <c r="A477" s="1">
        <v>42320</v>
      </c>
      <c r="B477" s="15">
        <v>41.74</v>
      </c>
    </row>
    <row r="478" spans="1:2">
      <c r="A478" s="1">
        <v>42321</v>
      </c>
      <c r="B478" s="15">
        <v>40.69</v>
      </c>
    </row>
    <row r="479" spans="1:2">
      <c r="A479" s="1">
        <v>42324</v>
      </c>
      <c r="B479" s="15">
        <v>41.68</v>
      </c>
    </row>
    <row r="480" spans="1:2">
      <c r="A480" s="1">
        <v>42325</v>
      </c>
      <c r="B480" s="15">
        <v>40.729999999999997</v>
      </c>
    </row>
    <row r="481" spans="1:2">
      <c r="A481" s="1">
        <v>42326</v>
      </c>
      <c r="B481" s="15">
        <v>40.75</v>
      </c>
    </row>
    <row r="482" spans="1:2">
      <c r="A482" s="1">
        <v>42327</v>
      </c>
      <c r="B482" s="15">
        <v>40.549999999999997</v>
      </c>
    </row>
    <row r="483" spans="1:2">
      <c r="A483" s="1">
        <v>42328</v>
      </c>
      <c r="B483" s="15">
        <v>39.39</v>
      </c>
    </row>
    <row r="484" spans="1:2">
      <c r="A484" s="1">
        <v>42331</v>
      </c>
      <c r="B484" s="15">
        <v>39.270000000000003</v>
      </c>
    </row>
    <row r="485" spans="1:2">
      <c r="A485" s="1">
        <v>42332</v>
      </c>
      <c r="B485" s="15">
        <v>40.89</v>
      </c>
    </row>
    <row r="486" spans="1:2">
      <c r="A486" s="1">
        <v>42333</v>
      </c>
      <c r="B486" s="15">
        <v>41.22</v>
      </c>
    </row>
    <row r="487" spans="1:2">
      <c r="A487" s="1">
        <v>42334</v>
      </c>
      <c r="B487" s="15">
        <v>41.22</v>
      </c>
    </row>
    <row r="488" spans="1:2">
      <c r="A488" s="1">
        <v>42335</v>
      </c>
      <c r="B488" s="15">
        <v>40.57</v>
      </c>
    </row>
    <row r="489" spans="1:2">
      <c r="A489" s="1">
        <v>42338</v>
      </c>
      <c r="B489" s="15">
        <v>40.43</v>
      </c>
    </row>
    <row r="490" spans="1:2">
      <c r="A490" s="1">
        <v>42339</v>
      </c>
      <c r="B490" s="15">
        <v>40.58</v>
      </c>
    </row>
    <row r="491" spans="1:2">
      <c r="A491" s="1">
        <v>42340</v>
      </c>
      <c r="B491" s="15">
        <v>39.93</v>
      </c>
    </row>
    <row r="492" spans="1:2">
      <c r="A492" s="1">
        <v>42341</v>
      </c>
      <c r="B492" s="15">
        <v>41.08</v>
      </c>
    </row>
    <row r="493" spans="1:2">
      <c r="A493" s="1">
        <v>42342</v>
      </c>
      <c r="B493" s="15">
        <v>40</v>
      </c>
    </row>
    <row r="494" spans="1:2">
      <c r="A494" s="1">
        <v>42345</v>
      </c>
      <c r="B494" s="15">
        <v>37.64</v>
      </c>
    </row>
    <row r="495" spans="1:2">
      <c r="A495" s="1">
        <v>42346</v>
      </c>
      <c r="B495" s="15">
        <v>37.46</v>
      </c>
    </row>
    <row r="496" spans="1:2">
      <c r="A496" s="1">
        <v>42347</v>
      </c>
      <c r="B496" s="15">
        <v>37.159999999999997</v>
      </c>
    </row>
    <row r="497" spans="1:2">
      <c r="A497" s="1">
        <v>42348</v>
      </c>
      <c r="B497" s="15">
        <v>36.76</v>
      </c>
    </row>
    <row r="498" spans="1:2">
      <c r="A498" s="1">
        <v>42349</v>
      </c>
      <c r="B498" s="15">
        <v>35.65</v>
      </c>
    </row>
    <row r="499" spans="1:2">
      <c r="A499" s="1">
        <v>42352</v>
      </c>
      <c r="B499" s="15">
        <v>36.31</v>
      </c>
    </row>
    <row r="500" spans="1:2">
      <c r="A500" s="1">
        <v>42353</v>
      </c>
      <c r="B500" s="15">
        <v>37.32</v>
      </c>
    </row>
    <row r="501" spans="1:2">
      <c r="A501" s="1">
        <v>42354</v>
      </c>
      <c r="B501" s="15">
        <v>35.549999999999997</v>
      </c>
    </row>
    <row r="502" spans="1:2">
      <c r="A502" s="1">
        <v>42355</v>
      </c>
      <c r="B502" s="15">
        <v>34.979999999999997</v>
      </c>
    </row>
    <row r="503" spans="1:2">
      <c r="A503" s="1">
        <v>42356</v>
      </c>
      <c r="B503" s="15">
        <v>34.72</v>
      </c>
    </row>
    <row r="504" spans="1:2">
      <c r="A504" s="1">
        <v>42359</v>
      </c>
      <c r="B504" s="15">
        <v>34.549999999999997</v>
      </c>
    </row>
    <row r="505" spans="1:2">
      <c r="A505" s="1">
        <v>42360</v>
      </c>
      <c r="B505" s="15">
        <v>36.119999999999997</v>
      </c>
    </row>
    <row r="506" spans="1:2">
      <c r="A506" s="1">
        <v>42361</v>
      </c>
      <c r="B506" s="15">
        <v>36.76</v>
      </c>
    </row>
    <row r="507" spans="1:2">
      <c r="A507" s="1">
        <v>42362</v>
      </c>
      <c r="B507" s="15">
        <v>37.619999999999997</v>
      </c>
    </row>
    <row r="508" spans="1:2">
      <c r="A508" s="1">
        <v>42363</v>
      </c>
      <c r="B508" s="15">
        <v>37.6</v>
      </c>
    </row>
    <row r="509" spans="1:2">
      <c r="A509" s="1">
        <v>42366</v>
      </c>
      <c r="B509" s="15">
        <v>36.36</v>
      </c>
    </row>
    <row r="510" spans="1:2">
      <c r="A510" s="1">
        <v>42367</v>
      </c>
      <c r="B510" s="15">
        <v>37.880000000000003</v>
      </c>
    </row>
    <row r="511" spans="1:2">
      <c r="A511" s="1">
        <v>42368</v>
      </c>
      <c r="B511" s="15">
        <v>36.590000000000003</v>
      </c>
    </row>
    <row r="512" spans="1:2">
      <c r="A512" s="1">
        <v>42369</v>
      </c>
      <c r="B512" s="15">
        <v>37.130000000000003</v>
      </c>
    </row>
    <row r="513" spans="1:2">
      <c r="A513" s="1">
        <v>42370</v>
      </c>
      <c r="B513" s="15">
        <v>37.130000000000003</v>
      </c>
    </row>
    <row r="514" spans="1:2">
      <c r="A514" s="1">
        <v>42373</v>
      </c>
      <c r="B514" s="15">
        <v>36.81</v>
      </c>
    </row>
    <row r="515" spans="1:2">
      <c r="A515" s="1">
        <v>42374</v>
      </c>
      <c r="B515" s="15">
        <v>35.97</v>
      </c>
    </row>
    <row r="516" spans="1:2">
      <c r="A516" s="1">
        <v>42375</v>
      </c>
      <c r="B516" s="15">
        <v>33.97</v>
      </c>
    </row>
    <row r="517" spans="1:2">
      <c r="A517" s="1">
        <v>42376</v>
      </c>
      <c r="B517" s="15">
        <v>33.29</v>
      </c>
    </row>
    <row r="518" spans="1:2">
      <c r="A518" s="1">
        <v>42377</v>
      </c>
      <c r="B518" s="15">
        <v>33.200000000000003</v>
      </c>
    </row>
    <row r="519" spans="1:2">
      <c r="A519" s="1">
        <v>42380</v>
      </c>
      <c r="B519" s="15">
        <v>31.42</v>
      </c>
    </row>
    <row r="520" spans="1:2">
      <c r="A520" s="1">
        <v>42381</v>
      </c>
      <c r="B520" s="15">
        <v>30.42</v>
      </c>
    </row>
    <row r="521" spans="1:2">
      <c r="A521" s="1">
        <v>42382</v>
      </c>
      <c r="B521" s="15">
        <v>30.42</v>
      </c>
    </row>
    <row r="522" spans="1:2">
      <c r="A522" s="1">
        <v>42383</v>
      </c>
      <c r="B522" s="15">
        <v>31.22</v>
      </c>
    </row>
    <row r="523" spans="1:2">
      <c r="A523" s="1">
        <v>42384</v>
      </c>
      <c r="B523" s="15">
        <v>29.45</v>
      </c>
    </row>
    <row r="524" spans="1:2">
      <c r="A524" s="1">
        <v>42388</v>
      </c>
      <c r="B524" s="15">
        <v>28.47</v>
      </c>
    </row>
    <row r="525" spans="1:2">
      <c r="A525" s="1">
        <v>42389</v>
      </c>
      <c r="B525" s="15">
        <v>26.68</v>
      </c>
    </row>
    <row r="526" spans="1:2">
      <c r="A526" s="1">
        <v>42390</v>
      </c>
      <c r="B526" s="15">
        <v>29.55</v>
      </c>
    </row>
    <row r="527" spans="1:2">
      <c r="A527" s="1">
        <v>42391</v>
      </c>
      <c r="B527" s="15">
        <v>32.07</v>
      </c>
    </row>
    <row r="528" spans="1:2">
      <c r="A528" s="1">
        <v>42394</v>
      </c>
      <c r="B528" s="15">
        <v>30.31</v>
      </c>
    </row>
    <row r="529" spans="1:2">
      <c r="A529" s="1">
        <v>42395</v>
      </c>
      <c r="B529" s="15">
        <v>29.54</v>
      </c>
    </row>
    <row r="530" spans="1:2">
      <c r="A530" s="1">
        <v>42396</v>
      </c>
      <c r="B530" s="15">
        <v>32.32</v>
      </c>
    </row>
    <row r="531" spans="1:2">
      <c r="A531" s="1">
        <v>42397</v>
      </c>
      <c r="B531" s="15">
        <v>33.21</v>
      </c>
    </row>
    <row r="532" spans="1:2">
      <c r="A532" s="1">
        <v>42398</v>
      </c>
      <c r="B532" s="15">
        <v>33.659999999999997</v>
      </c>
    </row>
    <row r="533" spans="1:2">
      <c r="A533" s="1">
        <v>42401</v>
      </c>
      <c r="B533" s="15">
        <v>31.62</v>
      </c>
    </row>
    <row r="534" spans="1:2">
      <c r="A534" s="1">
        <v>42402</v>
      </c>
      <c r="B534" s="15">
        <v>29.9</v>
      </c>
    </row>
    <row r="535" spans="1:2">
      <c r="A535" s="1">
        <v>42403</v>
      </c>
      <c r="B535" s="15">
        <v>32.29</v>
      </c>
    </row>
    <row r="536" spans="1:2">
      <c r="A536" s="1">
        <v>42404</v>
      </c>
      <c r="B536" s="15">
        <v>31.63</v>
      </c>
    </row>
    <row r="537" spans="1:2">
      <c r="A537" s="1">
        <v>42405</v>
      </c>
      <c r="B537" s="15">
        <v>30.86</v>
      </c>
    </row>
    <row r="538" spans="1:2">
      <c r="A538" s="1">
        <v>42408</v>
      </c>
      <c r="B538" s="15">
        <v>29.71</v>
      </c>
    </row>
    <row r="539" spans="1:2">
      <c r="A539" s="1">
        <v>42409</v>
      </c>
      <c r="B539" s="15">
        <v>27.96</v>
      </c>
    </row>
    <row r="540" spans="1:2">
      <c r="A540" s="1">
        <v>42410</v>
      </c>
      <c r="B540" s="15">
        <v>27.54</v>
      </c>
    </row>
    <row r="541" spans="1:2">
      <c r="A541" s="1">
        <v>42411</v>
      </c>
      <c r="B541" s="15">
        <v>26.19</v>
      </c>
    </row>
    <row r="542" spans="1:2">
      <c r="A542" s="1">
        <v>42412</v>
      </c>
      <c r="B542" s="15">
        <v>29.32</v>
      </c>
    </row>
    <row r="543" spans="1:2">
      <c r="A543" s="1">
        <v>42416</v>
      </c>
      <c r="B543" s="15">
        <v>29.05</v>
      </c>
    </row>
    <row r="544" spans="1:2">
      <c r="A544" s="1">
        <v>42417</v>
      </c>
      <c r="B544" s="15">
        <v>30.68</v>
      </c>
    </row>
    <row r="545" spans="1:2">
      <c r="A545" s="1">
        <v>42418</v>
      </c>
      <c r="B545" s="15">
        <v>30.77</v>
      </c>
    </row>
    <row r="546" spans="1:2">
      <c r="A546" s="1">
        <v>42419</v>
      </c>
      <c r="B546" s="15">
        <v>29.59</v>
      </c>
    </row>
    <row r="547" spans="1:2">
      <c r="A547" s="1">
        <v>42422</v>
      </c>
      <c r="B547" s="15">
        <v>31.37</v>
      </c>
    </row>
    <row r="548" spans="1:2">
      <c r="A548" s="1">
        <v>42423</v>
      </c>
      <c r="B548" s="15">
        <v>31.84</v>
      </c>
    </row>
    <row r="549" spans="1:2">
      <c r="A549" s="1">
        <v>42424</v>
      </c>
      <c r="B549" s="15">
        <v>30.35</v>
      </c>
    </row>
    <row r="550" spans="1:2">
      <c r="A550" s="1">
        <v>42425</v>
      </c>
      <c r="B550" s="15">
        <v>31.4</v>
      </c>
    </row>
    <row r="551" spans="1:2">
      <c r="A551" s="1">
        <v>42426</v>
      </c>
      <c r="B551" s="15">
        <v>31.65</v>
      </c>
    </row>
    <row r="552" spans="1:2">
      <c r="A552" s="1">
        <v>42429</v>
      </c>
      <c r="B552" s="15">
        <v>32.74</v>
      </c>
    </row>
    <row r="553" spans="1:2">
      <c r="A553" s="1">
        <v>42430</v>
      </c>
      <c r="B553" s="15">
        <v>34.39</v>
      </c>
    </row>
    <row r="554" spans="1:2">
      <c r="A554" s="1">
        <v>42431</v>
      </c>
      <c r="B554" s="15">
        <v>34.57</v>
      </c>
    </row>
    <row r="555" spans="1:2">
      <c r="A555" s="1">
        <v>42432</v>
      </c>
      <c r="B555" s="15">
        <v>34.56</v>
      </c>
    </row>
    <row r="556" spans="1:2">
      <c r="A556" s="1">
        <v>42433</v>
      </c>
      <c r="B556" s="15">
        <v>35.909999999999997</v>
      </c>
    </row>
    <row r="557" spans="1:2">
      <c r="A557" s="1">
        <v>42436</v>
      </c>
      <c r="B557" s="15">
        <v>37.9</v>
      </c>
    </row>
    <row r="558" spans="1:2">
      <c r="A558" s="1">
        <v>42437</v>
      </c>
      <c r="B558" s="15">
        <v>36.67</v>
      </c>
    </row>
    <row r="559" spans="1:2">
      <c r="A559" s="1">
        <v>42438</v>
      </c>
      <c r="B559" s="15">
        <v>37.619999999999997</v>
      </c>
    </row>
    <row r="560" spans="1:2">
      <c r="A560" s="1">
        <v>42439</v>
      </c>
      <c r="B560" s="15">
        <v>37.770000000000003</v>
      </c>
    </row>
    <row r="561" spans="1:2">
      <c r="A561" s="1">
        <v>42440</v>
      </c>
      <c r="B561" s="15">
        <v>38.51</v>
      </c>
    </row>
    <row r="562" spans="1:2">
      <c r="A562" s="1">
        <v>42443</v>
      </c>
      <c r="B562" s="15">
        <v>37.200000000000003</v>
      </c>
    </row>
    <row r="563" spans="1:2">
      <c r="A563" s="1">
        <v>42444</v>
      </c>
      <c r="B563" s="15">
        <v>36.32</v>
      </c>
    </row>
    <row r="564" spans="1:2">
      <c r="A564" s="1">
        <v>42445</v>
      </c>
      <c r="B564" s="15">
        <v>38.43</v>
      </c>
    </row>
    <row r="565" spans="1:2">
      <c r="A565" s="1">
        <v>42446</v>
      </c>
      <c r="B565" s="15">
        <v>40.17</v>
      </c>
    </row>
    <row r="566" spans="1:2">
      <c r="A566" s="1">
        <v>42447</v>
      </c>
      <c r="B566" s="15">
        <v>39.47</v>
      </c>
    </row>
    <row r="567" spans="1:2">
      <c r="A567" s="1">
        <v>42450</v>
      </c>
      <c r="B567" s="15">
        <v>39.909999999999997</v>
      </c>
    </row>
    <row r="568" spans="1:2">
      <c r="A568" s="1">
        <v>42451</v>
      </c>
      <c r="B568" s="15">
        <v>41.45</v>
      </c>
    </row>
    <row r="569" spans="1:2">
      <c r="A569" s="1">
        <v>42452</v>
      </c>
      <c r="B569" s="15">
        <v>38.28</v>
      </c>
    </row>
    <row r="570" spans="1:2">
      <c r="A570" s="1">
        <v>42453</v>
      </c>
      <c r="B570" s="15">
        <v>38.14</v>
      </c>
    </row>
    <row r="571" spans="1:2">
      <c r="A571" s="1">
        <v>42457</v>
      </c>
      <c r="B571" s="15">
        <v>37.99</v>
      </c>
    </row>
    <row r="572" spans="1:2">
      <c r="A572" s="1">
        <v>42458</v>
      </c>
      <c r="B572" s="15">
        <v>36.909999999999997</v>
      </c>
    </row>
    <row r="573" spans="1:2">
      <c r="A573" s="1">
        <v>42459</v>
      </c>
      <c r="B573" s="15">
        <v>36.909999999999997</v>
      </c>
    </row>
    <row r="574" spans="1:2">
      <c r="A574" s="1">
        <v>42460</v>
      </c>
      <c r="B574" s="15">
        <v>36.94</v>
      </c>
    </row>
    <row r="575" spans="1:2">
      <c r="A575" s="1">
        <v>42461</v>
      </c>
      <c r="B575" s="15">
        <v>35.36</v>
      </c>
    </row>
    <row r="576" spans="1:2">
      <c r="A576" s="1">
        <v>42464</v>
      </c>
      <c r="B576" s="15">
        <v>34.299999999999997</v>
      </c>
    </row>
    <row r="577" spans="1:2">
      <c r="A577" s="1">
        <v>42465</v>
      </c>
      <c r="B577" s="15">
        <v>34.520000000000003</v>
      </c>
    </row>
    <row r="578" spans="1:2">
      <c r="A578" s="1">
        <v>42466</v>
      </c>
      <c r="B578" s="15">
        <v>37.74</v>
      </c>
    </row>
    <row r="579" spans="1:2">
      <c r="A579" s="1">
        <v>42467</v>
      </c>
      <c r="B579" s="15">
        <v>37.299999999999997</v>
      </c>
    </row>
    <row r="580" spans="1:2">
      <c r="A580" s="1">
        <v>42468</v>
      </c>
      <c r="B580" s="15">
        <v>39.74</v>
      </c>
    </row>
    <row r="581" spans="1:2">
      <c r="A581" s="1">
        <v>42471</v>
      </c>
      <c r="B581" s="15">
        <v>40.46</v>
      </c>
    </row>
    <row r="582" spans="1:2">
      <c r="A582" s="1">
        <v>42472</v>
      </c>
      <c r="B582" s="15">
        <v>42.12</v>
      </c>
    </row>
    <row r="583" spans="1:2">
      <c r="A583" s="1">
        <v>42473</v>
      </c>
      <c r="B583" s="15">
        <v>41.7</v>
      </c>
    </row>
    <row r="584" spans="1:2">
      <c r="A584" s="1">
        <v>42474</v>
      </c>
      <c r="B584" s="15">
        <v>41.45</v>
      </c>
    </row>
    <row r="585" spans="1:2">
      <c r="A585" s="1">
        <v>42475</v>
      </c>
      <c r="B585" s="15">
        <v>40.4</v>
      </c>
    </row>
    <row r="586" spans="1:2">
      <c r="A586" s="1">
        <v>42478</v>
      </c>
      <c r="B586" s="15">
        <v>39.74</v>
      </c>
    </row>
    <row r="587" spans="1:2">
      <c r="A587" s="1">
        <v>42479</v>
      </c>
      <c r="B587" s="15">
        <v>40.880000000000003</v>
      </c>
    </row>
    <row r="588" spans="1:2">
      <c r="A588" s="1">
        <v>42480</v>
      </c>
      <c r="B588" s="15">
        <v>42.72</v>
      </c>
    </row>
    <row r="589" spans="1:2">
      <c r="A589" s="1">
        <v>42481</v>
      </c>
      <c r="B589" s="15">
        <v>43.18</v>
      </c>
    </row>
    <row r="590" spans="1:2">
      <c r="A590" s="1">
        <v>42482</v>
      </c>
      <c r="B590" s="15">
        <v>42.76</v>
      </c>
    </row>
    <row r="591" spans="1:2">
      <c r="A591" s="1">
        <v>42485</v>
      </c>
      <c r="B591" s="15">
        <v>41.67</v>
      </c>
    </row>
    <row r="592" spans="1:2">
      <c r="A592" s="1">
        <v>42486</v>
      </c>
      <c r="B592" s="15">
        <v>42.52</v>
      </c>
    </row>
    <row r="593" spans="1:2">
      <c r="A593" s="1">
        <v>42487</v>
      </c>
      <c r="B593" s="15">
        <v>45.29</v>
      </c>
    </row>
    <row r="594" spans="1:2">
      <c r="A594" s="1">
        <v>42488</v>
      </c>
      <c r="B594" s="15">
        <v>46.03</v>
      </c>
    </row>
    <row r="595" spans="1:2">
      <c r="A595" s="1">
        <v>42489</v>
      </c>
      <c r="B595" s="15">
        <v>45.98</v>
      </c>
    </row>
    <row r="596" spans="1:2">
      <c r="A596" s="1">
        <v>42492</v>
      </c>
      <c r="B596" s="15">
        <v>44.75</v>
      </c>
    </row>
    <row r="597" spans="1:2">
      <c r="A597" s="1">
        <v>42493</v>
      </c>
      <c r="B597" s="15">
        <v>43.65</v>
      </c>
    </row>
    <row r="598" spans="1:2">
      <c r="A598" s="1">
        <v>42494</v>
      </c>
      <c r="B598" s="15">
        <v>43.77</v>
      </c>
    </row>
    <row r="599" spans="1:2">
      <c r="A599" s="1">
        <v>42495</v>
      </c>
      <c r="B599" s="15">
        <v>44.33</v>
      </c>
    </row>
    <row r="600" spans="1:2">
      <c r="A600" s="1">
        <v>42496</v>
      </c>
      <c r="B600" s="15">
        <v>44.58</v>
      </c>
    </row>
    <row r="601" spans="1:2">
      <c r="A601" s="1">
        <v>42499</v>
      </c>
      <c r="B601" s="15">
        <v>43.45</v>
      </c>
    </row>
    <row r="602" spans="1:2">
      <c r="A602" s="1">
        <v>42500</v>
      </c>
      <c r="B602" s="15">
        <v>44.68</v>
      </c>
    </row>
    <row r="603" spans="1:2">
      <c r="A603" s="1">
        <v>42501</v>
      </c>
      <c r="B603" s="15">
        <v>46.21</v>
      </c>
    </row>
    <row r="604" spans="1:2">
      <c r="A604" s="1">
        <v>42502</v>
      </c>
      <c r="B604" s="15">
        <v>46.64</v>
      </c>
    </row>
    <row r="605" spans="1:2">
      <c r="A605" s="1">
        <v>42503</v>
      </c>
      <c r="B605" s="15">
        <v>46.22</v>
      </c>
    </row>
    <row r="606" spans="1:2">
      <c r="A606" s="1">
        <v>42506</v>
      </c>
      <c r="B606" s="15">
        <v>47.72</v>
      </c>
    </row>
    <row r="607" spans="1:2">
      <c r="A607" s="1">
        <v>42507</v>
      </c>
      <c r="B607" s="15">
        <v>48.29</v>
      </c>
    </row>
    <row r="608" spans="1:2">
      <c r="A608" s="1">
        <v>42508</v>
      </c>
      <c r="B608" s="15">
        <v>48.12</v>
      </c>
    </row>
    <row r="609" spans="1:2">
      <c r="A609" s="1">
        <v>42509</v>
      </c>
      <c r="B609" s="15">
        <v>48.16</v>
      </c>
    </row>
    <row r="610" spans="1:2">
      <c r="A610" s="1">
        <v>42510</v>
      </c>
      <c r="B610" s="15">
        <v>47.67</v>
      </c>
    </row>
    <row r="611" spans="1:2">
      <c r="A611" s="1">
        <v>42513</v>
      </c>
      <c r="B611" s="15">
        <v>48.12</v>
      </c>
    </row>
    <row r="612" spans="1:2">
      <c r="A612" s="1">
        <v>42514</v>
      </c>
      <c r="B612" s="15">
        <v>48.04</v>
      </c>
    </row>
    <row r="613" spans="1:2">
      <c r="A613" s="1">
        <v>42515</v>
      </c>
      <c r="B613" s="15">
        <v>49.1</v>
      </c>
    </row>
    <row r="614" spans="1:2">
      <c r="A614" s="1">
        <v>42516</v>
      </c>
      <c r="B614" s="15">
        <v>49</v>
      </c>
    </row>
    <row r="615" spans="1:2">
      <c r="A615" s="1">
        <v>42517</v>
      </c>
      <c r="B615" s="15">
        <v>49.36</v>
      </c>
    </row>
    <row r="616" spans="1:2">
      <c r="A616" s="1">
        <v>42521</v>
      </c>
      <c r="B616" s="15">
        <v>49.1</v>
      </c>
    </row>
    <row r="617" spans="1:2">
      <c r="A617" s="1">
        <v>42522</v>
      </c>
      <c r="B617" s="15">
        <v>49.07</v>
      </c>
    </row>
    <row r="618" spans="1:2">
      <c r="A618" s="1">
        <v>42523</v>
      </c>
      <c r="B618" s="15">
        <v>49.14</v>
      </c>
    </row>
    <row r="619" spans="1:2">
      <c r="A619" s="1">
        <v>42524</v>
      </c>
      <c r="B619" s="15">
        <v>48.69</v>
      </c>
    </row>
    <row r="620" spans="1:2">
      <c r="A620" s="1">
        <v>42527</v>
      </c>
      <c r="B620" s="15">
        <v>49.71</v>
      </c>
    </row>
    <row r="621" spans="1:2">
      <c r="A621" s="1">
        <v>42528</v>
      </c>
      <c r="B621" s="15">
        <v>50.37</v>
      </c>
    </row>
    <row r="622" spans="1:2">
      <c r="A622" s="1">
        <v>42529</v>
      </c>
      <c r="B622" s="15">
        <v>51.23</v>
      </c>
    </row>
    <row r="623" spans="1:2">
      <c r="A623" s="1">
        <v>42530</v>
      </c>
      <c r="B623" s="15">
        <v>50.52</v>
      </c>
    </row>
    <row r="624" spans="1:2">
      <c r="A624" s="1">
        <v>42531</v>
      </c>
      <c r="B624" s="15">
        <v>49.09</v>
      </c>
    </row>
    <row r="625" spans="1:2">
      <c r="A625" s="1">
        <v>42534</v>
      </c>
      <c r="B625" s="15">
        <v>48.89</v>
      </c>
    </row>
    <row r="626" spans="1:2">
      <c r="A626" s="1">
        <v>42535</v>
      </c>
      <c r="B626" s="15">
        <v>48.49</v>
      </c>
    </row>
    <row r="627" spans="1:2">
      <c r="A627" s="1">
        <v>42536</v>
      </c>
      <c r="B627" s="15">
        <v>47.92</v>
      </c>
    </row>
    <row r="628" spans="1:2">
      <c r="A628" s="1">
        <v>42537</v>
      </c>
      <c r="B628" s="15">
        <v>46.14</v>
      </c>
    </row>
    <row r="629" spans="1:2">
      <c r="A629" s="1">
        <v>42538</v>
      </c>
      <c r="B629" s="15">
        <v>48</v>
      </c>
    </row>
    <row r="630" spans="1:2">
      <c r="A630" s="1">
        <v>42541</v>
      </c>
      <c r="B630" s="15">
        <v>49.4</v>
      </c>
    </row>
    <row r="631" spans="1:2">
      <c r="A631" s="1">
        <v>42542</v>
      </c>
      <c r="B631" s="15">
        <v>48.95</v>
      </c>
    </row>
    <row r="632" spans="1:2">
      <c r="A632" s="1">
        <v>42543</v>
      </c>
      <c r="B632" s="15">
        <v>49.16</v>
      </c>
    </row>
    <row r="633" spans="1:2">
      <c r="A633" s="1">
        <v>42544</v>
      </c>
      <c r="B633" s="15">
        <v>49.34</v>
      </c>
    </row>
    <row r="634" spans="1:2">
      <c r="A634" s="1">
        <v>42545</v>
      </c>
      <c r="B634" s="15">
        <v>46.7</v>
      </c>
    </row>
    <row r="635" spans="1:2">
      <c r="A635" s="1">
        <v>42548</v>
      </c>
      <c r="B635" s="15">
        <v>45.8</v>
      </c>
    </row>
    <row r="636" spans="1:2">
      <c r="A636" s="1">
        <v>42549</v>
      </c>
      <c r="B636" s="15">
        <v>47.93</v>
      </c>
    </row>
    <row r="637" spans="1:2">
      <c r="A637" s="1">
        <v>42550</v>
      </c>
      <c r="B637" s="15">
        <v>49.85</v>
      </c>
    </row>
    <row r="638" spans="1:2">
      <c r="A638" s="1">
        <v>42551</v>
      </c>
      <c r="B638" s="15">
        <v>48.27</v>
      </c>
    </row>
    <row r="639" spans="1:2">
      <c r="A639" s="1">
        <v>42552</v>
      </c>
      <c r="B639" s="15">
        <v>49.02</v>
      </c>
    </row>
    <row r="640" spans="1:2">
      <c r="A640" s="1">
        <v>42556</v>
      </c>
      <c r="B640" s="15">
        <v>46.73</v>
      </c>
    </row>
    <row r="641" spans="1:2">
      <c r="A641" s="1">
        <v>42557</v>
      </c>
      <c r="B641" s="15">
        <v>47.37</v>
      </c>
    </row>
    <row r="642" spans="1:2">
      <c r="A642" s="1">
        <v>42558</v>
      </c>
      <c r="B642" s="15">
        <v>45.22</v>
      </c>
    </row>
    <row r="643" spans="1:2">
      <c r="A643" s="1">
        <v>42559</v>
      </c>
      <c r="B643" s="15">
        <v>45.37</v>
      </c>
    </row>
    <row r="644" spans="1:2">
      <c r="A644" s="1">
        <v>42562</v>
      </c>
      <c r="B644" s="15">
        <v>44.73</v>
      </c>
    </row>
    <row r="645" spans="1:2">
      <c r="A645" s="1">
        <v>42563</v>
      </c>
      <c r="B645" s="15">
        <v>46.82</v>
      </c>
    </row>
    <row r="646" spans="1:2">
      <c r="A646" s="1">
        <v>42564</v>
      </c>
      <c r="B646" s="15">
        <v>44.87</v>
      </c>
    </row>
    <row r="647" spans="1:2">
      <c r="A647" s="1">
        <v>42565</v>
      </c>
      <c r="B647" s="15">
        <v>45.64</v>
      </c>
    </row>
    <row r="648" spans="1:2">
      <c r="A648" s="1">
        <v>42566</v>
      </c>
      <c r="B648" s="15">
        <v>45.93</v>
      </c>
    </row>
    <row r="649" spans="1:2">
      <c r="A649" s="1">
        <v>42569</v>
      </c>
      <c r="B649" s="15">
        <v>45.23</v>
      </c>
    </row>
    <row r="650" spans="1:2">
      <c r="A650" s="1">
        <v>42570</v>
      </c>
      <c r="B650" s="15">
        <v>44.64</v>
      </c>
    </row>
    <row r="651" spans="1:2">
      <c r="A651" s="1">
        <v>42571</v>
      </c>
      <c r="B651" s="15">
        <v>44.96</v>
      </c>
    </row>
    <row r="652" spans="1:2">
      <c r="A652" s="1">
        <v>42572</v>
      </c>
      <c r="B652" s="15">
        <v>43.96</v>
      </c>
    </row>
    <row r="653" spans="1:2">
      <c r="A653" s="1">
        <v>42573</v>
      </c>
      <c r="B653" s="15">
        <v>43.41</v>
      </c>
    </row>
    <row r="654" spans="1:2">
      <c r="A654" s="1">
        <v>42576</v>
      </c>
      <c r="B654" s="15">
        <v>42.4</v>
      </c>
    </row>
    <row r="655" spans="1:2">
      <c r="A655" s="1">
        <v>42577</v>
      </c>
      <c r="B655" s="15">
        <v>42.16</v>
      </c>
    </row>
    <row r="656" spans="1:2">
      <c r="A656" s="1">
        <v>42578</v>
      </c>
      <c r="B656" s="15">
        <v>41.9</v>
      </c>
    </row>
    <row r="657" spans="1:2">
      <c r="A657" s="1">
        <v>42579</v>
      </c>
      <c r="B657" s="15">
        <v>41.13</v>
      </c>
    </row>
    <row r="658" spans="1:2">
      <c r="A658" s="1">
        <v>42580</v>
      </c>
      <c r="B658" s="15">
        <v>41.54</v>
      </c>
    </row>
    <row r="659" spans="1:2">
      <c r="A659" s="1">
        <v>42583</v>
      </c>
      <c r="B659" s="15">
        <v>40.049999999999997</v>
      </c>
    </row>
    <row r="660" spans="1:2">
      <c r="A660" s="1">
        <v>42584</v>
      </c>
      <c r="B660" s="15">
        <v>39.5</v>
      </c>
    </row>
    <row r="661" spans="1:2">
      <c r="A661" s="1">
        <v>42585</v>
      </c>
      <c r="B661" s="15">
        <v>40.799999999999997</v>
      </c>
    </row>
    <row r="662" spans="1:2">
      <c r="A662" s="1">
        <v>42586</v>
      </c>
      <c r="B662" s="15">
        <v>41.92</v>
      </c>
    </row>
    <row r="663" spans="1:2">
      <c r="A663" s="1">
        <v>42587</v>
      </c>
      <c r="B663" s="15">
        <v>41.83</v>
      </c>
    </row>
    <row r="664" spans="1:2">
      <c r="A664" s="1">
        <v>42590</v>
      </c>
      <c r="B664" s="15">
        <v>43.06</v>
      </c>
    </row>
    <row r="665" spans="1:2">
      <c r="A665" s="1">
        <v>42591</v>
      </c>
      <c r="B665" s="15">
        <v>42.78</v>
      </c>
    </row>
    <row r="666" spans="1:2">
      <c r="A666" s="1">
        <v>42592</v>
      </c>
      <c r="B666" s="15">
        <v>41.75</v>
      </c>
    </row>
    <row r="667" spans="1:2">
      <c r="A667" s="1">
        <v>42593</v>
      </c>
      <c r="B667" s="15">
        <v>43.51</v>
      </c>
    </row>
    <row r="668" spans="1:2">
      <c r="A668" s="1">
        <v>42594</v>
      </c>
      <c r="B668" s="15">
        <v>44.47</v>
      </c>
    </row>
    <row r="669" spans="1:2">
      <c r="A669" s="1">
        <v>42597</v>
      </c>
      <c r="B669" s="15">
        <v>45.72</v>
      </c>
    </row>
    <row r="670" spans="1:2">
      <c r="A670" s="1">
        <v>42598</v>
      </c>
      <c r="B670" s="15">
        <v>46.57</v>
      </c>
    </row>
    <row r="671" spans="1:2">
      <c r="A671" s="1">
        <v>42599</v>
      </c>
      <c r="B671" s="15">
        <v>46.81</v>
      </c>
    </row>
    <row r="672" spans="1:2">
      <c r="A672" s="1">
        <v>42600</v>
      </c>
      <c r="B672" s="15">
        <v>48.2</v>
      </c>
    </row>
    <row r="673" spans="1:2">
      <c r="A673" s="1">
        <v>42601</v>
      </c>
      <c r="B673" s="15">
        <v>48.48</v>
      </c>
    </row>
    <row r="674" spans="1:2">
      <c r="A674" s="1">
        <v>42604</v>
      </c>
      <c r="B674" s="15">
        <v>46.8</v>
      </c>
    </row>
    <row r="675" spans="1:2">
      <c r="A675" s="1">
        <v>42605</v>
      </c>
      <c r="B675" s="15">
        <v>47.54</v>
      </c>
    </row>
    <row r="676" spans="1:2">
      <c r="A676" s="1">
        <v>42606</v>
      </c>
      <c r="B676" s="15">
        <v>46.29</v>
      </c>
    </row>
    <row r="677" spans="1:2">
      <c r="A677" s="1">
        <v>42607</v>
      </c>
      <c r="B677" s="15">
        <v>46.97</v>
      </c>
    </row>
    <row r="678" spans="1:2">
      <c r="A678" s="1">
        <v>42608</v>
      </c>
      <c r="B678" s="15">
        <v>47.64</v>
      </c>
    </row>
    <row r="679" spans="1:2">
      <c r="A679" s="1">
        <v>42611</v>
      </c>
      <c r="B679" s="15">
        <v>46.97</v>
      </c>
    </row>
    <row r="680" spans="1:2">
      <c r="A680" s="1">
        <v>42612</v>
      </c>
      <c r="B680" s="15">
        <v>46.32</v>
      </c>
    </row>
    <row r="681" spans="1:2">
      <c r="A681" s="1">
        <v>42613</v>
      </c>
      <c r="B681" s="15">
        <v>44.68</v>
      </c>
    </row>
    <row r="682" spans="1:2">
      <c r="A682" s="1">
        <v>42614</v>
      </c>
      <c r="B682" s="15">
        <v>43.17</v>
      </c>
    </row>
    <row r="683" spans="1:2">
      <c r="A683" s="1">
        <v>42615</v>
      </c>
      <c r="B683" s="15">
        <v>44.39</v>
      </c>
    </row>
    <row r="684" spans="1:2">
      <c r="A684" s="1">
        <v>42618</v>
      </c>
      <c r="B684" s="15">
        <v>44.39</v>
      </c>
    </row>
    <row r="685" spans="1:2">
      <c r="A685" s="1">
        <v>42619</v>
      </c>
      <c r="B685" s="15">
        <v>44.85</v>
      </c>
    </row>
    <row r="686" spans="1:2">
      <c r="A686" s="1">
        <v>42620</v>
      </c>
      <c r="B686" s="15">
        <v>45.47</v>
      </c>
    </row>
    <row r="687" spans="1:2">
      <c r="A687" s="1">
        <v>42621</v>
      </c>
      <c r="B687" s="15">
        <v>47.63</v>
      </c>
    </row>
    <row r="688" spans="1:2">
      <c r="A688" s="1">
        <v>42622</v>
      </c>
      <c r="B688" s="15">
        <v>45.88</v>
      </c>
    </row>
    <row r="689" spans="1:2">
      <c r="A689" s="1">
        <v>42625</v>
      </c>
      <c r="B689" s="15">
        <v>46.28</v>
      </c>
    </row>
    <row r="690" spans="1:2">
      <c r="A690" s="1">
        <v>42626</v>
      </c>
      <c r="B690" s="15">
        <v>44.91</v>
      </c>
    </row>
    <row r="691" spans="1:2">
      <c r="A691" s="1">
        <v>42627</v>
      </c>
      <c r="B691" s="15">
        <v>43.62</v>
      </c>
    </row>
    <row r="692" spans="1:2">
      <c r="A692" s="1">
        <v>42628</v>
      </c>
      <c r="B692" s="15">
        <v>43.85</v>
      </c>
    </row>
    <row r="693" spans="1:2">
      <c r="A693" s="1">
        <v>42629</v>
      </c>
      <c r="B693" s="15">
        <v>43.04</v>
      </c>
    </row>
    <row r="694" spans="1:2">
      <c r="A694" s="1">
        <v>42632</v>
      </c>
      <c r="B694" s="15">
        <v>43.34</v>
      </c>
    </row>
    <row r="695" spans="1:2">
      <c r="A695" s="1">
        <v>42633</v>
      </c>
      <c r="B695" s="15">
        <v>43.85</v>
      </c>
    </row>
    <row r="696" spans="1:2">
      <c r="A696" s="1">
        <v>42634</v>
      </c>
      <c r="B696" s="15">
        <v>45.33</v>
      </c>
    </row>
    <row r="697" spans="1:2">
      <c r="A697" s="1">
        <v>42635</v>
      </c>
      <c r="B697" s="15">
        <v>46.1</v>
      </c>
    </row>
    <row r="698" spans="1:2">
      <c r="A698" s="1">
        <v>42636</v>
      </c>
      <c r="B698" s="15">
        <v>44.36</v>
      </c>
    </row>
    <row r="699" spans="1:2">
      <c r="A699" s="1">
        <v>42639</v>
      </c>
      <c r="B699" s="15">
        <v>45.6</v>
      </c>
    </row>
    <row r="700" spans="1:2">
      <c r="A700" s="1">
        <v>42640</v>
      </c>
      <c r="B700" s="15">
        <v>44.65</v>
      </c>
    </row>
    <row r="701" spans="1:2">
      <c r="A701" s="1">
        <v>42641</v>
      </c>
      <c r="B701" s="15">
        <v>47.07</v>
      </c>
    </row>
    <row r="702" spans="1:2">
      <c r="A702" s="1">
        <v>42642</v>
      </c>
      <c r="B702" s="15">
        <v>47.72</v>
      </c>
    </row>
    <row r="703" spans="1:2">
      <c r="A703" s="1">
        <v>42643</v>
      </c>
      <c r="B703" s="15">
        <v>47.72</v>
      </c>
    </row>
    <row r="704" spans="1:2">
      <c r="A704" s="1">
        <v>42646</v>
      </c>
      <c r="B704" s="15">
        <v>48.8</v>
      </c>
    </row>
    <row r="705" spans="1:2">
      <c r="A705" s="1">
        <v>42647</v>
      </c>
      <c r="B705" s="15">
        <v>48.67</v>
      </c>
    </row>
    <row r="706" spans="1:2">
      <c r="A706" s="1">
        <v>42648</v>
      </c>
      <c r="B706" s="15">
        <v>49.75</v>
      </c>
    </row>
    <row r="707" spans="1:2">
      <c r="A707" s="1">
        <v>42649</v>
      </c>
      <c r="B707" s="15">
        <v>50.44</v>
      </c>
    </row>
    <row r="708" spans="1:2">
      <c r="A708" s="1">
        <v>42650</v>
      </c>
      <c r="B708" s="15">
        <v>49.76</v>
      </c>
    </row>
    <row r="709" spans="1:2">
      <c r="A709" s="1">
        <v>42653</v>
      </c>
      <c r="B709" s="15">
        <v>49.76</v>
      </c>
    </row>
    <row r="710" spans="1:2">
      <c r="A710" s="1">
        <v>42654</v>
      </c>
      <c r="B710" s="15">
        <v>50.72</v>
      </c>
    </row>
    <row r="711" spans="1:2">
      <c r="A711" s="1">
        <v>42655</v>
      </c>
      <c r="B711" s="15">
        <v>50.14</v>
      </c>
    </row>
    <row r="712" spans="1:2">
      <c r="A712" s="1">
        <v>42656</v>
      </c>
      <c r="B712" s="15">
        <v>50.47</v>
      </c>
    </row>
    <row r="713" spans="1:2">
      <c r="A713" s="1">
        <v>42657</v>
      </c>
      <c r="B713" s="15">
        <v>50.35</v>
      </c>
    </row>
    <row r="714" spans="1:2">
      <c r="A714" s="1">
        <v>42660</v>
      </c>
      <c r="B714" s="15">
        <v>49.97</v>
      </c>
    </row>
    <row r="715" spans="1:2">
      <c r="A715" s="1">
        <v>42661</v>
      </c>
      <c r="B715" s="15">
        <v>50.3</v>
      </c>
    </row>
    <row r="716" spans="1:2">
      <c r="A716" s="1">
        <v>42662</v>
      </c>
      <c r="B716" s="15">
        <v>51.59</v>
      </c>
    </row>
    <row r="717" spans="1:2">
      <c r="A717" s="1">
        <v>42663</v>
      </c>
      <c r="B717" s="15">
        <v>50.31</v>
      </c>
    </row>
    <row r="718" spans="1:2">
      <c r="A718" s="1">
        <v>42664</v>
      </c>
      <c r="B718" s="15">
        <v>50.61</v>
      </c>
    </row>
    <row r="719" spans="1:2">
      <c r="A719" s="1">
        <v>42667</v>
      </c>
      <c r="B719" s="15">
        <v>50.18</v>
      </c>
    </row>
    <row r="720" spans="1:2">
      <c r="A720" s="1">
        <v>42668</v>
      </c>
      <c r="B720" s="15">
        <v>49.45</v>
      </c>
    </row>
    <row r="721" spans="1:2">
      <c r="A721" s="1">
        <v>42669</v>
      </c>
      <c r="B721" s="15">
        <v>48.75</v>
      </c>
    </row>
    <row r="722" spans="1:2">
      <c r="A722" s="1">
        <v>42670</v>
      </c>
      <c r="B722" s="15">
        <v>49.71</v>
      </c>
    </row>
    <row r="723" spans="1:2">
      <c r="A723" s="1">
        <v>42671</v>
      </c>
      <c r="B723" s="15">
        <v>48.72</v>
      </c>
    </row>
    <row r="724" spans="1:2">
      <c r="A724" s="1">
        <v>42674</v>
      </c>
      <c r="B724" s="15">
        <v>46.83</v>
      </c>
    </row>
    <row r="725" spans="1:2">
      <c r="A725" s="1">
        <v>42675</v>
      </c>
      <c r="B725" s="15">
        <v>46.66</v>
      </c>
    </row>
    <row r="726" spans="1:2">
      <c r="A726" s="1">
        <v>42676</v>
      </c>
      <c r="B726" s="15">
        <v>45.32</v>
      </c>
    </row>
    <row r="727" spans="1:2">
      <c r="A727" s="1">
        <v>42677</v>
      </c>
      <c r="B727" s="15">
        <v>44.66</v>
      </c>
    </row>
    <row r="728" spans="1:2">
      <c r="A728" s="1">
        <v>42678</v>
      </c>
      <c r="B728" s="15">
        <v>44.07</v>
      </c>
    </row>
    <row r="729" spans="1:2">
      <c r="A729" s="1">
        <v>42681</v>
      </c>
      <c r="B729" s="15">
        <v>44.88</v>
      </c>
    </row>
    <row r="730" spans="1:2">
      <c r="A730" s="1">
        <v>42682</v>
      </c>
      <c r="B730" s="15">
        <v>44.96</v>
      </c>
    </row>
    <row r="731" spans="1:2">
      <c r="A731" s="1">
        <v>42683</v>
      </c>
      <c r="B731" s="15">
        <v>45.2</v>
      </c>
    </row>
    <row r="732" spans="1:2">
      <c r="A732" s="1">
        <v>42684</v>
      </c>
      <c r="B732" s="15">
        <v>44.62</v>
      </c>
    </row>
    <row r="733" spans="1:2">
      <c r="A733" s="1">
        <v>42685</v>
      </c>
      <c r="B733" s="15">
        <v>43.39</v>
      </c>
    </row>
    <row r="734" spans="1:2">
      <c r="A734" s="1">
        <v>42688</v>
      </c>
      <c r="B734" s="15">
        <v>43.29</v>
      </c>
    </row>
    <row r="735" spans="1:2">
      <c r="A735" s="1">
        <v>42689</v>
      </c>
      <c r="B735" s="15">
        <v>45.86</v>
      </c>
    </row>
    <row r="736" spans="1:2">
      <c r="A736" s="1">
        <v>42690</v>
      </c>
      <c r="B736" s="15">
        <v>45.56</v>
      </c>
    </row>
    <row r="737" spans="1:2">
      <c r="A737" s="1">
        <v>42691</v>
      </c>
      <c r="B737" s="15">
        <v>45.37</v>
      </c>
    </row>
    <row r="738" spans="1:2">
      <c r="A738" s="1">
        <v>42692</v>
      </c>
      <c r="B738" s="15">
        <v>45.69</v>
      </c>
    </row>
    <row r="739" spans="1:2">
      <c r="A739" s="1">
        <v>42695</v>
      </c>
      <c r="B739" s="15">
        <v>47.48</v>
      </c>
    </row>
    <row r="740" spans="1:2">
      <c r="A740" s="1">
        <v>42696</v>
      </c>
      <c r="B740" s="15">
        <v>48.07</v>
      </c>
    </row>
    <row r="741" spans="1:2">
      <c r="A741" s="1">
        <v>42697</v>
      </c>
      <c r="B741" s="15">
        <v>46.72</v>
      </c>
    </row>
    <row r="742" spans="1:2">
      <c r="A742" s="1">
        <v>42698</v>
      </c>
      <c r="B742" s="15">
        <v>46.72</v>
      </c>
    </row>
    <row r="743" spans="1:2">
      <c r="A743" s="1">
        <v>42699</v>
      </c>
      <c r="B743" s="15">
        <v>46.72</v>
      </c>
    </row>
    <row r="744" spans="1:2">
      <c r="A744" s="1">
        <v>42702</v>
      </c>
      <c r="B744" s="15">
        <v>45.66</v>
      </c>
    </row>
    <row r="745" spans="1:2">
      <c r="A745" s="1">
        <v>42703</v>
      </c>
      <c r="B745" s="15">
        <v>45.29</v>
      </c>
    </row>
    <row r="746" spans="1:2">
      <c r="A746" s="1">
        <v>42704</v>
      </c>
      <c r="B746" s="15">
        <v>49.41</v>
      </c>
    </row>
    <row r="747" spans="1:2">
      <c r="A747" s="1">
        <v>42705</v>
      </c>
      <c r="B747" s="15">
        <v>51.08</v>
      </c>
    </row>
    <row r="748" spans="1:2">
      <c r="A748" s="1">
        <v>42706</v>
      </c>
      <c r="B748" s="15">
        <v>51.7</v>
      </c>
    </row>
    <row r="749" spans="1:2">
      <c r="A749" s="1">
        <v>42709</v>
      </c>
      <c r="B749" s="15">
        <v>51.72</v>
      </c>
    </row>
    <row r="750" spans="1:2">
      <c r="A750" s="1">
        <v>42710</v>
      </c>
      <c r="B750" s="15">
        <v>50.95</v>
      </c>
    </row>
    <row r="751" spans="1:2">
      <c r="A751" s="1">
        <v>42711</v>
      </c>
      <c r="B751" s="15">
        <v>49.85</v>
      </c>
    </row>
    <row r="752" spans="1:2">
      <c r="A752" s="1">
        <v>42712</v>
      </c>
      <c r="B752" s="15">
        <v>50.84</v>
      </c>
    </row>
    <row r="753" spans="1:2">
      <c r="A753" s="1">
        <v>42713</v>
      </c>
      <c r="B753" s="15">
        <v>51.51</v>
      </c>
    </row>
    <row r="754" spans="1:2">
      <c r="A754" s="1">
        <v>42716</v>
      </c>
      <c r="B754" s="15">
        <v>52.74</v>
      </c>
    </row>
    <row r="755" spans="1:2">
      <c r="A755" s="1">
        <v>42717</v>
      </c>
      <c r="B755" s="15">
        <v>52.99</v>
      </c>
    </row>
    <row r="756" spans="1:2">
      <c r="A756" s="1">
        <v>42718</v>
      </c>
      <c r="B756" s="15">
        <v>51.01</v>
      </c>
    </row>
    <row r="757" spans="1:2">
      <c r="A757" s="1">
        <v>42719</v>
      </c>
      <c r="B757" s="15">
        <v>50.9</v>
      </c>
    </row>
    <row r="758" spans="1:2">
      <c r="A758" s="1">
        <v>42720</v>
      </c>
      <c r="B758" s="15">
        <v>51.93</v>
      </c>
    </row>
    <row r="759" spans="1:2">
      <c r="A759" s="1">
        <v>42723</v>
      </c>
      <c r="B759" s="15">
        <v>52.13</v>
      </c>
    </row>
    <row r="760" spans="1:2">
      <c r="A760" s="1">
        <v>42724</v>
      </c>
      <c r="B760" s="15">
        <v>52.22</v>
      </c>
    </row>
    <row r="761" spans="1:2">
      <c r="A761" s="1">
        <v>42725</v>
      </c>
      <c r="B761" s="15">
        <v>51.44</v>
      </c>
    </row>
    <row r="762" spans="1:2">
      <c r="A762" s="1">
        <v>42726</v>
      </c>
      <c r="B762" s="15">
        <v>51.98</v>
      </c>
    </row>
    <row r="763" spans="1:2">
      <c r="A763" s="1">
        <v>42727</v>
      </c>
      <c r="B763" s="15">
        <v>52.01</v>
      </c>
    </row>
    <row r="764" spans="1:2">
      <c r="A764" s="1">
        <v>42731</v>
      </c>
      <c r="B764" s="15">
        <v>52.82</v>
      </c>
    </row>
    <row r="765" spans="1:2">
      <c r="A765" s="1">
        <v>42732</v>
      </c>
      <c r="B765" s="15">
        <v>54.01</v>
      </c>
    </row>
    <row r="766" spans="1:2">
      <c r="A766" s="1">
        <v>42733</v>
      </c>
      <c r="B766" s="15">
        <v>53.8</v>
      </c>
    </row>
    <row r="767" spans="1:2">
      <c r="A767" s="1">
        <v>42734</v>
      </c>
      <c r="B767" s="15">
        <v>53.75</v>
      </c>
    </row>
    <row r="768" spans="1:2">
      <c r="A768" s="1">
        <v>42738</v>
      </c>
      <c r="B768" s="15">
        <v>52.36</v>
      </c>
    </row>
    <row r="769" spans="1:2">
      <c r="A769" s="1">
        <v>42739</v>
      </c>
      <c r="B769" s="15">
        <v>53.26</v>
      </c>
    </row>
    <row r="770" spans="1:2">
      <c r="A770" s="1">
        <v>42740</v>
      </c>
      <c r="B770" s="15">
        <v>53.77</v>
      </c>
    </row>
    <row r="771" spans="1:2">
      <c r="A771" s="1">
        <v>42741</v>
      </c>
      <c r="B771" s="15">
        <v>53.98</v>
      </c>
    </row>
    <row r="772" spans="1:2">
      <c r="A772" s="1">
        <v>42744</v>
      </c>
      <c r="B772" s="15">
        <v>51.95</v>
      </c>
    </row>
    <row r="773" spans="1:2">
      <c r="A773" s="1">
        <v>42745</v>
      </c>
      <c r="B773" s="15">
        <v>50.82</v>
      </c>
    </row>
    <row r="774" spans="1:2">
      <c r="A774" s="1">
        <v>42746</v>
      </c>
      <c r="B774" s="15">
        <v>52.19</v>
      </c>
    </row>
    <row r="775" spans="1:2">
      <c r="A775" s="1">
        <v>42747</v>
      </c>
      <c r="B775" s="15">
        <v>53.01</v>
      </c>
    </row>
    <row r="776" spans="1:2">
      <c r="A776" s="1">
        <v>42748</v>
      </c>
      <c r="B776" s="15">
        <v>52.36</v>
      </c>
    </row>
    <row r="777" spans="1:2">
      <c r="A777" s="1">
        <v>42752</v>
      </c>
      <c r="B777" s="15">
        <v>52.45</v>
      </c>
    </row>
    <row r="778" spans="1:2">
      <c r="A778" s="1">
        <v>42753</v>
      </c>
      <c r="B778" s="15">
        <v>51.12</v>
      </c>
    </row>
    <row r="779" spans="1:2">
      <c r="A779" s="1">
        <v>42754</v>
      </c>
      <c r="B779" s="15">
        <v>51.39</v>
      </c>
    </row>
    <row r="780" spans="1:2">
      <c r="A780" s="1">
        <v>42755</v>
      </c>
      <c r="B780" s="15">
        <v>52.33</v>
      </c>
    </row>
    <row r="781" spans="1:2">
      <c r="A781" s="1">
        <v>42758</v>
      </c>
      <c r="B781" s="15">
        <v>52.77</v>
      </c>
    </row>
    <row r="782" spans="1:2">
      <c r="A782" s="1">
        <v>42759</v>
      </c>
      <c r="B782" s="15">
        <v>52.38</v>
      </c>
    </row>
    <row r="783" spans="1:2">
      <c r="A783" s="1">
        <v>42760</v>
      </c>
      <c r="B783" s="15">
        <v>52.14</v>
      </c>
    </row>
    <row r="784" spans="1:2">
      <c r="A784" s="1">
        <v>42761</v>
      </c>
      <c r="B784" s="15">
        <v>53.24</v>
      </c>
    </row>
    <row r="785" spans="1:2">
      <c r="A785" s="1">
        <v>42762</v>
      </c>
      <c r="B785" s="15">
        <v>53.18</v>
      </c>
    </row>
    <row r="786" spans="1:2">
      <c r="A786" s="1">
        <v>42765</v>
      </c>
      <c r="B786" s="15">
        <v>52.63</v>
      </c>
    </row>
    <row r="787" spans="1:2">
      <c r="A787" s="1">
        <v>42766</v>
      </c>
      <c r="B787" s="15">
        <v>52.75</v>
      </c>
    </row>
    <row r="788" spans="1:2">
      <c r="A788" s="1">
        <v>42767</v>
      </c>
      <c r="B788" s="15">
        <v>53.9</v>
      </c>
    </row>
    <row r="789" spans="1:2">
      <c r="A789" s="1">
        <v>42768</v>
      </c>
      <c r="B789" s="15">
        <v>53.55</v>
      </c>
    </row>
    <row r="790" spans="1:2">
      <c r="A790" s="1">
        <v>42769</v>
      </c>
      <c r="B790" s="15">
        <v>53.81</v>
      </c>
    </row>
    <row r="791" spans="1:2">
      <c r="A791" s="1">
        <v>42772</v>
      </c>
      <c r="B791" s="15">
        <v>53.01</v>
      </c>
    </row>
    <row r="792" spans="1:2">
      <c r="A792" s="1">
        <v>42773</v>
      </c>
      <c r="B792" s="15">
        <v>52.19</v>
      </c>
    </row>
    <row r="793" spans="1:2">
      <c r="A793" s="1">
        <v>42774</v>
      </c>
      <c r="B793" s="15">
        <v>52.37</v>
      </c>
    </row>
    <row r="794" spans="1:2">
      <c r="A794" s="1">
        <v>42775</v>
      </c>
      <c r="B794" s="15">
        <v>52.99</v>
      </c>
    </row>
    <row r="795" spans="1:2">
      <c r="A795" s="1">
        <v>42776</v>
      </c>
      <c r="B795" s="15">
        <v>53.84</v>
      </c>
    </row>
    <row r="796" spans="1:2">
      <c r="A796" s="1">
        <v>42779</v>
      </c>
      <c r="B796" s="15">
        <v>52.96</v>
      </c>
    </row>
    <row r="797" spans="1:2">
      <c r="A797" s="1">
        <v>42780</v>
      </c>
      <c r="B797" s="15">
        <v>53.21</v>
      </c>
    </row>
    <row r="798" spans="1:2">
      <c r="A798" s="1">
        <v>42781</v>
      </c>
      <c r="B798" s="15">
        <v>53.11</v>
      </c>
    </row>
    <row r="799" spans="1:2">
      <c r="A799" s="1">
        <v>42782</v>
      </c>
      <c r="B799" s="15">
        <v>53.41</v>
      </c>
    </row>
    <row r="800" spans="1:2">
      <c r="A800" s="1">
        <v>42783</v>
      </c>
      <c r="B800" s="15">
        <v>53.41</v>
      </c>
    </row>
    <row r="801" spans="1:2">
      <c r="A801" s="1">
        <v>42787</v>
      </c>
      <c r="B801" s="15">
        <v>54.02</v>
      </c>
    </row>
    <row r="802" spans="1:2">
      <c r="A802" s="1">
        <v>42788</v>
      </c>
      <c r="B802" s="15">
        <v>53.61</v>
      </c>
    </row>
    <row r="803" spans="1:2">
      <c r="A803" s="1">
        <v>42789</v>
      </c>
      <c r="B803" s="15">
        <v>54.48</v>
      </c>
    </row>
    <row r="804" spans="1:2">
      <c r="A804" s="1">
        <v>42790</v>
      </c>
      <c r="B804" s="15">
        <v>53.99</v>
      </c>
    </row>
    <row r="805" spans="1:2">
      <c r="A805" s="1">
        <v>42793</v>
      </c>
      <c r="B805" s="15">
        <v>54.04</v>
      </c>
    </row>
    <row r="806" spans="1:2">
      <c r="A806" s="1">
        <v>42794</v>
      </c>
      <c r="B806" s="15">
        <v>54</v>
      </c>
    </row>
    <row r="807" spans="1:2">
      <c r="A807" s="1">
        <v>42795</v>
      </c>
      <c r="B807" s="15">
        <v>53.82</v>
      </c>
    </row>
    <row r="808" spans="1:2">
      <c r="A808" s="1">
        <v>42796</v>
      </c>
      <c r="B808" s="15">
        <v>52.63</v>
      </c>
    </row>
    <row r="809" spans="1:2">
      <c r="A809" s="1">
        <v>42797</v>
      </c>
      <c r="B809" s="15">
        <v>53.33</v>
      </c>
    </row>
    <row r="810" spans="1:2">
      <c r="A810" s="1">
        <v>42800</v>
      </c>
      <c r="B810" s="15">
        <v>53.19</v>
      </c>
    </row>
    <row r="811" spans="1:2">
      <c r="A811" s="1">
        <v>42801</v>
      </c>
      <c r="B811" s="15">
        <v>52.68</v>
      </c>
    </row>
    <row r="812" spans="1:2">
      <c r="A812" s="1">
        <v>42802</v>
      </c>
      <c r="B812" s="15">
        <v>49.83</v>
      </c>
    </row>
    <row r="813" spans="1:2">
      <c r="A813" s="1">
        <v>42803</v>
      </c>
      <c r="B813" s="15">
        <v>48.75</v>
      </c>
    </row>
    <row r="814" spans="1:2">
      <c r="A814" s="1">
        <v>42804</v>
      </c>
      <c r="B814" s="15">
        <v>48.05</v>
      </c>
    </row>
    <row r="815" spans="1:2">
      <c r="A815" s="1">
        <v>42807</v>
      </c>
      <c r="B815" s="15">
        <v>47.95</v>
      </c>
    </row>
    <row r="816" spans="1:2">
      <c r="A816" s="1">
        <v>42808</v>
      </c>
      <c r="B816" s="15">
        <v>47.24</v>
      </c>
    </row>
    <row r="817" spans="1:2">
      <c r="A817" s="1">
        <v>42809</v>
      </c>
      <c r="B817" s="15">
        <v>48.34</v>
      </c>
    </row>
    <row r="818" spans="1:2">
      <c r="A818" s="1">
        <v>42810</v>
      </c>
      <c r="B818" s="15">
        <v>48.3</v>
      </c>
    </row>
    <row r="819" spans="1:2">
      <c r="A819" s="1">
        <v>42811</v>
      </c>
      <c r="B819" s="15">
        <v>48.34</v>
      </c>
    </row>
    <row r="820" spans="1:2">
      <c r="A820" s="1">
        <v>42814</v>
      </c>
      <c r="B820" s="15">
        <v>47.79</v>
      </c>
    </row>
    <row r="821" spans="1:2">
      <c r="A821" s="1">
        <v>42815</v>
      </c>
      <c r="B821" s="15">
        <v>47.02</v>
      </c>
    </row>
    <row r="822" spans="1:2">
      <c r="A822" s="1">
        <v>42816</v>
      </c>
      <c r="B822" s="15">
        <v>47.29</v>
      </c>
    </row>
    <row r="823" spans="1:2">
      <c r="A823" s="1">
        <v>42817</v>
      </c>
      <c r="B823" s="15">
        <v>47</v>
      </c>
    </row>
    <row r="824" spans="1:2">
      <c r="A824" s="1">
        <v>42818</v>
      </c>
      <c r="B824" s="15">
        <v>47.3</v>
      </c>
    </row>
    <row r="825" spans="1:2">
      <c r="A825" s="1">
        <v>42821</v>
      </c>
      <c r="B825" s="15">
        <v>47.02</v>
      </c>
    </row>
    <row r="826" spans="1:2">
      <c r="A826" s="1">
        <v>42822</v>
      </c>
      <c r="B826" s="15">
        <v>48.36</v>
      </c>
    </row>
    <row r="827" spans="1:2">
      <c r="A827" s="1">
        <v>42823</v>
      </c>
      <c r="B827" s="15">
        <v>49.47</v>
      </c>
    </row>
    <row r="828" spans="1:2">
      <c r="A828" s="1">
        <v>42824</v>
      </c>
      <c r="B828" s="15">
        <v>50.3</v>
      </c>
    </row>
    <row r="829" spans="1:2">
      <c r="A829" s="1">
        <v>42825</v>
      </c>
      <c r="B829" s="15">
        <v>50.54</v>
      </c>
    </row>
    <row r="830" spans="1:2">
      <c r="A830" s="1">
        <v>42828</v>
      </c>
      <c r="B830" s="15">
        <v>50.25</v>
      </c>
    </row>
    <row r="831" spans="1:2">
      <c r="A831" s="1">
        <v>42829</v>
      </c>
      <c r="B831" s="15">
        <v>50.99</v>
      </c>
    </row>
    <row r="832" spans="1:2">
      <c r="A832" s="1">
        <v>42830</v>
      </c>
      <c r="B832" s="15">
        <v>51.14</v>
      </c>
    </row>
    <row r="833" spans="1:2">
      <c r="A833" s="1">
        <v>42831</v>
      </c>
      <c r="B833" s="15">
        <v>51.69</v>
      </c>
    </row>
    <row r="834" spans="1:2">
      <c r="A834" s="1">
        <v>42832</v>
      </c>
      <c r="B834" s="15">
        <v>52.25</v>
      </c>
    </row>
    <row r="835" spans="1:2">
      <c r="A835" s="1">
        <v>42835</v>
      </c>
      <c r="B835" s="15">
        <v>53.06</v>
      </c>
    </row>
    <row r="836" spans="1:2">
      <c r="A836" s="1">
        <v>42836</v>
      </c>
      <c r="B836" s="15">
        <v>53.38</v>
      </c>
    </row>
    <row r="837" spans="1:2">
      <c r="A837" s="1">
        <v>42837</v>
      </c>
      <c r="B837" s="15">
        <v>53.12</v>
      </c>
    </row>
    <row r="838" spans="1:2">
      <c r="A838" s="1">
        <v>42838</v>
      </c>
      <c r="B838" s="15">
        <v>53.19</v>
      </c>
    </row>
    <row r="839" spans="1:2">
      <c r="A839" s="1">
        <v>42842</v>
      </c>
      <c r="B839" s="15">
        <v>52.62</v>
      </c>
    </row>
    <row r="840" spans="1:2">
      <c r="A840" s="1">
        <v>42843</v>
      </c>
      <c r="B840" s="15">
        <v>52.46</v>
      </c>
    </row>
    <row r="841" spans="1:2">
      <c r="A841" s="1">
        <v>42844</v>
      </c>
      <c r="B841" s="15">
        <v>50.49</v>
      </c>
    </row>
    <row r="842" spans="1:2">
      <c r="A842" s="1">
        <v>42845</v>
      </c>
      <c r="B842" s="15">
        <v>50.26</v>
      </c>
    </row>
    <row r="843" spans="1:2">
      <c r="A843" s="1">
        <v>42846</v>
      </c>
      <c r="B843" s="15">
        <v>49.64</v>
      </c>
    </row>
    <row r="844" spans="1:2">
      <c r="A844" s="1">
        <v>42849</v>
      </c>
      <c r="B844" s="15">
        <v>48.9</v>
      </c>
    </row>
    <row r="845" spans="1:2">
      <c r="A845" s="1">
        <v>42850</v>
      </c>
      <c r="B845" s="15">
        <v>49.22</v>
      </c>
    </row>
    <row r="846" spans="1:2">
      <c r="A846" s="1">
        <v>42851</v>
      </c>
      <c r="B846" s="15">
        <v>49.22</v>
      </c>
    </row>
    <row r="847" spans="1:2">
      <c r="A847" s="1">
        <v>42852</v>
      </c>
      <c r="B847" s="15">
        <v>48.96</v>
      </c>
    </row>
    <row r="848" spans="1:2">
      <c r="A848" s="1">
        <v>42853</v>
      </c>
      <c r="B848" s="15">
        <v>49.31</v>
      </c>
    </row>
    <row r="849" spans="1:2">
      <c r="A849" s="1">
        <v>42856</v>
      </c>
      <c r="B849" s="15">
        <v>48.83</v>
      </c>
    </row>
    <row r="850" spans="1:2">
      <c r="A850" s="1">
        <v>42857</v>
      </c>
      <c r="B850" s="15">
        <v>47.65</v>
      </c>
    </row>
    <row r="851" spans="1:2">
      <c r="A851" s="1">
        <v>42858</v>
      </c>
      <c r="B851" s="15">
        <v>47.79</v>
      </c>
    </row>
    <row r="852" spans="1:2">
      <c r="A852" s="1">
        <v>42859</v>
      </c>
      <c r="B852" s="15">
        <v>45.55</v>
      </c>
    </row>
    <row r="853" spans="1:2">
      <c r="A853" s="1">
        <v>42860</v>
      </c>
      <c r="B853" s="15">
        <v>46.23</v>
      </c>
    </row>
    <row r="854" spans="1:2">
      <c r="A854" s="1">
        <v>42863</v>
      </c>
      <c r="B854" s="15">
        <v>46.46</v>
      </c>
    </row>
    <row r="855" spans="1:2">
      <c r="A855" s="1">
        <v>42864</v>
      </c>
      <c r="B855" s="15">
        <v>45.84</v>
      </c>
    </row>
    <row r="856" spans="1:2">
      <c r="A856" s="1">
        <v>42865</v>
      </c>
      <c r="B856" s="15">
        <v>47.28</v>
      </c>
    </row>
    <row r="857" spans="1:2">
      <c r="A857" s="1">
        <v>42866</v>
      </c>
      <c r="B857" s="15">
        <v>47.81</v>
      </c>
    </row>
    <row r="858" spans="1:2">
      <c r="A858" s="1">
        <v>42867</v>
      </c>
      <c r="B858" s="15">
        <v>47.83</v>
      </c>
    </row>
    <row r="859" spans="1:2">
      <c r="A859" s="1">
        <v>42870</v>
      </c>
      <c r="B859" s="15">
        <v>48.86</v>
      </c>
    </row>
    <row r="860" spans="1:2">
      <c r="A860" s="1">
        <v>42871</v>
      </c>
      <c r="B860" s="15">
        <v>48.64</v>
      </c>
    </row>
    <row r="861" spans="1:2">
      <c r="A861" s="1">
        <v>42872</v>
      </c>
      <c r="B861" s="15">
        <v>49.04</v>
      </c>
    </row>
    <row r="862" spans="1:2">
      <c r="A862" s="1">
        <v>42873</v>
      </c>
      <c r="B862" s="15">
        <v>49.36</v>
      </c>
    </row>
    <row r="863" spans="1:2">
      <c r="A863" s="1">
        <v>42874</v>
      </c>
      <c r="B863" s="15">
        <v>50.32</v>
      </c>
    </row>
    <row r="864" spans="1:2">
      <c r="A864" s="1">
        <v>42877</v>
      </c>
      <c r="B864" s="15">
        <v>50.81</v>
      </c>
    </row>
    <row r="865" spans="1:2">
      <c r="A865" s="1">
        <v>42878</v>
      </c>
      <c r="B865" s="15">
        <v>51.12</v>
      </c>
    </row>
    <row r="866" spans="1:2">
      <c r="A866" s="1">
        <v>42879</v>
      </c>
      <c r="B866" s="15">
        <v>50.99</v>
      </c>
    </row>
    <row r="867" spans="1:2">
      <c r="A867" s="1">
        <v>42880</v>
      </c>
      <c r="B867" s="15">
        <v>48.57</v>
      </c>
    </row>
    <row r="868" spans="1:2">
      <c r="A868" s="1">
        <v>42881</v>
      </c>
      <c r="B868" s="15">
        <v>49.58</v>
      </c>
    </row>
    <row r="869" spans="1:2">
      <c r="A869" s="1">
        <v>42885</v>
      </c>
      <c r="B869" s="15">
        <v>49.63</v>
      </c>
    </row>
    <row r="870" spans="1:2">
      <c r="A870" s="1">
        <v>42886</v>
      </c>
      <c r="B870" s="15">
        <v>48.29</v>
      </c>
    </row>
    <row r="871" spans="1:2">
      <c r="A871" s="1">
        <v>42887</v>
      </c>
      <c r="B871" s="15">
        <v>48.32</v>
      </c>
    </row>
    <row r="872" spans="1:2">
      <c r="A872" s="1">
        <v>42888</v>
      </c>
      <c r="B872" s="15">
        <v>47.68</v>
      </c>
    </row>
    <row r="873" spans="1:2">
      <c r="A873" s="1">
        <v>42891</v>
      </c>
      <c r="B873" s="15">
        <v>47.4</v>
      </c>
    </row>
    <row r="874" spans="1:2">
      <c r="A874" s="1">
        <v>42892</v>
      </c>
      <c r="B874" s="15">
        <v>48.13</v>
      </c>
    </row>
    <row r="875" spans="1:2">
      <c r="A875" s="1">
        <v>42893</v>
      </c>
      <c r="B875" s="15">
        <v>45.8</v>
      </c>
    </row>
    <row r="876" spans="1:2">
      <c r="A876" s="1">
        <v>42894</v>
      </c>
      <c r="B876" s="15">
        <v>45.68</v>
      </c>
    </row>
    <row r="877" spans="1:2">
      <c r="A877" s="1">
        <v>42895</v>
      </c>
      <c r="B877" s="15">
        <v>45.82</v>
      </c>
    </row>
    <row r="878" spans="1:2">
      <c r="A878" s="1">
        <v>42898</v>
      </c>
      <c r="B878" s="15">
        <v>46.1</v>
      </c>
    </row>
    <row r="879" spans="1:2">
      <c r="A879" s="1">
        <v>42899</v>
      </c>
      <c r="B879" s="15">
        <v>46.41</v>
      </c>
    </row>
    <row r="880" spans="1:2">
      <c r="A880" s="1">
        <v>42900</v>
      </c>
      <c r="B880" s="15">
        <v>44.79</v>
      </c>
    </row>
    <row r="881" spans="1:2">
      <c r="A881" s="1">
        <v>42901</v>
      </c>
      <c r="B881" s="15">
        <v>44.47</v>
      </c>
    </row>
    <row r="882" spans="1:2">
      <c r="A882" s="1">
        <v>42902</v>
      </c>
      <c r="B882" s="15">
        <v>44.73</v>
      </c>
    </row>
    <row r="883" spans="1:2">
      <c r="A883" s="1">
        <v>42905</v>
      </c>
      <c r="B883" s="15">
        <v>44.24</v>
      </c>
    </row>
    <row r="884" spans="1:2">
      <c r="A884" s="1">
        <v>42906</v>
      </c>
      <c r="B884" s="15">
        <v>43.34</v>
      </c>
    </row>
    <row r="885" spans="1:2">
      <c r="A885" s="1">
        <v>42907</v>
      </c>
      <c r="B885" s="15">
        <v>42.48</v>
      </c>
    </row>
    <row r="886" spans="1:2">
      <c r="A886" s="1">
        <v>42908</v>
      </c>
      <c r="B886" s="15">
        <v>42.53</v>
      </c>
    </row>
    <row r="887" spans="1:2">
      <c r="A887" s="1">
        <v>42909</v>
      </c>
      <c r="B887" s="15">
        <v>42.86</v>
      </c>
    </row>
    <row r="888" spans="1:2">
      <c r="A888" s="1">
        <v>42912</v>
      </c>
      <c r="B888" s="15">
        <v>43.24</v>
      </c>
    </row>
    <row r="889" spans="1:2">
      <c r="A889" s="1">
        <v>42913</v>
      </c>
      <c r="B889" s="15">
        <v>44.25</v>
      </c>
    </row>
    <row r="890" spans="1:2">
      <c r="A890" s="1">
        <v>42914</v>
      </c>
      <c r="B890" s="15">
        <v>44.74</v>
      </c>
    </row>
    <row r="891" spans="1:2">
      <c r="A891" s="1">
        <v>42915</v>
      </c>
      <c r="B891" s="15">
        <v>44.88</v>
      </c>
    </row>
    <row r="892" spans="1:2">
      <c r="A892" s="1">
        <v>42916</v>
      </c>
      <c r="B892" s="15">
        <v>46.02</v>
      </c>
    </row>
    <row r="893" spans="1:2">
      <c r="A893" s="1">
        <v>42919</v>
      </c>
      <c r="B893" s="15">
        <v>46.02</v>
      </c>
    </row>
    <row r="894" spans="1:2">
      <c r="A894" s="1">
        <v>42921</v>
      </c>
      <c r="B894" s="15">
        <v>45.11</v>
      </c>
    </row>
    <row r="895" spans="1:2">
      <c r="A895" s="1">
        <v>42922</v>
      </c>
      <c r="B895" s="15">
        <v>45.52</v>
      </c>
    </row>
    <row r="896" spans="1:2">
      <c r="A896" s="1">
        <v>42923</v>
      </c>
      <c r="B896" s="15">
        <v>44.25</v>
      </c>
    </row>
    <row r="897" spans="1:2">
      <c r="A897" s="1">
        <v>42926</v>
      </c>
      <c r="B897" s="15">
        <v>44.4</v>
      </c>
    </row>
    <row r="898" spans="1:2">
      <c r="A898" s="1">
        <v>42927</v>
      </c>
      <c r="B898" s="15">
        <v>45.06</v>
      </c>
    </row>
    <row r="899" spans="1:2">
      <c r="A899" s="1">
        <v>42928</v>
      </c>
      <c r="B899" s="15">
        <v>45.48</v>
      </c>
    </row>
    <row r="900" spans="1:2">
      <c r="A900" s="1">
        <v>42929</v>
      </c>
      <c r="B900" s="15">
        <v>46.06</v>
      </c>
    </row>
    <row r="901" spans="1:2">
      <c r="A901" s="1">
        <v>42930</v>
      </c>
      <c r="B901" s="15">
        <v>46.53</v>
      </c>
    </row>
    <row r="902" spans="1:2">
      <c r="A902" s="1">
        <v>42933</v>
      </c>
      <c r="B902" s="15">
        <v>46.02</v>
      </c>
    </row>
    <row r="903" spans="1:2">
      <c r="A903" s="1">
        <v>42934</v>
      </c>
      <c r="B903" s="15">
        <v>46.4</v>
      </c>
    </row>
    <row r="904" spans="1:2">
      <c r="A904" s="1">
        <v>42935</v>
      </c>
      <c r="B904" s="15">
        <v>47.1</v>
      </c>
    </row>
    <row r="905" spans="1:2">
      <c r="A905" s="1">
        <v>42936</v>
      </c>
      <c r="B905" s="15">
        <v>46.73</v>
      </c>
    </row>
    <row r="906" spans="1:2">
      <c r="A906" s="1">
        <v>42937</v>
      </c>
      <c r="B906" s="15">
        <v>45.78</v>
      </c>
    </row>
    <row r="907" spans="1:2">
      <c r="A907" s="1">
        <v>42940</v>
      </c>
      <c r="B907" s="15">
        <v>46.21</v>
      </c>
    </row>
    <row r="908" spans="1:2">
      <c r="A908" s="1">
        <v>42941</v>
      </c>
      <c r="B908" s="15">
        <v>47.77</v>
      </c>
    </row>
    <row r="909" spans="1:2">
      <c r="A909" s="1">
        <v>42942</v>
      </c>
      <c r="B909" s="15">
        <v>48.58</v>
      </c>
    </row>
    <row r="910" spans="1:2">
      <c r="A910" s="1">
        <v>42943</v>
      </c>
      <c r="B910" s="15">
        <v>49.05</v>
      </c>
    </row>
    <row r="911" spans="1:2">
      <c r="A911" s="1">
        <v>42944</v>
      </c>
      <c r="B911" s="15">
        <v>49.72</v>
      </c>
    </row>
    <row r="912" spans="1:2">
      <c r="A912" s="1">
        <v>42947</v>
      </c>
      <c r="B912" s="15">
        <v>50.21</v>
      </c>
    </row>
    <row r="913" spans="1:2">
      <c r="A913" s="1">
        <v>42948</v>
      </c>
      <c r="B913" s="15">
        <v>49.19</v>
      </c>
    </row>
    <row r="914" spans="1:2">
      <c r="A914" s="1">
        <v>42949</v>
      </c>
      <c r="B914" s="15">
        <v>49.6</v>
      </c>
    </row>
    <row r="915" spans="1:2">
      <c r="A915" s="1">
        <v>42950</v>
      </c>
      <c r="B915" s="15">
        <v>49.03</v>
      </c>
    </row>
    <row r="916" spans="1:2">
      <c r="A916" s="1">
        <v>42951</v>
      </c>
      <c r="B916" s="15">
        <v>49.57</v>
      </c>
    </row>
    <row r="917" spans="1:2">
      <c r="A917" s="1">
        <v>42954</v>
      </c>
      <c r="B917" s="15">
        <v>49.37</v>
      </c>
    </row>
    <row r="918" spans="1:2">
      <c r="A918" s="1">
        <v>42955</v>
      </c>
      <c r="B918" s="15">
        <v>49.07</v>
      </c>
    </row>
    <row r="919" spans="1:2">
      <c r="A919" s="1">
        <v>42956</v>
      </c>
      <c r="B919" s="15">
        <v>49.59</v>
      </c>
    </row>
    <row r="920" spans="1:2">
      <c r="A920" s="1">
        <v>42957</v>
      </c>
      <c r="B920" s="15">
        <v>48.54</v>
      </c>
    </row>
    <row r="921" spans="1:2">
      <c r="A921" s="1">
        <v>42958</v>
      </c>
      <c r="B921" s="15">
        <v>48.81</v>
      </c>
    </row>
    <row r="922" spans="1:2">
      <c r="A922" s="1">
        <v>42961</v>
      </c>
      <c r="B922" s="15">
        <v>47.59</v>
      </c>
    </row>
    <row r="923" spans="1:2">
      <c r="A923" s="1">
        <v>42962</v>
      </c>
      <c r="B923" s="15">
        <v>47.57</v>
      </c>
    </row>
    <row r="924" spans="1:2">
      <c r="A924" s="1">
        <v>42963</v>
      </c>
      <c r="B924" s="15">
        <v>46.8</v>
      </c>
    </row>
    <row r="925" spans="1:2">
      <c r="A925" s="1">
        <v>42964</v>
      </c>
      <c r="B925" s="15">
        <v>47.07</v>
      </c>
    </row>
    <row r="926" spans="1:2">
      <c r="A926" s="1">
        <v>42965</v>
      </c>
      <c r="B926" s="15">
        <v>48.59</v>
      </c>
    </row>
    <row r="927" spans="1:2">
      <c r="A927" s="1">
        <v>42968</v>
      </c>
      <c r="B927" s="15">
        <v>47.39</v>
      </c>
    </row>
    <row r="928" spans="1:2">
      <c r="A928" s="1">
        <v>42969</v>
      </c>
      <c r="B928" s="15">
        <v>47.65</v>
      </c>
    </row>
    <row r="929" spans="1:2">
      <c r="A929" s="1">
        <v>42970</v>
      </c>
      <c r="B929" s="15">
        <v>48.45</v>
      </c>
    </row>
    <row r="930" spans="1:2">
      <c r="A930" s="1">
        <v>42971</v>
      </c>
      <c r="B930" s="15">
        <v>47.24</v>
      </c>
    </row>
    <row r="931" spans="1:2">
      <c r="A931" s="1">
        <v>42972</v>
      </c>
      <c r="B931" s="15">
        <v>47.65</v>
      </c>
    </row>
    <row r="932" spans="1:2">
      <c r="A932" s="1">
        <v>42975</v>
      </c>
      <c r="B932" s="15">
        <v>46.4</v>
      </c>
    </row>
    <row r="933" spans="1:2">
      <c r="A933" s="1">
        <v>42976</v>
      </c>
      <c r="B933" s="15">
        <v>46.46</v>
      </c>
    </row>
    <row r="934" spans="1:2">
      <c r="A934" s="1">
        <v>42977</v>
      </c>
      <c r="B934" s="15">
        <v>45.96</v>
      </c>
    </row>
    <row r="935" spans="1:2">
      <c r="A935" s="1">
        <v>42978</v>
      </c>
      <c r="B935" s="15">
        <v>47.26</v>
      </c>
    </row>
    <row r="936" spans="1:2">
      <c r="A936" s="1">
        <v>42979</v>
      </c>
      <c r="B936" s="15">
        <v>47.32</v>
      </c>
    </row>
    <row r="937" spans="1:2">
      <c r="A937" s="1">
        <v>42983</v>
      </c>
      <c r="B937" s="15">
        <v>48.63</v>
      </c>
    </row>
    <row r="938" spans="1:2">
      <c r="A938" s="1">
        <v>42984</v>
      </c>
      <c r="B938" s="15">
        <v>49.13</v>
      </c>
    </row>
    <row r="939" spans="1:2">
      <c r="A939" s="1">
        <v>42985</v>
      </c>
      <c r="B939" s="15">
        <v>49.1</v>
      </c>
    </row>
    <row r="940" spans="1:2">
      <c r="A940" s="1">
        <v>42986</v>
      </c>
      <c r="B940" s="15">
        <v>47.44</v>
      </c>
    </row>
    <row r="941" spans="1:2">
      <c r="A941" s="1">
        <v>42989</v>
      </c>
      <c r="B941" s="15">
        <v>48.06</v>
      </c>
    </row>
    <row r="942" spans="1:2">
      <c r="A942" s="1">
        <v>42990</v>
      </c>
      <c r="B942" s="15">
        <v>48.21</v>
      </c>
    </row>
    <row r="943" spans="1:2">
      <c r="A943" s="1">
        <v>42991</v>
      </c>
      <c r="B943" s="15">
        <v>49.3</v>
      </c>
    </row>
    <row r="944" spans="1:2">
      <c r="A944" s="1">
        <v>42992</v>
      </c>
      <c r="B944" s="15">
        <v>49.86</v>
      </c>
    </row>
    <row r="945" spans="1:2">
      <c r="A945" s="1">
        <v>42993</v>
      </c>
      <c r="B945" s="15">
        <v>49.9</v>
      </c>
    </row>
    <row r="946" spans="1:2">
      <c r="A946" s="1">
        <v>42996</v>
      </c>
      <c r="B946" s="15">
        <v>49.88</v>
      </c>
    </row>
    <row r="947" spans="1:2">
      <c r="A947" s="1">
        <v>42997</v>
      </c>
      <c r="B947" s="15">
        <v>49.54</v>
      </c>
    </row>
    <row r="948" spans="1:2">
      <c r="A948" s="1">
        <v>42998</v>
      </c>
      <c r="B948" s="15">
        <v>50.29</v>
      </c>
    </row>
    <row r="949" spans="1:2">
      <c r="A949" s="1">
        <v>42999</v>
      </c>
      <c r="B949" s="15">
        <v>50.58</v>
      </c>
    </row>
    <row r="950" spans="1:2">
      <c r="A950" s="1">
        <v>43000</v>
      </c>
      <c r="B950" s="15">
        <v>50.33</v>
      </c>
    </row>
    <row r="951" spans="1:2">
      <c r="A951" s="1">
        <v>43003</v>
      </c>
      <c r="B951" s="15">
        <v>51.85</v>
      </c>
    </row>
    <row r="952" spans="1:2">
      <c r="A952" s="1">
        <v>43004</v>
      </c>
      <c r="B952" s="15">
        <v>51.59</v>
      </c>
    </row>
    <row r="953" spans="1:2">
      <c r="A953" s="1">
        <v>43005</v>
      </c>
      <c r="B953" s="15">
        <v>52.14</v>
      </c>
    </row>
    <row r="954" spans="1:2">
      <c r="A954" s="1">
        <v>43006</v>
      </c>
      <c r="B954" s="15">
        <v>51.62</v>
      </c>
    </row>
    <row r="955" spans="1:2">
      <c r="A955" s="1">
        <v>43007</v>
      </c>
      <c r="B955" s="15">
        <v>51.67</v>
      </c>
    </row>
    <row r="956" spans="1:2">
      <c r="A956" s="1">
        <v>43010</v>
      </c>
      <c r="B956" s="15">
        <v>50.59</v>
      </c>
    </row>
    <row r="957" spans="1:2">
      <c r="A957" s="1">
        <v>43011</v>
      </c>
      <c r="B957" s="15">
        <v>50.44</v>
      </c>
    </row>
    <row r="958" spans="1:2">
      <c r="A958" s="1">
        <v>43012</v>
      </c>
      <c r="B958" s="15">
        <v>50</v>
      </c>
    </row>
    <row r="959" spans="1:2">
      <c r="A959" s="1">
        <v>43013</v>
      </c>
      <c r="B959" s="15">
        <v>50.79</v>
      </c>
    </row>
    <row r="960" spans="1:2">
      <c r="A960" s="1">
        <v>43014</v>
      </c>
      <c r="B960" s="15">
        <v>49.34</v>
      </c>
    </row>
    <row r="961" spans="1:2">
      <c r="A961" s="1">
        <v>43017</v>
      </c>
      <c r="B961" s="15">
        <v>49.58</v>
      </c>
    </row>
    <row r="962" spans="1:2">
      <c r="A962" s="1">
        <v>43018</v>
      </c>
      <c r="B962" s="15">
        <v>50.93</v>
      </c>
    </row>
    <row r="963" spans="1:2">
      <c r="A963" s="1">
        <v>43019</v>
      </c>
      <c r="B963" s="15">
        <v>51.3</v>
      </c>
    </row>
    <row r="964" spans="1:2">
      <c r="A964" s="1">
        <v>43020</v>
      </c>
      <c r="B964" s="15">
        <v>50.61</v>
      </c>
    </row>
    <row r="965" spans="1:2">
      <c r="A965" s="1">
        <v>43021</v>
      </c>
      <c r="B965" s="15">
        <v>51.43</v>
      </c>
    </row>
    <row r="966" spans="1:2">
      <c r="A966" s="1">
        <v>43024</v>
      </c>
      <c r="B966" s="15">
        <v>51.86</v>
      </c>
    </row>
    <row r="967" spans="1:2">
      <c r="A967" s="1">
        <v>43025</v>
      </c>
      <c r="B967" s="15">
        <v>51.87</v>
      </c>
    </row>
    <row r="968" spans="1:2">
      <c r="A968" s="1">
        <v>43026</v>
      </c>
      <c r="B968" s="15">
        <v>52.05</v>
      </c>
    </row>
    <row r="969" spans="1:2">
      <c r="A969" s="1">
        <v>43027</v>
      </c>
      <c r="B969" s="15">
        <v>51.29</v>
      </c>
    </row>
    <row r="970" spans="1:2">
      <c r="A970" s="1">
        <v>43028</v>
      </c>
      <c r="B970" s="15">
        <v>51.63</v>
      </c>
    </row>
    <row r="971" spans="1:2">
      <c r="A971" s="1">
        <v>43031</v>
      </c>
      <c r="B971" s="15">
        <v>51.91</v>
      </c>
    </row>
    <row r="972" spans="1:2">
      <c r="A972" s="1">
        <v>43032</v>
      </c>
      <c r="B972" s="15">
        <v>52.32</v>
      </c>
    </row>
    <row r="973" spans="1:2">
      <c r="A973" s="1">
        <v>43033</v>
      </c>
      <c r="B973" s="15">
        <v>51.97</v>
      </c>
    </row>
    <row r="974" spans="1:2">
      <c r="A974" s="1">
        <v>43034</v>
      </c>
      <c r="B974" s="15">
        <v>52.41</v>
      </c>
    </row>
    <row r="975" spans="1:2">
      <c r="A975" s="1">
        <v>43035</v>
      </c>
      <c r="B975" s="15">
        <v>53.92</v>
      </c>
    </row>
    <row r="976" spans="1:2">
      <c r="A976" s="1">
        <v>43038</v>
      </c>
      <c r="B976" s="15">
        <v>54.11</v>
      </c>
    </row>
    <row r="977" spans="1:2">
      <c r="A977" s="1">
        <v>43039</v>
      </c>
      <c r="B977" s="15">
        <v>54.36</v>
      </c>
    </row>
    <row r="978" spans="1:2">
      <c r="A978" s="1">
        <v>43040</v>
      </c>
      <c r="B978" s="15">
        <v>54.32</v>
      </c>
    </row>
    <row r="979" spans="1:2">
      <c r="A979" s="1">
        <v>43041</v>
      </c>
      <c r="B979" s="15">
        <v>54.55</v>
      </c>
    </row>
    <row r="980" spans="1:2">
      <c r="A980" s="1">
        <v>43042</v>
      </c>
      <c r="B980" s="15">
        <v>55.63</v>
      </c>
    </row>
    <row r="981" spans="1:2">
      <c r="A981" s="1">
        <v>43045</v>
      </c>
      <c r="B981" s="15">
        <v>57.34</v>
      </c>
    </row>
    <row r="982" spans="1:2">
      <c r="A982" s="1">
        <v>43046</v>
      </c>
      <c r="B982" s="15">
        <v>57.19</v>
      </c>
    </row>
    <row r="983" spans="1:2">
      <c r="A983" s="1">
        <v>43047</v>
      </c>
      <c r="B983" s="15">
        <v>56.82</v>
      </c>
    </row>
    <row r="984" spans="1:2">
      <c r="A984" s="1">
        <v>43048</v>
      </c>
      <c r="B984" s="15">
        <v>57.16</v>
      </c>
    </row>
    <row r="985" spans="1:2">
      <c r="A985" s="1">
        <v>43049</v>
      </c>
      <c r="B985" s="15">
        <v>56.75</v>
      </c>
    </row>
    <row r="986" spans="1:2">
      <c r="A986" s="1">
        <v>43052</v>
      </c>
      <c r="B986" s="15">
        <v>56.77</v>
      </c>
    </row>
    <row r="987" spans="1:2">
      <c r="A987" s="1">
        <v>43053</v>
      </c>
      <c r="B987" s="15">
        <v>55.67</v>
      </c>
    </row>
    <row r="988" spans="1:2">
      <c r="A988" s="1">
        <v>43054</v>
      </c>
      <c r="B988" s="15">
        <v>55.28</v>
      </c>
    </row>
    <row r="989" spans="1:2">
      <c r="A989" s="1">
        <v>43055</v>
      </c>
      <c r="B989" s="15">
        <v>55.14</v>
      </c>
    </row>
    <row r="990" spans="1:2">
      <c r="A990" s="1">
        <v>43056</v>
      </c>
      <c r="B990" s="15">
        <v>56.21</v>
      </c>
    </row>
    <row r="991" spans="1:2">
      <c r="A991" s="1">
        <v>43059</v>
      </c>
      <c r="B991" s="15">
        <v>56.21</v>
      </c>
    </row>
    <row r="992" spans="1:2">
      <c r="A992" s="1">
        <v>43060</v>
      </c>
      <c r="B992" s="15">
        <v>56.84</v>
      </c>
    </row>
    <row r="993" spans="1:2">
      <c r="A993" s="1">
        <v>43061</v>
      </c>
      <c r="B993" s="15">
        <v>57.88</v>
      </c>
    </row>
    <row r="994" spans="1:2">
      <c r="A994" s="1">
        <v>43063</v>
      </c>
      <c r="B994" s="15">
        <v>58.94</v>
      </c>
    </row>
    <row r="995" spans="1:2">
      <c r="A995" s="1">
        <v>43066</v>
      </c>
      <c r="B995" s="15">
        <v>58.1</v>
      </c>
    </row>
    <row r="996" spans="1:2">
      <c r="A996" s="1">
        <v>43067</v>
      </c>
      <c r="B996" s="15">
        <v>57.96</v>
      </c>
    </row>
    <row r="997" spans="1:2">
      <c r="A997" s="1">
        <v>43068</v>
      </c>
      <c r="B997" s="15">
        <v>57.25</v>
      </c>
    </row>
    <row r="998" spans="1:2">
      <c r="A998" s="1">
        <v>43069</v>
      </c>
      <c r="B998" s="15">
        <v>57.4</v>
      </c>
    </row>
    <row r="999" spans="1:2">
      <c r="A999" s="1">
        <v>43070</v>
      </c>
      <c r="B999" s="15">
        <v>58.35</v>
      </c>
    </row>
    <row r="1000" spans="1:2">
      <c r="A1000" s="1">
        <v>43073</v>
      </c>
      <c r="B1000" s="15">
        <v>57.48</v>
      </c>
    </row>
    <row r="1001" spans="1:2">
      <c r="A1001" s="1">
        <v>43074</v>
      </c>
      <c r="B1001" s="15">
        <v>57.66</v>
      </c>
    </row>
    <row r="1002" spans="1:2">
      <c r="A1002" s="1">
        <v>43075</v>
      </c>
      <c r="B1002" s="15">
        <v>55.79</v>
      </c>
    </row>
    <row r="1003" spans="1:2">
      <c r="A1003" s="1">
        <v>43076</v>
      </c>
      <c r="B1003" s="15">
        <v>56.5</v>
      </c>
    </row>
    <row r="1004" spans="1:2">
      <c r="A1004" s="1">
        <v>43077</v>
      </c>
      <c r="B1004" s="15">
        <v>57.15</v>
      </c>
    </row>
    <row r="1005" spans="1:2">
      <c r="A1005" s="1">
        <v>43080</v>
      </c>
      <c r="B1005" s="15">
        <v>57.84</v>
      </c>
    </row>
    <row r="1006" spans="1:2">
      <c r="A1006" s="1">
        <v>43081</v>
      </c>
      <c r="B1006" s="15">
        <v>57.12</v>
      </c>
    </row>
    <row r="1007" spans="1:2">
      <c r="A1007" s="1">
        <v>43082</v>
      </c>
      <c r="B1007" s="15">
        <v>56.59</v>
      </c>
    </row>
    <row r="1008" spans="1:2">
      <c r="A1008" s="1">
        <v>43083</v>
      </c>
      <c r="B1008" s="15">
        <v>57</v>
      </c>
    </row>
    <row r="1009" spans="1:2">
      <c r="A1009" s="1">
        <v>43084</v>
      </c>
      <c r="B1009" s="15">
        <v>57.29</v>
      </c>
    </row>
    <row r="1010" spans="1:2">
      <c r="A1010" s="1">
        <v>43087</v>
      </c>
      <c r="B1010" s="15">
        <v>57.17</v>
      </c>
    </row>
    <row r="1011" spans="1:2">
      <c r="A1011" s="1">
        <v>43088</v>
      </c>
      <c r="B1011" s="15">
        <v>57.49</v>
      </c>
    </row>
    <row r="1012" spans="1:2">
      <c r="A1012" s="1">
        <v>43089</v>
      </c>
      <c r="B1012" s="15">
        <v>58.09</v>
      </c>
    </row>
    <row r="1013" spans="1:2">
      <c r="A1013" s="1">
        <v>43090</v>
      </c>
      <c r="B1013" s="15">
        <v>58.34</v>
      </c>
    </row>
    <row r="1014" spans="1:2">
      <c r="A1014" s="1">
        <v>43091</v>
      </c>
      <c r="B1014" s="15">
        <v>58.25</v>
      </c>
    </row>
    <row r="1015" spans="1:2">
      <c r="A1015" s="1">
        <v>43095</v>
      </c>
      <c r="B1015" s="15">
        <v>59.55</v>
      </c>
    </row>
    <row r="1016" spans="1:2">
      <c r="A1016" s="1">
        <v>43096</v>
      </c>
      <c r="B1016" s="15">
        <v>59.67</v>
      </c>
    </row>
    <row r="1017" spans="1:2">
      <c r="A1017" s="1">
        <v>43097</v>
      </c>
      <c r="B1017" s="15">
        <v>59.84</v>
      </c>
    </row>
    <row r="1018" spans="1:2">
      <c r="A1018" s="1">
        <v>43098</v>
      </c>
      <c r="B1018" s="15">
        <v>60.46</v>
      </c>
    </row>
    <row r="1019" spans="1:2">
      <c r="A1019" s="1">
        <v>43102</v>
      </c>
      <c r="B1019" s="15">
        <v>60.37</v>
      </c>
    </row>
    <row r="1020" spans="1:2">
      <c r="A1020" s="1">
        <v>43103</v>
      </c>
      <c r="B1020" s="15">
        <v>61.61</v>
      </c>
    </row>
    <row r="1021" spans="1:2">
      <c r="A1021" s="1">
        <v>43104</v>
      </c>
      <c r="B1021" s="15">
        <v>61.98</v>
      </c>
    </row>
    <row r="1022" spans="1:2">
      <c r="A1022" s="1">
        <v>43105</v>
      </c>
      <c r="B1022" s="15">
        <v>61.49</v>
      </c>
    </row>
    <row r="1023" spans="1:2">
      <c r="A1023" s="1">
        <v>43108</v>
      </c>
      <c r="B1023" s="15">
        <v>61.73</v>
      </c>
    </row>
    <row r="1024" spans="1:2">
      <c r="A1024" s="1">
        <v>43109</v>
      </c>
      <c r="B1024" s="15">
        <v>62.92</v>
      </c>
    </row>
    <row r="1025" spans="1:2">
      <c r="A1025" s="1">
        <v>43110</v>
      </c>
      <c r="B1025" s="15">
        <v>63.6</v>
      </c>
    </row>
    <row r="1026" spans="1:2">
      <c r="A1026" s="1">
        <v>43111</v>
      </c>
      <c r="B1026" s="15">
        <v>63.81</v>
      </c>
    </row>
    <row r="1027" spans="1:2">
      <c r="A1027" s="1">
        <v>43112</v>
      </c>
      <c r="B1027" s="15">
        <v>64.22</v>
      </c>
    </row>
    <row r="1028" spans="1:2">
      <c r="A1028" s="1">
        <v>43116</v>
      </c>
      <c r="B1028" s="15">
        <v>63.82</v>
      </c>
    </row>
    <row r="1029" spans="1:2">
      <c r="A1029" s="1">
        <v>43117</v>
      </c>
      <c r="B1029" s="15">
        <v>63.92</v>
      </c>
    </row>
    <row r="1030" spans="1:2">
      <c r="A1030" s="1">
        <v>43118</v>
      </c>
      <c r="B1030" s="15">
        <v>63.96</v>
      </c>
    </row>
    <row r="1031" spans="1:2">
      <c r="A1031" s="1">
        <v>43119</v>
      </c>
      <c r="B1031" s="15">
        <v>63.38</v>
      </c>
    </row>
    <row r="1032" spans="1:2">
      <c r="A1032" s="1">
        <v>43122</v>
      </c>
      <c r="B1032" s="15">
        <v>63.66</v>
      </c>
    </row>
    <row r="1033" spans="1:2">
      <c r="A1033" s="1">
        <v>43123</v>
      </c>
      <c r="B1033" s="15">
        <v>64.45</v>
      </c>
    </row>
    <row r="1034" spans="1:2">
      <c r="A1034" s="1">
        <v>43124</v>
      </c>
      <c r="B1034" s="15">
        <v>65.69</v>
      </c>
    </row>
    <row r="1035" spans="1:2">
      <c r="A1035" s="1">
        <v>43125</v>
      </c>
      <c r="B1035" s="15">
        <v>65.62</v>
      </c>
    </row>
    <row r="1036" spans="1:2">
      <c r="A1036" s="1">
        <v>43126</v>
      </c>
      <c r="B1036" s="15">
        <v>66.27</v>
      </c>
    </row>
    <row r="1037" spans="1:2">
      <c r="A1037" s="1">
        <v>43129</v>
      </c>
      <c r="B1037" s="15">
        <v>65.709999999999994</v>
      </c>
    </row>
    <row r="1038" spans="1:2">
      <c r="A1038" s="1">
        <v>43130</v>
      </c>
      <c r="B1038" s="15">
        <v>64.64</v>
      </c>
    </row>
    <row r="1039" spans="1:2">
      <c r="A1039" s="1">
        <v>43131</v>
      </c>
      <c r="B1039" s="15">
        <v>64.819999999999993</v>
      </c>
    </row>
    <row r="1040" spans="1:2">
      <c r="A1040" s="1">
        <v>43132</v>
      </c>
      <c r="B1040" s="15">
        <v>65.92</v>
      </c>
    </row>
    <row r="1041" spans="1:2">
      <c r="A1041" s="1">
        <v>43133</v>
      </c>
      <c r="B1041" s="15">
        <v>65.5</v>
      </c>
    </row>
    <row r="1042" spans="1:2">
      <c r="A1042" s="1">
        <v>43136</v>
      </c>
      <c r="B1042" s="15">
        <v>64.180000000000007</v>
      </c>
    </row>
    <row r="1043" spans="1:2">
      <c r="A1043" s="1">
        <v>43137</v>
      </c>
      <c r="B1043" s="15">
        <v>63.48</v>
      </c>
    </row>
    <row r="1044" spans="1:2">
      <c r="A1044" s="1">
        <v>43138</v>
      </c>
      <c r="B1044" s="15">
        <v>61.91</v>
      </c>
    </row>
    <row r="1045" spans="1:2">
      <c r="A1045" s="1">
        <v>43139</v>
      </c>
      <c r="B1045" s="15">
        <v>61.3</v>
      </c>
    </row>
    <row r="1046" spans="1:2">
      <c r="A1046" s="1">
        <v>43140</v>
      </c>
      <c r="B1046" s="15">
        <v>59.2</v>
      </c>
    </row>
    <row r="1047" spans="1:2">
      <c r="A1047" s="1">
        <v>43143</v>
      </c>
      <c r="B1047" s="15">
        <v>59.41</v>
      </c>
    </row>
    <row r="1048" spans="1:2">
      <c r="A1048" s="1">
        <v>43144</v>
      </c>
      <c r="B1048" s="15">
        <v>59.33</v>
      </c>
    </row>
    <row r="1049" spans="1:2">
      <c r="A1049" s="1">
        <v>43145</v>
      </c>
      <c r="B1049" s="15">
        <v>60.7</v>
      </c>
    </row>
    <row r="1050" spans="1:2">
      <c r="A1050" s="1">
        <v>43146</v>
      </c>
      <c r="B1050" s="15">
        <v>61.48</v>
      </c>
    </row>
    <row r="1051" spans="1:2">
      <c r="A1051" s="1">
        <v>43147</v>
      </c>
      <c r="B1051" s="15">
        <v>61.89</v>
      </c>
    </row>
    <row r="1052" spans="1:2">
      <c r="A1052" s="1">
        <v>43151</v>
      </c>
      <c r="B1052" s="15">
        <v>61.91</v>
      </c>
    </row>
    <row r="1053" spans="1:2">
      <c r="A1053" s="1">
        <v>43152</v>
      </c>
      <c r="B1053" s="15">
        <v>61.73</v>
      </c>
    </row>
    <row r="1054" spans="1:2">
      <c r="A1054" s="1">
        <v>43153</v>
      </c>
      <c r="B1054" s="15">
        <v>62.72</v>
      </c>
    </row>
    <row r="1055" spans="1:2">
      <c r="A1055" s="1">
        <v>43154</v>
      </c>
      <c r="B1055" s="15">
        <v>63.52</v>
      </c>
    </row>
    <row r="1056" spans="1:2">
      <c r="A1056" s="1">
        <v>43157</v>
      </c>
      <c r="B1056" s="15">
        <v>63.81</v>
      </c>
    </row>
    <row r="1057" spans="1:2">
      <c r="A1057" s="1">
        <v>43158</v>
      </c>
      <c r="B1057" s="15">
        <v>62.94</v>
      </c>
    </row>
    <row r="1058" spans="1:2">
      <c r="A1058" s="1">
        <v>43159</v>
      </c>
      <c r="B1058" s="15">
        <v>61.43</v>
      </c>
    </row>
    <row r="1059" spans="1:2">
      <c r="A1059" s="1">
        <v>43160</v>
      </c>
      <c r="B1059" s="15">
        <v>60.98</v>
      </c>
    </row>
    <row r="1060" spans="1:2">
      <c r="A1060" s="1">
        <v>43161</v>
      </c>
      <c r="B1060" s="15">
        <v>61.19</v>
      </c>
    </row>
    <row r="1061" spans="1:2">
      <c r="A1061" s="1">
        <v>43164</v>
      </c>
      <c r="B1061" s="15">
        <v>62.49</v>
      </c>
    </row>
    <row r="1062" spans="1:2">
      <c r="A1062" s="1">
        <v>43165</v>
      </c>
      <c r="B1062" s="15">
        <v>62.54</v>
      </c>
    </row>
    <row r="1063" spans="1:2">
      <c r="A1063" s="1">
        <v>43166</v>
      </c>
      <c r="B1063" s="15">
        <v>61.09</v>
      </c>
    </row>
    <row r="1064" spans="1:2">
      <c r="A1064" s="1">
        <v>43167</v>
      </c>
      <c r="B1064" s="15">
        <v>60.13</v>
      </c>
    </row>
    <row r="1065" spans="1:2">
      <c r="A1065" s="1">
        <v>43168</v>
      </c>
      <c r="B1065" s="15">
        <v>62.02</v>
      </c>
    </row>
    <row r="1066" spans="1:2">
      <c r="A1066" s="1">
        <v>43171</v>
      </c>
      <c r="B1066" s="15">
        <v>61.35</v>
      </c>
    </row>
    <row r="1067" spans="1:2">
      <c r="A1067" s="1">
        <v>43172</v>
      </c>
      <c r="B1067" s="15">
        <v>60.69</v>
      </c>
    </row>
    <row r="1068" spans="1:2">
      <c r="A1068" s="1">
        <v>43173</v>
      </c>
      <c r="B1068" s="15">
        <v>60.89</v>
      </c>
    </row>
    <row r="1069" spans="1:2">
      <c r="A1069" s="1">
        <v>43174</v>
      </c>
      <c r="B1069" s="15">
        <v>61.16</v>
      </c>
    </row>
    <row r="1070" spans="1:2">
      <c r="A1070" s="1">
        <v>43175</v>
      </c>
      <c r="B1070" s="15">
        <v>62.29</v>
      </c>
    </row>
    <row r="1071" spans="1:2">
      <c r="A1071" s="1">
        <v>43178</v>
      </c>
      <c r="B1071" s="15">
        <v>62.01</v>
      </c>
    </row>
    <row r="1072" spans="1:2">
      <c r="A1072" s="1">
        <v>43179</v>
      </c>
      <c r="B1072" s="15">
        <v>63.37</v>
      </c>
    </row>
    <row r="1073" spans="1:2">
      <c r="A1073" s="1">
        <v>43180</v>
      </c>
      <c r="B1073" s="15">
        <v>65.099999999999994</v>
      </c>
    </row>
    <row r="1074" spans="1:2">
      <c r="A1074" s="1">
        <v>43181</v>
      </c>
      <c r="B1074" s="15">
        <v>64.25</v>
      </c>
    </row>
    <row r="1075" spans="1:2">
      <c r="A1075" s="1">
        <v>43182</v>
      </c>
      <c r="B1075" s="15">
        <v>65.8</v>
      </c>
    </row>
    <row r="1076" spans="1:2">
      <c r="A1076" s="1">
        <v>43185</v>
      </c>
      <c r="B1076" s="15">
        <v>65.489999999999995</v>
      </c>
    </row>
    <row r="1077" spans="1:2">
      <c r="A1077" s="1">
        <v>43186</v>
      </c>
      <c r="B1077" s="15">
        <v>65.209999999999994</v>
      </c>
    </row>
    <row r="1078" spans="1:2">
      <c r="A1078" s="1">
        <v>43187</v>
      </c>
      <c r="B1078" s="15">
        <v>64.3</v>
      </c>
    </row>
    <row r="1079" spans="1:2">
      <c r="A1079" s="1">
        <v>43188</v>
      </c>
      <c r="B1079" s="15">
        <v>64.87</v>
      </c>
    </row>
    <row r="1080" spans="1:2">
      <c r="A1080" s="1">
        <v>43192</v>
      </c>
      <c r="B1080" s="15">
        <v>63.05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D3240-21EC-412F-AB18-311564504F35}">
  <dimension ref="A1:M1109"/>
  <sheetViews>
    <sheetView tabSelected="1" zoomScale="57" zoomScaleNormal="57" workbookViewId="0">
      <pane ySplit="3" topLeftCell="A1076" activePane="bottomLeft" state="frozen"/>
      <selection pane="bottomLeft" activeCell="D1094" sqref="D1094"/>
    </sheetView>
  </sheetViews>
  <sheetFormatPr defaultRowHeight="12.75"/>
  <cols>
    <col min="1" max="1" width="9.140625" style="100"/>
    <col min="2" max="2" width="12.5703125" style="100" bestFit="1" customWidth="1"/>
    <col min="3" max="3" width="9.140625" style="100"/>
    <col min="4" max="4" width="24.85546875" style="100" bestFit="1" customWidth="1"/>
    <col min="5" max="5" width="18.5703125" style="100" bestFit="1" customWidth="1"/>
    <col min="6" max="6" width="15" style="100" bestFit="1" customWidth="1"/>
    <col min="7" max="7" width="18.42578125" style="100" bestFit="1" customWidth="1"/>
    <col min="8" max="8" width="17.7109375" style="100" bestFit="1" customWidth="1"/>
    <col min="9" max="9" width="26" style="100" bestFit="1" customWidth="1"/>
    <col min="10" max="10" width="17.28515625" style="100" bestFit="1" customWidth="1"/>
    <col min="11" max="11" width="16" style="100" bestFit="1" customWidth="1"/>
    <col min="12" max="12" width="19.42578125" style="101" bestFit="1" customWidth="1"/>
    <col min="13" max="13" width="18.7109375" style="100" bestFit="1" customWidth="1"/>
    <col min="14" max="257" width="9.140625" style="100"/>
    <col min="258" max="258" width="12.5703125" style="100" bestFit="1" customWidth="1"/>
    <col min="259" max="259" width="9.140625" style="100"/>
    <col min="260" max="260" width="24.85546875" style="100" bestFit="1" customWidth="1"/>
    <col min="261" max="261" width="18.5703125" style="100" bestFit="1" customWidth="1"/>
    <col min="262" max="262" width="15" style="100" bestFit="1" customWidth="1"/>
    <col min="263" max="263" width="18.42578125" style="100" bestFit="1" customWidth="1"/>
    <col min="264" max="264" width="17.7109375" style="100" bestFit="1" customWidth="1"/>
    <col min="265" max="265" width="26" style="100" bestFit="1" customWidth="1"/>
    <col min="266" max="266" width="17.28515625" style="100" bestFit="1" customWidth="1"/>
    <col min="267" max="267" width="16" style="100" bestFit="1" customWidth="1"/>
    <col min="268" max="268" width="19.42578125" style="100" bestFit="1" customWidth="1"/>
    <col min="269" max="269" width="18.7109375" style="100" bestFit="1" customWidth="1"/>
    <col min="270" max="513" width="9.140625" style="100"/>
    <col min="514" max="514" width="12.5703125" style="100" bestFit="1" customWidth="1"/>
    <col min="515" max="515" width="9.140625" style="100"/>
    <col min="516" max="516" width="24.85546875" style="100" bestFit="1" customWidth="1"/>
    <col min="517" max="517" width="18.5703125" style="100" bestFit="1" customWidth="1"/>
    <col min="518" max="518" width="15" style="100" bestFit="1" customWidth="1"/>
    <col min="519" max="519" width="18.42578125" style="100" bestFit="1" customWidth="1"/>
    <col min="520" max="520" width="17.7109375" style="100" bestFit="1" customWidth="1"/>
    <col min="521" max="521" width="26" style="100" bestFit="1" customWidth="1"/>
    <col min="522" max="522" width="17.28515625" style="100" bestFit="1" customWidth="1"/>
    <col min="523" max="523" width="16" style="100" bestFit="1" customWidth="1"/>
    <col min="524" max="524" width="19.42578125" style="100" bestFit="1" customWidth="1"/>
    <col min="525" max="525" width="18.7109375" style="100" bestFit="1" customWidth="1"/>
    <col min="526" max="769" width="9.140625" style="100"/>
    <col min="770" max="770" width="12.5703125" style="100" bestFit="1" customWidth="1"/>
    <col min="771" max="771" width="9.140625" style="100"/>
    <col min="772" max="772" width="24.85546875" style="100" bestFit="1" customWidth="1"/>
    <col min="773" max="773" width="18.5703125" style="100" bestFit="1" customWidth="1"/>
    <col min="774" max="774" width="15" style="100" bestFit="1" customWidth="1"/>
    <col min="775" max="775" width="18.42578125" style="100" bestFit="1" customWidth="1"/>
    <col min="776" max="776" width="17.7109375" style="100" bestFit="1" customWidth="1"/>
    <col min="777" max="777" width="26" style="100" bestFit="1" customWidth="1"/>
    <col min="778" max="778" width="17.28515625" style="100" bestFit="1" customWidth="1"/>
    <col min="779" max="779" width="16" style="100" bestFit="1" customWidth="1"/>
    <col min="780" max="780" width="19.42578125" style="100" bestFit="1" customWidth="1"/>
    <col min="781" max="781" width="18.7109375" style="100" bestFit="1" customWidth="1"/>
    <col min="782" max="1025" width="9.140625" style="100"/>
    <col min="1026" max="1026" width="12.5703125" style="100" bestFit="1" customWidth="1"/>
    <col min="1027" max="1027" width="9.140625" style="100"/>
    <col min="1028" max="1028" width="24.85546875" style="100" bestFit="1" customWidth="1"/>
    <col min="1029" max="1029" width="18.5703125" style="100" bestFit="1" customWidth="1"/>
    <col min="1030" max="1030" width="15" style="100" bestFit="1" customWidth="1"/>
    <col min="1031" max="1031" width="18.42578125" style="100" bestFit="1" customWidth="1"/>
    <col min="1032" max="1032" width="17.7109375" style="100" bestFit="1" customWidth="1"/>
    <col min="1033" max="1033" width="26" style="100" bestFit="1" customWidth="1"/>
    <col min="1034" max="1034" width="17.28515625" style="100" bestFit="1" customWidth="1"/>
    <col min="1035" max="1035" width="16" style="100" bestFit="1" customWidth="1"/>
    <col min="1036" max="1036" width="19.42578125" style="100" bestFit="1" customWidth="1"/>
    <col min="1037" max="1037" width="18.7109375" style="100" bestFit="1" customWidth="1"/>
    <col min="1038" max="1281" width="9.140625" style="100"/>
    <col min="1282" max="1282" width="12.5703125" style="100" bestFit="1" customWidth="1"/>
    <col min="1283" max="1283" width="9.140625" style="100"/>
    <col min="1284" max="1284" width="24.85546875" style="100" bestFit="1" customWidth="1"/>
    <col min="1285" max="1285" width="18.5703125" style="100" bestFit="1" customWidth="1"/>
    <col min="1286" max="1286" width="15" style="100" bestFit="1" customWidth="1"/>
    <col min="1287" max="1287" width="18.42578125" style="100" bestFit="1" customWidth="1"/>
    <col min="1288" max="1288" width="17.7109375" style="100" bestFit="1" customWidth="1"/>
    <col min="1289" max="1289" width="26" style="100" bestFit="1" customWidth="1"/>
    <col min="1290" max="1290" width="17.28515625" style="100" bestFit="1" customWidth="1"/>
    <col min="1291" max="1291" width="16" style="100" bestFit="1" customWidth="1"/>
    <col min="1292" max="1292" width="19.42578125" style="100" bestFit="1" customWidth="1"/>
    <col min="1293" max="1293" width="18.7109375" style="100" bestFit="1" customWidth="1"/>
    <col min="1294" max="1537" width="9.140625" style="100"/>
    <col min="1538" max="1538" width="12.5703125" style="100" bestFit="1" customWidth="1"/>
    <col min="1539" max="1539" width="9.140625" style="100"/>
    <col min="1540" max="1540" width="24.85546875" style="100" bestFit="1" customWidth="1"/>
    <col min="1541" max="1541" width="18.5703125" style="100" bestFit="1" customWidth="1"/>
    <col min="1542" max="1542" width="15" style="100" bestFit="1" customWidth="1"/>
    <col min="1543" max="1543" width="18.42578125" style="100" bestFit="1" customWidth="1"/>
    <col min="1544" max="1544" width="17.7109375" style="100" bestFit="1" customWidth="1"/>
    <col min="1545" max="1545" width="26" style="100" bestFit="1" customWidth="1"/>
    <col min="1546" max="1546" width="17.28515625" style="100" bestFit="1" customWidth="1"/>
    <col min="1547" max="1547" width="16" style="100" bestFit="1" customWidth="1"/>
    <col min="1548" max="1548" width="19.42578125" style="100" bestFit="1" customWidth="1"/>
    <col min="1549" max="1549" width="18.7109375" style="100" bestFit="1" customWidth="1"/>
    <col min="1550" max="1793" width="9.140625" style="100"/>
    <col min="1794" max="1794" width="12.5703125" style="100" bestFit="1" customWidth="1"/>
    <col min="1795" max="1795" width="9.140625" style="100"/>
    <col min="1796" max="1796" width="24.85546875" style="100" bestFit="1" customWidth="1"/>
    <col min="1797" max="1797" width="18.5703125" style="100" bestFit="1" customWidth="1"/>
    <col min="1798" max="1798" width="15" style="100" bestFit="1" customWidth="1"/>
    <col min="1799" max="1799" width="18.42578125" style="100" bestFit="1" customWidth="1"/>
    <col min="1800" max="1800" width="17.7109375" style="100" bestFit="1" customWidth="1"/>
    <col min="1801" max="1801" width="26" style="100" bestFit="1" customWidth="1"/>
    <col min="1802" max="1802" width="17.28515625" style="100" bestFit="1" customWidth="1"/>
    <col min="1803" max="1803" width="16" style="100" bestFit="1" customWidth="1"/>
    <col min="1804" max="1804" width="19.42578125" style="100" bestFit="1" customWidth="1"/>
    <col min="1805" max="1805" width="18.7109375" style="100" bestFit="1" customWidth="1"/>
    <col min="1806" max="2049" width="9.140625" style="100"/>
    <col min="2050" max="2050" width="12.5703125" style="100" bestFit="1" customWidth="1"/>
    <col min="2051" max="2051" width="9.140625" style="100"/>
    <col min="2052" max="2052" width="24.85546875" style="100" bestFit="1" customWidth="1"/>
    <col min="2053" max="2053" width="18.5703125" style="100" bestFit="1" customWidth="1"/>
    <col min="2054" max="2054" width="15" style="100" bestFit="1" customWidth="1"/>
    <col min="2055" max="2055" width="18.42578125" style="100" bestFit="1" customWidth="1"/>
    <col min="2056" max="2056" width="17.7109375" style="100" bestFit="1" customWidth="1"/>
    <col min="2057" max="2057" width="26" style="100" bestFit="1" customWidth="1"/>
    <col min="2058" max="2058" width="17.28515625" style="100" bestFit="1" customWidth="1"/>
    <col min="2059" max="2059" width="16" style="100" bestFit="1" customWidth="1"/>
    <col min="2060" max="2060" width="19.42578125" style="100" bestFit="1" customWidth="1"/>
    <col min="2061" max="2061" width="18.7109375" style="100" bestFit="1" customWidth="1"/>
    <col min="2062" max="2305" width="9.140625" style="100"/>
    <col min="2306" max="2306" width="12.5703125" style="100" bestFit="1" customWidth="1"/>
    <col min="2307" max="2307" width="9.140625" style="100"/>
    <col min="2308" max="2308" width="24.85546875" style="100" bestFit="1" customWidth="1"/>
    <col min="2309" max="2309" width="18.5703125" style="100" bestFit="1" customWidth="1"/>
    <col min="2310" max="2310" width="15" style="100" bestFit="1" customWidth="1"/>
    <col min="2311" max="2311" width="18.42578125" style="100" bestFit="1" customWidth="1"/>
    <col min="2312" max="2312" width="17.7109375" style="100" bestFit="1" customWidth="1"/>
    <col min="2313" max="2313" width="26" style="100" bestFit="1" customWidth="1"/>
    <col min="2314" max="2314" width="17.28515625" style="100" bestFit="1" customWidth="1"/>
    <col min="2315" max="2315" width="16" style="100" bestFit="1" customWidth="1"/>
    <col min="2316" max="2316" width="19.42578125" style="100" bestFit="1" customWidth="1"/>
    <col min="2317" max="2317" width="18.7109375" style="100" bestFit="1" customWidth="1"/>
    <col min="2318" max="2561" width="9.140625" style="100"/>
    <col min="2562" max="2562" width="12.5703125" style="100" bestFit="1" customWidth="1"/>
    <col min="2563" max="2563" width="9.140625" style="100"/>
    <col min="2564" max="2564" width="24.85546875" style="100" bestFit="1" customWidth="1"/>
    <col min="2565" max="2565" width="18.5703125" style="100" bestFit="1" customWidth="1"/>
    <col min="2566" max="2566" width="15" style="100" bestFit="1" customWidth="1"/>
    <col min="2567" max="2567" width="18.42578125" style="100" bestFit="1" customWidth="1"/>
    <col min="2568" max="2568" width="17.7109375" style="100" bestFit="1" customWidth="1"/>
    <col min="2569" max="2569" width="26" style="100" bestFit="1" customWidth="1"/>
    <col min="2570" max="2570" width="17.28515625" style="100" bestFit="1" customWidth="1"/>
    <col min="2571" max="2571" width="16" style="100" bestFit="1" customWidth="1"/>
    <col min="2572" max="2572" width="19.42578125" style="100" bestFit="1" customWidth="1"/>
    <col min="2573" max="2573" width="18.7109375" style="100" bestFit="1" customWidth="1"/>
    <col min="2574" max="2817" width="9.140625" style="100"/>
    <col min="2818" max="2818" width="12.5703125" style="100" bestFit="1" customWidth="1"/>
    <col min="2819" max="2819" width="9.140625" style="100"/>
    <col min="2820" max="2820" width="24.85546875" style="100" bestFit="1" customWidth="1"/>
    <col min="2821" max="2821" width="18.5703125" style="100" bestFit="1" customWidth="1"/>
    <col min="2822" max="2822" width="15" style="100" bestFit="1" customWidth="1"/>
    <col min="2823" max="2823" width="18.42578125" style="100" bestFit="1" customWidth="1"/>
    <col min="2824" max="2824" width="17.7109375" style="100" bestFit="1" customWidth="1"/>
    <col min="2825" max="2825" width="26" style="100" bestFit="1" customWidth="1"/>
    <col min="2826" max="2826" width="17.28515625" style="100" bestFit="1" customWidth="1"/>
    <col min="2827" max="2827" width="16" style="100" bestFit="1" customWidth="1"/>
    <col min="2828" max="2828" width="19.42578125" style="100" bestFit="1" customWidth="1"/>
    <col min="2829" max="2829" width="18.7109375" style="100" bestFit="1" customWidth="1"/>
    <col min="2830" max="3073" width="9.140625" style="100"/>
    <col min="3074" max="3074" width="12.5703125" style="100" bestFit="1" customWidth="1"/>
    <col min="3075" max="3075" width="9.140625" style="100"/>
    <col min="3076" max="3076" width="24.85546875" style="100" bestFit="1" customWidth="1"/>
    <col min="3077" max="3077" width="18.5703125" style="100" bestFit="1" customWidth="1"/>
    <col min="3078" max="3078" width="15" style="100" bestFit="1" customWidth="1"/>
    <col min="3079" max="3079" width="18.42578125" style="100" bestFit="1" customWidth="1"/>
    <col min="3080" max="3080" width="17.7109375" style="100" bestFit="1" customWidth="1"/>
    <col min="3081" max="3081" width="26" style="100" bestFit="1" customWidth="1"/>
    <col min="3082" max="3082" width="17.28515625" style="100" bestFit="1" customWidth="1"/>
    <col min="3083" max="3083" width="16" style="100" bestFit="1" customWidth="1"/>
    <col min="3084" max="3084" width="19.42578125" style="100" bestFit="1" customWidth="1"/>
    <col min="3085" max="3085" width="18.7109375" style="100" bestFit="1" customWidth="1"/>
    <col min="3086" max="3329" width="9.140625" style="100"/>
    <col min="3330" max="3330" width="12.5703125" style="100" bestFit="1" customWidth="1"/>
    <col min="3331" max="3331" width="9.140625" style="100"/>
    <col min="3332" max="3332" width="24.85546875" style="100" bestFit="1" customWidth="1"/>
    <col min="3333" max="3333" width="18.5703125" style="100" bestFit="1" customWidth="1"/>
    <col min="3334" max="3334" width="15" style="100" bestFit="1" customWidth="1"/>
    <col min="3335" max="3335" width="18.42578125" style="100" bestFit="1" customWidth="1"/>
    <col min="3336" max="3336" width="17.7109375" style="100" bestFit="1" customWidth="1"/>
    <col min="3337" max="3337" width="26" style="100" bestFit="1" customWidth="1"/>
    <col min="3338" max="3338" width="17.28515625" style="100" bestFit="1" customWidth="1"/>
    <col min="3339" max="3339" width="16" style="100" bestFit="1" customWidth="1"/>
    <col min="3340" max="3340" width="19.42578125" style="100" bestFit="1" customWidth="1"/>
    <col min="3341" max="3341" width="18.7109375" style="100" bestFit="1" customWidth="1"/>
    <col min="3342" max="3585" width="9.140625" style="100"/>
    <col min="3586" max="3586" width="12.5703125" style="100" bestFit="1" customWidth="1"/>
    <col min="3587" max="3587" width="9.140625" style="100"/>
    <col min="3588" max="3588" width="24.85546875" style="100" bestFit="1" customWidth="1"/>
    <col min="3589" max="3589" width="18.5703125" style="100" bestFit="1" customWidth="1"/>
    <col min="3590" max="3590" width="15" style="100" bestFit="1" customWidth="1"/>
    <col min="3591" max="3591" width="18.42578125" style="100" bestFit="1" customWidth="1"/>
    <col min="3592" max="3592" width="17.7109375" style="100" bestFit="1" customWidth="1"/>
    <col min="3593" max="3593" width="26" style="100" bestFit="1" customWidth="1"/>
    <col min="3594" max="3594" width="17.28515625" style="100" bestFit="1" customWidth="1"/>
    <col min="3595" max="3595" width="16" style="100" bestFit="1" customWidth="1"/>
    <col min="3596" max="3596" width="19.42578125" style="100" bestFit="1" customWidth="1"/>
    <col min="3597" max="3597" width="18.7109375" style="100" bestFit="1" customWidth="1"/>
    <col min="3598" max="3841" width="9.140625" style="100"/>
    <col min="3842" max="3842" width="12.5703125" style="100" bestFit="1" customWidth="1"/>
    <col min="3843" max="3843" width="9.140625" style="100"/>
    <col min="3844" max="3844" width="24.85546875" style="100" bestFit="1" customWidth="1"/>
    <col min="3845" max="3845" width="18.5703125" style="100" bestFit="1" customWidth="1"/>
    <col min="3846" max="3846" width="15" style="100" bestFit="1" customWidth="1"/>
    <col min="3847" max="3847" width="18.42578125" style="100" bestFit="1" customWidth="1"/>
    <col min="3848" max="3848" width="17.7109375" style="100" bestFit="1" customWidth="1"/>
    <col min="3849" max="3849" width="26" style="100" bestFit="1" customWidth="1"/>
    <col min="3850" max="3850" width="17.28515625" style="100" bestFit="1" customWidth="1"/>
    <col min="3851" max="3851" width="16" style="100" bestFit="1" customWidth="1"/>
    <col min="3852" max="3852" width="19.42578125" style="100" bestFit="1" customWidth="1"/>
    <col min="3853" max="3853" width="18.7109375" style="100" bestFit="1" customWidth="1"/>
    <col min="3854" max="4097" width="9.140625" style="100"/>
    <col min="4098" max="4098" width="12.5703125" style="100" bestFit="1" customWidth="1"/>
    <col min="4099" max="4099" width="9.140625" style="100"/>
    <col min="4100" max="4100" width="24.85546875" style="100" bestFit="1" customWidth="1"/>
    <col min="4101" max="4101" width="18.5703125" style="100" bestFit="1" customWidth="1"/>
    <col min="4102" max="4102" width="15" style="100" bestFit="1" customWidth="1"/>
    <col min="4103" max="4103" width="18.42578125" style="100" bestFit="1" customWidth="1"/>
    <col min="4104" max="4104" width="17.7109375" style="100" bestFit="1" customWidth="1"/>
    <col min="4105" max="4105" width="26" style="100" bestFit="1" customWidth="1"/>
    <col min="4106" max="4106" width="17.28515625" style="100" bestFit="1" customWidth="1"/>
    <col min="4107" max="4107" width="16" style="100" bestFit="1" customWidth="1"/>
    <col min="4108" max="4108" width="19.42578125" style="100" bestFit="1" customWidth="1"/>
    <col min="4109" max="4109" width="18.7109375" style="100" bestFit="1" customWidth="1"/>
    <col min="4110" max="4353" width="9.140625" style="100"/>
    <col min="4354" max="4354" width="12.5703125" style="100" bestFit="1" customWidth="1"/>
    <col min="4355" max="4355" width="9.140625" style="100"/>
    <col min="4356" max="4356" width="24.85546875" style="100" bestFit="1" customWidth="1"/>
    <col min="4357" max="4357" width="18.5703125" style="100" bestFit="1" customWidth="1"/>
    <col min="4358" max="4358" width="15" style="100" bestFit="1" customWidth="1"/>
    <col min="4359" max="4359" width="18.42578125" style="100" bestFit="1" customWidth="1"/>
    <col min="4360" max="4360" width="17.7109375" style="100" bestFit="1" customWidth="1"/>
    <col min="4361" max="4361" width="26" style="100" bestFit="1" customWidth="1"/>
    <col min="4362" max="4362" width="17.28515625" style="100" bestFit="1" customWidth="1"/>
    <col min="4363" max="4363" width="16" style="100" bestFit="1" customWidth="1"/>
    <col min="4364" max="4364" width="19.42578125" style="100" bestFit="1" customWidth="1"/>
    <col min="4365" max="4365" width="18.7109375" style="100" bestFit="1" customWidth="1"/>
    <col min="4366" max="4609" width="9.140625" style="100"/>
    <col min="4610" max="4610" width="12.5703125" style="100" bestFit="1" customWidth="1"/>
    <col min="4611" max="4611" width="9.140625" style="100"/>
    <col min="4612" max="4612" width="24.85546875" style="100" bestFit="1" customWidth="1"/>
    <col min="4613" max="4613" width="18.5703125" style="100" bestFit="1" customWidth="1"/>
    <col min="4614" max="4614" width="15" style="100" bestFit="1" customWidth="1"/>
    <col min="4615" max="4615" width="18.42578125" style="100" bestFit="1" customWidth="1"/>
    <col min="4616" max="4616" width="17.7109375" style="100" bestFit="1" customWidth="1"/>
    <col min="4617" max="4617" width="26" style="100" bestFit="1" customWidth="1"/>
    <col min="4618" max="4618" width="17.28515625" style="100" bestFit="1" customWidth="1"/>
    <col min="4619" max="4619" width="16" style="100" bestFit="1" customWidth="1"/>
    <col min="4620" max="4620" width="19.42578125" style="100" bestFit="1" customWidth="1"/>
    <col min="4621" max="4621" width="18.7109375" style="100" bestFit="1" customWidth="1"/>
    <col min="4622" max="4865" width="9.140625" style="100"/>
    <col min="4866" max="4866" width="12.5703125" style="100" bestFit="1" customWidth="1"/>
    <col min="4867" max="4867" width="9.140625" style="100"/>
    <col min="4868" max="4868" width="24.85546875" style="100" bestFit="1" customWidth="1"/>
    <col min="4869" max="4869" width="18.5703125" style="100" bestFit="1" customWidth="1"/>
    <col min="4870" max="4870" width="15" style="100" bestFit="1" customWidth="1"/>
    <col min="4871" max="4871" width="18.42578125" style="100" bestFit="1" customWidth="1"/>
    <col min="4872" max="4872" width="17.7109375" style="100" bestFit="1" customWidth="1"/>
    <col min="4873" max="4873" width="26" style="100" bestFit="1" customWidth="1"/>
    <col min="4874" max="4874" width="17.28515625" style="100" bestFit="1" customWidth="1"/>
    <col min="4875" max="4875" width="16" style="100" bestFit="1" customWidth="1"/>
    <col min="4876" max="4876" width="19.42578125" style="100" bestFit="1" customWidth="1"/>
    <col min="4877" max="4877" width="18.7109375" style="100" bestFit="1" customWidth="1"/>
    <col min="4878" max="5121" width="9.140625" style="100"/>
    <col min="5122" max="5122" width="12.5703125" style="100" bestFit="1" customWidth="1"/>
    <col min="5123" max="5123" width="9.140625" style="100"/>
    <col min="5124" max="5124" width="24.85546875" style="100" bestFit="1" customWidth="1"/>
    <col min="5125" max="5125" width="18.5703125" style="100" bestFit="1" customWidth="1"/>
    <col min="5126" max="5126" width="15" style="100" bestFit="1" customWidth="1"/>
    <col min="5127" max="5127" width="18.42578125" style="100" bestFit="1" customWidth="1"/>
    <col min="5128" max="5128" width="17.7109375" style="100" bestFit="1" customWidth="1"/>
    <col min="5129" max="5129" width="26" style="100" bestFit="1" customWidth="1"/>
    <col min="5130" max="5130" width="17.28515625" style="100" bestFit="1" customWidth="1"/>
    <col min="5131" max="5131" width="16" style="100" bestFit="1" customWidth="1"/>
    <col min="5132" max="5132" width="19.42578125" style="100" bestFit="1" customWidth="1"/>
    <col min="5133" max="5133" width="18.7109375" style="100" bestFit="1" customWidth="1"/>
    <col min="5134" max="5377" width="9.140625" style="100"/>
    <col min="5378" max="5378" width="12.5703125" style="100" bestFit="1" customWidth="1"/>
    <col min="5379" max="5379" width="9.140625" style="100"/>
    <col min="5380" max="5380" width="24.85546875" style="100" bestFit="1" customWidth="1"/>
    <col min="5381" max="5381" width="18.5703125" style="100" bestFit="1" customWidth="1"/>
    <col min="5382" max="5382" width="15" style="100" bestFit="1" customWidth="1"/>
    <col min="5383" max="5383" width="18.42578125" style="100" bestFit="1" customWidth="1"/>
    <col min="5384" max="5384" width="17.7109375" style="100" bestFit="1" customWidth="1"/>
    <col min="5385" max="5385" width="26" style="100" bestFit="1" customWidth="1"/>
    <col min="5386" max="5386" width="17.28515625" style="100" bestFit="1" customWidth="1"/>
    <col min="5387" max="5387" width="16" style="100" bestFit="1" customWidth="1"/>
    <col min="5388" max="5388" width="19.42578125" style="100" bestFit="1" customWidth="1"/>
    <col min="5389" max="5389" width="18.7109375" style="100" bestFit="1" customWidth="1"/>
    <col min="5390" max="5633" width="9.140625" style="100"/>
    <col min="5634" max="5634" width="12.5703125" style="100" bestFit="1" customWidth="1"/>
    <col min="5635" max="5635" width="9.140625" style="100"/>
    <col min="5636" max="5636" width="24.85546875" style="100" bestFit="1" customWidth="1"/>
    <col min="5637" max="5637" width="18.5703125" style="100" bestFit="1" customWidth="1"/>
    <col min="5638" max="5638" width="15" style="100" bestFit="1" customWidth="1"/>
    <col min="5639" max="5639" width="18.42578125" style="100" bestFit="1" customWidth="1"/>
    <col min="5640" max="5640" width="17.7109375" style="100" bestFit="1" customWidth="1"/>
    <col min="5641" max="5641" width="26" style="100" bestFit="1" customWidth="1"/>
    <col min="5642" max="5642" width="17.28515625" style="100" bestFit="1" customWidth="1"/>
    <col min="5643" max="5643" width="16" style="100" bestFit="1" customWidth="1"/>
    <col min="5644" max="5644" width="19.42578125" style="100" bestFit="1" customWidth="1"/>
    <col min="5645" max="5645" width="18.7109375" style="100" bestFit="1" customWidth="1"/>
    <col min="5646" max="5889" width="9.140625" style="100"/>
    <col min="5890" max="5890" width="12.5703125" style="100" bestFit="1" customWidth="1"/>
    <col min="5891" max="5891" width="9.140625" style="100"/>
    <col min="5892" max="5892" width="24.85546875" style="100" bestFit="1" customWidth="1"/>
    <col min="5893" max="5893" width="18.5703125" style="100" bestFit="1" customWidth="1"/>
    <col min="5894" max="5894" width="15" style="100" bestFit="1" customWidth="1"/>
    <col min="5895" max="5895" width="18.42578125" style="100" bestFit="1" customWidth="1"/>
    <col min="5896" max="5896" width="17.7109375" style="100" bestFit="1" customWidth="1"/>
    <col min="5897" max="5897" width="26" style="100" bestFit="1" customWidth="1"/>
    <col min="5898" max="5898" width="17.28515625" style="100" bestFit="1" customWidth="1"/>
    <col min="5899" max="5899" width="16" style="100" bestFit="1" customWidth="1"/>
    <col min="5900" max="5900" width="19.42578125" style="100" bestFit="1" customWidth="1"/>
    <col min="5901" max="5901" width="18.7109375" style="100" bestFit="1" customWidth="1"/>
    <col min="5902" max="6145" width="9.140625" style="100"/>
    <col min="6146" max="6146" width="12.5703125" style="100" bestFit="1" customWidth="1"/>
    <col min="6147" max="6147" width="9.140625" style="100"/>
    <col min="6148" max="6148" width="24.85546875" style="100" bestFit="1" customWidth="1"/>
    <col min="6149" max="6149" width="18.5703125" style="100" bestFit="1" customWidth="1"/>
    <col min="6150" max="6150" width="15" style="100" bestFit="1" customWidth="1"/>
    <col min="6151" max="6151" width="18.42578125" style="100" bestFit="1" customWidth="1"/>
    <col min="6152" max="6152" width="17.7109375" style="100" bestFit="1" customWidth="1"/>
    <col min="6153" max="6153" width="26" style="100" bestFit="1" customWidth="1"/>
    <col min="6154" max="6154" width="17.28515625" style="100" bestFit="1" customWidth="1"/>
    <col min="6155" max="6155" width="16" style="100" bestFit="1" customWidth="1"/>
    <col min="6156" max="6156" width="19.42578125" style="100" bestFit="1" customWidth="1"/>
    <col min="6157" max="6157" width="18.7109375" style="100" bestFit="1" customWidth="1"/>
    <col min="6158" max="6401" width="9.140625" style="100"/>
    <col min="6402" max="6402" width="12.5703125" style="100" bestFit="1" customWidth="1"/>
    <col min="6403" max="6403" width="9.140625" style="100"/>
    <col min="6404" max="6404" width="24.85546875" style="100" bestFit="1" customWidth="1"/>
    <col min="6405" max="6405" width="18.5703125" style="100" bestFit="1" customWidth="1"/>
    <col min="6406" max="6406" width="15" style="100" bestFit="1" customWidth="1"/>
    <col min="6407" max="6407" width="18.42578125" style="100" bestFit="1" customWidth="1"/>
    <col min="6408" max="6408" width="17.7109375" style="100" bestFit="1" customWidth="1"/>
    <col min="6409" max="6409" width="26" style="100" bestFit="1" customWidth="1"/>
    <col min="6410" max="6410" width="17.28515625" style="100" bestFit="1" customWidth="1"/>
    <col min="6411" max="6411" width="16" style="100" bestFit="1" customWidth="1"/>
    <col min="6412" max="6412" width="19.42578125" style="100" bestFit="1" customWidth="1"/>
    <col min="6413" max="6413" width="18.7109375" style="100" bestFit="1" customWidth="1"/>
    <col min="6414" max="6657" width="9.140625" style="100"/>
    <col min="6658" max="6658" width="12.5703125" style="100" bestFit="1" customWidth="1"/>
    <col min="6659" max="6659" width="9.140625" style="100"/>
    <col min="6660" max="6660" width="24.85546875" style="100" bestFit="1" customWidth="1"/>
    <col min="6661" max="6661" width="18.5703125" style="100" bestFit="1" customWidth="1"/>
    <col min="6662" max="6662" width="15" style="100" bestFit="1" customWidth="1"/>
    <col min="6663" max="6663" width="18.42578125" style="100" bestFit="1" customWidth="1"/>
    <col min="6664" max="6664" width="17.7109375" style="100" bestFit="1" customWidth="1"/>
    <col min="6665" max="6665" width="26" style="100" bestFit="1" customWidth="1"/>
    <col min="6666" max="6666" width="17.28515625" style="100" bestFit="1" customWidth="1"/>
    <col min="6667" max="6667" width="16" style="100" bestFit="1" customWidth="1"/>
    <col min="6668" max="6668" width="19.42578125" style="100" bestFit="1" customWidth="1"/>
    <col min="6669" max="6669" width="18.7109375" style="100" bestFit="1" customWidth="1"/>
    <col min="6670" max="6913" width="9.140625" style="100"/>
    <col min="6914" max="6914" width="12.5703125" style="100" bestFit="1" customWidth="1"/>
    <col min="6915" max="6915" width="9.140625" style="100"/>
    <col min="6916" max="6916" width="24.85546875" style="100" bestFit="1" customWidth="1"/>
    <col min="6917" max="6917" width="18.5703125" style="100" bestFit="1" customWidth="1"/>
    <col min="6918" max="6918" width="15" style="100" bestFit="1" customWidth="1"/>
    <col min="6919" max="6919" width="18.42578125" style="100" bestFit="1" customWidth="1"/>
    <col min="6920" max="6920" width="17.7109375" style="100" bestFit="1" customWidth="1"/>
    <col min="6921" max="6921" width="26" style="100" bestFit="1" customWidth="1"/>
    <col min="6922" max="6922" width="17.28515625" style="100" bestFit="1" customWidth="1"/>
    <col min="6923" max="6923" width="16" style="100" bestFit="1" customWidth="1"/>
    <col min="6924" max="6924" width="19.42578125" style="100" bestFit="1" customWidth="1"/>
    <col min="6925" max="6925" width="18.7109375" style="100" bestFit="1" customWidth="1"/>
    <col min="6926" max="7169" width="9.140625" style="100"/>
    <col min="7170" max="7170" width="12.5703125" style="100" bestFit="1" customWidth="1"/>
    <col min="7171" max="7171" width="9.140625" style="100"/>
    <col min="7172" max="7172" width="24.85546875" style="100" bestFit="1" customWidth="1"/>
    <col min="7173" max="7173" width="18.5703125" style="100" bestFit="1" customWidth="1"/>
    <col min="7174" max="7174" width="15" style="100" bestFit="1" customWidth="1"/>
    <col min="7175" max="7175" width="18.42578125" style="100" bestFit="1" customWidth="1"/>
    <col min="7176" max="7176" width="17.7109375" style="100" bestFit="1" customWidth="1"/>
    <col min="7177" max="7177" width="26" style="100" bestFit="1" customWidth="1"/>
    <col min="7178" max="7178" width="17.28515625" style="100" bestFit="1" customWidth="1"/>
    <col min="7179" max="7179" width="16" style="100" bestFit="1" customWidth="1"/>
    <col min="7180" max="7180" width="19.42578125" style="100" bestFit="1" customWidth="1"/>
    <col min="7181" max="7181" width="18.7109375" style="100" bestFit="1" customWidth="1"/>
    <col min="7182" max="7425" width="9.140625" style="100"/>
    <col min="7426" max="7426" width="12.5703125" style="100" bestFit="1" customWidth="1"/>
    <col min="7427" max="7427" width="9.140625" style="100"/>
    <col min="7428" max="7428" width="24.85546875" style="100" bestFit="1" customWidth="1"/>
    <col min="7429" max="7429" width="18.5703125" style="100" bestFit="1" customWidth="1"/>
    <col min="7430" max="7430" width="15" style="100" bestFit="1" customWidth="1"/>
    <col min="7431" max="7431" width="18.42578125" style="100" bestFit="1" customWidth="1"/>
    <col min="7432" max="7432" width="17.7109375" style="100" bestFit="1" customWidth="1"/>
    <col min="7433" max="7433" width="26" style="100" bestFit="1" customWidth="1"/>
    <col min="7434" max="7434" width="17.28515625" style="100" bestFit="1" customWidth="1"/>
    <col min="7435" max="7435" width="16" style="100" bestFit="1" customWidth="1"/>
    <col min="7436" max="7436" width="19.42578125" style="100" bestFit="1" customWidth="1"/>
    <col min="7437" max="7437" width="18.7109375" style="100" bestFit="1" customWidth="1"/>
    <col min="7438" max="7681" width="9.140625" style="100"/>
    <col min="7682" max="7682" width="12.5703125" style="100" bestFit="1" customWidth="1"/>
    <col min="7683" max="7683" width="9.140625" style="100"/>
    <col min="7684" max="7684" width="24.85546875" style="100" bestFit="1" customWidth="1"/>
    <col min="7685" max="7685" width="18.5703125" style="100" bestFit="1" customWidth="1"/>
    <col min="7686" max="7686" width="15" style="100" bestFit="1" customWidth="1"/>
    <col min="7687" max="7687" width="18.42578125" style="100" bestFit="1" customWidth="1"/>
    <col min="7688" max="7688" width="17.7109375" style="100" bestFit="1" customWidth="1"/>
    <col min="7689" max="7689" width="26" style="100" bestFit="1" customWidth="1"/>
    <col min="7690" max="7690" width="17.28515625" style="100" bestFit="1" customWidth="1"/>
    <col min="7691" max="7691" width="16" style="100" bestFit="1" customWidth="1"/>
    <col min="7692" max="7692" width="19.42578125" style="100" bestFit="1" customWidth="1"/>
    <col min="7693" max="7693" width="18.7109375" style="100" bestFit="1" customWidth="1"/>
    <col min="7694" max="7937" width="9.140625" style="100"/>
    <col min="7938" max="7938" width="12.5703125" style="100" bestFit="1" customWidth="1"/>
    <col min="7939" max="7939" width="9.140625" style="100"/>
    <col min="7940" max="7940" width="24.85546875" style="100" bestFit="1" customWidth="1"/>
    <col min="7941" max="7941" width="18.5703125" style="100" bestFit="1" customWidth="1"/>
    <col min="7942" max="7942" width="15" style="100" bestFit="1" customWidth="1"/>
    <col min="7943" max="7943" width="18.42578125" style="100" bestFit="1" customWidth="1"/>
    <col min="7944" max="7944" width="17.7109375" style="100" bestFit="1" customWidth="1"/>
    <col min="7945" max="7945" width="26" style="100" bestFit="1" customWidth="1"/>
    <col min="7946" max="7946" width="17.28515625" style="100" bestFit="1" customWidth="1"/>
    <col min="7947" max="7947" width="16" style="100" bestFit="1" customWidth="1"/>
    <col min="7948" max="7948" width="19.42578125" style="100" bestFit="1" customWidth="1"/>
    <col min="7949" max="7949" width="18.7109375" style="100" bestFit="1" customWidth="1"/>
    <col min="7950" max="8193" width="9.140625" style="100"/>
    <col min="8194" max="8194" width="12.5703125" style="100" bestFit="1" customWidth="1"/>
    <col min="8195" max="8195" width="9.140625" style="100"/>
    <col min="8196" max="8196" width="24.85546875" style="100" bestFit="1" customWidth="1"/>
    <col min="8197" max="8197" width="18.5703125" style="100" bestFit="1" customWidth="1"/>
    <col min="8198" max="8198" width="15" style="100" bestFit="1" customWidth="1"/>
    <col min="8199" max="8199" width="18.42578125" style="100" bestFit="1" customWidth="1"/>
    <col min="8200" max="8200" width="17.7109375" style="100" bestFit="1" customWidth="1"/>
    <col min="8201" max="8201" width="26" style="100" bestFit="1" customWidth="1"/>
    <col min="8202" max="8202" width="17.28515625" style="100" bestFit="1" customWidth="1"/>
    <col min="8203" max="8203" width="16" style="100" bestFit="1" customWidth="1"/>
    <col min="8204" max="8204" width="19.42578125" style="100" bestFit="1" customWidth="1"/>
    <col min="8205" max="8205" width="18.7109375" style="100" bestFit="1" customWidth="1"/>
    <col min="8206" max="8449" width="9.140625" style="100"/>
    <col min="8450" max="8450" width="12.5703125" style="100" bestFit="1" customWidth="1"/>
    <col min="8451" max="8451" width="9.140625" style="100"/>
    <col min="8452" max="8452" width="24.85546875" style="100" bestFit="1" customWidth="1"/>
    <col min="8453" max="8453" width="18.5703125" style="100" bestFit="1" customWidth="1"/>
    <col min="8454" max="8454" width="15" style="100" bestFit="1" customWidth="1"/>
    <col min="8455" max="8455" width="18.42578125" style="100" bestFit="1" customWidth="1"/>
    <col min="8456" max="8456" width="17.7109375" style="100" bestFit="1" customWidth="1"/>
    <col min="8457" max="8457" width="26" style="100" bestFit="1" customWidth="1"/>
    <col min="8458" max="8458" width="17.28515625" style="100" bestFit="1" customWidth="1"/>
    <col min="8459" max="8459" width="16" style="100" bestFit="1" customWidth="1"/>
    <col min="8460" max="8460" width="19.42578125" style="100" bestFit="1" customWidth="1"/>
    <col min="8461" max="8461" width="18.7109375" style="100" bestFit="1" customWidth="1"/>
    <col min="8462" max="8705" width="9.140625" style="100"/>
    <col min="8706" max="8706" width="12.5703125" style="100" bestFit="1" customWidth="1"/>
    <col min="8707" max="8707" width="9.140625" style="100"/>
    <col min="8708" max="8708" width="24.85546875" style="100" bestFit="1" customWidth="1"/>
    <col min="8709" max="8709" width="18.5703125" style="100" bestFit="1" customWidth="1"/>
    <col min="8710" max="8710" width="15" style="100" bestFit="1" customWidth="1"/>
    <col min="8711" max="8711" width="18.42578125" style="100" bestFit="1" customWidth="1"/>
    <col min="8712" max="8712" width="17.7109375" style="100" bestFit="1" customWidth="1"/>
    <col min="8713" max="8713" width="26" style="100" bestFit="1" customWidth="1"/>
    <col min="8714" max="8714" width="17.28515625" style="100" bestFit="1" customWidth="1"/>
    <col min="8715" max="8715" width="16" style="100" bestFit="1" customWidth="1"/>
    <col min="8716" max="8716" width="19.42578125" style="100" bestFit="1" customWidth="1"/>
    <col min="8717" max="8717" width="18.7109375" style="100" bestFit="1" customWidth="1"/>
    <col min="8718" max="8961" width="9.140625" style="100"/>
    <col min="8962" max="8962" width="12.5703125" style="100" bestFit="1" customWidth="1"/>
    <col min="8963" max="8963" width="9.140625" style="100"/>
    <col min="8964" max="8964" width="24.85546875" style="100" bestFit="1" customWidth="1"/>
    <col min="8965" max="8965" width="18.5703125" style="100" bestFit="1" customWidth="1"/>
    <col min="8966" max="8966" width="15" style="100" bestFit="1" customWidth="1"/>
    <col min="8967" max="8967" width="18.42578125" style="100" bestFit="1" customWidth="1"/>
    <col min="8968" max="8968" width="17.7109375" style="100" bestFit="1" customWidth="1"/>
    <col min="8969" max="8969" width="26" style="100" bestFit="1" customWidth="1"/>
    <col min="8970" max="8970" width="17.28515625" style="100" bestFit="1" customWidth="1"/>
    <col min="8971" max="8971" width="16" style="100" bestFit="1" customWidth="1"/>
    <col min="8972" max="8972" width="19.42578125" style="100" bestFit="1" customWidth="1"/>
    <col min="8973" max="8973" width="18.7109375" style="100" bestFit="1" customWidth="1"/>
    <col min="8974" max="9217" width="9.140625" style="100"/>
    <col min="9218" max="9218" width="12.5703125" style="100" bestFit="1" customWidth="1"/>
    <col min="9219" max="9219" width="9.140625" style="100"/>
    <col min="9220" max="9220" width="24.85546875" style="100" bestFit="1" customWidth="1"/>
    <col min="9221" max="9221" width="18.5703125" style="100" bestFit="1" customWidth="1"/>
    <col min="9222" max="9222" width="15" style="100" bestFit="1" customWidth="1"/>
    <col min="9223" max="9223" width="18.42578125" style="100" bestFit="1" customWidth="1"/>
    <col min="9224" max="9224" width="17.7109375" style="100" bestFit="1" customWidth="1"/>
    <col min="9225" max="9225" width="26" style="100" bestFit="1" customWidth="1"/>
    <col min="9226" max="9226" width="17.28515625" style="100" bestFit="1" customWidth="1"/>
    <col min="9227" max="9227" width="16" style="100" bestFit="1" customWidth="1"/>
    <col min="9228" max="9228" width="19.42578125" style="100" bestFit="1" customWidth="1"/>
    <col min="9229" max="9229" width="18.7109375" style="100" bestFit="1" customWidth="1"/>
    <col min="9230" max="9473" width="9.140625" style="100"/>
    <col min="9474" max="9474" width="12.5703125" style="100" bestFit="1" customWidth="1"/>
    <col min="9475" max="9475" width="9.140625" style="100"/>
    <col min="9476" max="9476" width="24.85546875" style="100" bestFit="1" customWidth="1"/>
    <col min="9477" max="9477" width="18.5703125" style="100" bestFit="1" customWidth="1"/>
    <col min="9478" max="9478" width="15" style="100" bestFit="1" customWidth="1"/>
    <col min="9479" max="9479" width="18.42578125" style="100" bestFit="1" customWidth="1"/>
    <col min="9480" max="9480" width="17.7109375" style="100" bestFit="1" customWidth="1"/>
    <col min="9481" max="9481" width="26" style="100" bestFit="1" customWidth="1"/>
    <col min="9482" max="9482" width="17.28515625" style="100" bestFit="1" customWidth="1"/>
    <col min="9483" max="9483" width="16" style="100" bestFit="1" customWidth="1"/>
    <col min="9484" max="9484" width="19.42578125" style="100" bestFit="1" customWidth="1"/>
    <col min="9485" max="9485" width="18.7109375" style="100" bestFit="1" customWidth="1"/>
    <col min="9486" max="9729" width="9.140625" style="100"/>
    <col min="9730" max="9730" width="12.5703125" style="100" bestFit="1" customWidth="1"/>
    <col min="9731" max="9731" width="9.140625" style="100"/>
    <col min="9732" max="9732" width="24.85546875" style="100" bestFit="1" customWidth="1"/>
    <col min="9733" max="9733" width="18.5703125" style="100" bestFit="1" customWidth="1"/>
    <col min="9734" max="9734" width="15" style="100" bestFit="1" customWidth="1"/>
    <col min="9735" max="9735" width="18.42578125" style="100" bestFit="1" customWidth="1"/>
    <col min="9736" max="9736" width="17.7109375" style="100" bestFit="1" customWidth="1"/>
    <col min="9737" max="9737" width="26" style="100" bestFit="1" customWidth="1"/>
    <col min="9738" max="9738" width="17.28515625" style="100" bestFit="1" customWidth="1"/>
    <col min="9739" max="9739" width="16" style="100" bestFit="1" customWidth="1"/>
    <col min="9740" max="9740" width="19.42578125" style="100" bestFit="1" customWidth="1"/>
    <col min="9741" max="9741" width="18.7109375" style="100" bestFit="1" customWidth="1"/>
    <col min="9742" max="9985" width="9.140625" style="100"/>
    <col min="9986" max="9986" width="12.5703125" style="100" bestFit="1" customWidth="1"/>
    <col min="9987" max="9987" width="9.140625" style="100"/>
    <col min="9988" max="9988" width="24.85546875" style="100" bestFit="1" customWidth="1"/>
    <col min="9989" max="9989" width="18.5703125" style="100" bestFit="1" customWidth="1"/>
    <col min="9990" max="9990" width="15" style="100" bestFit="1" customWidth="1"/>
    <col min="9991" max="9991" width="18.42578125" style="100" bestFit="1" customWidth="1"/>
    <col min="9992" max="9992" width="17.7109375" style="100" bestFit="1" customWidth="1"/>
    <col min="9993" max="9993" width="26" style="100" bestFit="1" customWidth="1"/>
    <col min="9994" max="9994" width="17.28515625" style="100" bestFit="1" customWidth="1"/>
    <col min="9995" max="9995" width="16" style="100" bestFit="1" customWidth="1"/>
    <col min="9996" max="9996" width="19.42578125" style="100" bestFit="1" customWidth="1"/>
    <col min="9997" max="9997" width="18.7109375" style="100" bestFit="1" customWidth="1"/>
    <col min="9998" max="10241" width="9.140625" style="100"/>
    <col min="10242" max="10242" width="12.5703125" style="100" bestFit="1" customWidth="1"/>
    <col min="10243" max="10243" width="9.140625" style="100"/>
    <col min="10244" max="10244" width="24.85546875" style="100" bestFit="1" customWidth="1"/>
    <col min="10245" max="10245" width="18.5703125" style="100" bestFit="1" customWidth="1"/>
    <col min="10246" max="10246" width="15" style="100" bestFit="1" customWidth="1"/>
    <col min="10247" max="10247" width="18.42578125" style="100" bestFit="1" customWidth="1"/>
    <col min="10248" max="10248" width="17.7109375" style="100" bestFit="1" customWidth="1"/>
    <col min="10249" max="10249" width="26" style="100" bestFit="1" customWidth="1"/>
    <col min="10250" max="10250" width="17.28515625" style="100" bestFit="1" customWidth="1"/>
    <col min="10251" max="10251" width="16" style="100" bestFit="1" customWidth="1"/>
    <col min="10252" max="10252" width="19.42578125" style="100" bestFit="1" customWidth="1"/>
    <col min="10253" max="10253" width="18.7109375" style="100" bestFit="1" customWidth="1"/>
    <col min="10254" max="10497" width="9.140625" style="100"/>
    <col min="10498" max="10498" width="12.5703125" style="100" bestFit="1" customWidth="1"/>
    <col min="10499" max="10499" width="9.140625" style="100"/>
    <col min="10500" max="10500" width="24.85546875" style="100" bestFit="1" customWidth="1"/>
    <col min="10501" max="10501" width="18.5703125" style="100" bestFit="1" customWidth="1"/>
    <col min="10502" max="10502" width="15" style="100" bestFit="1" customWidth="1"/>
    <col min="10503" max="10503" width="18.42578125" style="100" bestFit="1" customWidth="1"/>
    <col min="10504" max="10504" width="17.7109375" style="100" bestFit="1" customWidth="1"/>
    <col min="10505" max="10505" width="26" style="100" bestFit="1" customWidth="1"/>
    <col min="10506" max="10506" width="17.28515625" style="100" bestFit="1" customWidth="1"/>
    <col min="10507" max="10507" width="16" style="100" bestFit="1" customWidth="1"/>
    <col min="10508" max="10508" width="19.42578125" style="100" bestFit="1" customWidth="1"/>
    <col min="10509" max="10509" width="18.7109375" style="100" bestFit="1" customWidth="1"/>
    <col min="10510" max="10753" width="9.140625" style="100"/>
    <col min="10754" max="10754" width="12.5703125" style="100" bestFit="1" customWidth="1"/>
    <col min="10755" max="10755" width="9.140625" style="100"/>
    <col min="10756" max="10756" width="24.85546875" style="100" bestFit="1" customWidth="1"/>
    <col min="10757" max="10757" width="18.5703125" style="100" bestFit="1" customWidth="1"/>
    <col min="10758" max="10758" width="15" style="100" bestFit="1" customWidth="1"/>
    <col min="10759" max="10759" width="18.42578125" style="100" bestFit="1" customWidth="1"/>
    <col min="10760" max="10760" width="17.7109375" style="100" bestFit="1" customWidth="1"/>
    <col min="10761" max="10761" width="26" style="100" bestFit="1" customWidth="1"/>
    <col min="10762" max="10762" width="17.28515625" style="100" bestFit="1" customWidth="1"/>
    <col min="10763" max="10763" width="16" style="100" bestFit="1" customWidth="1"/>
    <col min="10764" max="10764" width="19.42578125" style="100" bestFit="1" customWidth="1"/>
    <col min="10765" max="10765" width="18.7109375" style="100" bestFit="1" customWidth="1"/>
    <col min="10766" max="11009" width="9.140625" style="100"/>
    <col min="11010" max="11010" width="12.5703125" style="100" bestFit="1" customWidth="1"/>
    <col min="11011" max="11011" width="9.140625" style="100"/>
    <col min="11012" max="11012" width="24.85546875" style="100" bestFit="1" customWidth="1"/>
    <col min="11013" max="11013" width="18.5703125" style="100" bestFit="1" customWidth="1"/>
    <col min="11014" max="11014" width="15" style="100" bestFit="1" customWidth="1"/>
    <col min="11015" max="11015" width="18.42578125" style="100" bestFit="1" customWidth="1"/>
    <col min="11016" max="11016" width="17.7109375" style="100" bestFit="1" customWidth="1"/>
    <col min="11017" max="11017" width="26" style="100" bestFit="1" customWidth="1"/>
    <col min="11018" max="11018" width="17.28515625" style="100" bestFit="1" customWidth="1"/>
    <col min="11019" max="11019" width="16" style="100" bestFit="1" customWidth="1"/>
    <col min="11020" max="11020" width="19.42578125" style="100" bestFit="1" customWidth="1"/>
    <col min="11021" max="11021" width="18.7109375" style="100" bestFit="1" customWidth="1"/>
    <col min="11022" max="11265" width="9.140625" style="100"/>
    <col min="11266" max="11266" width="12.5703125" style="100" bestFit="1" customWidth="1"/>
    <col min="11267" max="11267" width="9.140625" style="100"/>
    <col min="11268" max="11268" width="24.85546875" style="100" bestFit="1" customWidth="1"/>
    <col min="11269" max="11269" width="18.5703125" style="100" bestFit="1" customWidth="1"/>
    <col min="11270" max="11270" width="15" style="100" bestFit="1" customWidth="1"/>
    <col min="11271" max="11271" width="18.42578125" style="100" bestFit="1" customWidth="1"/>
    <col min="11272" max="11272" width="17.7109375" style="100" bestFit="1" customWidth="1"/>
    <col min="11273" max="11273" width="26" style="100" bestFit="1" customWidth="1"/>
    <col min="11274" max="11274" width="17.28515625" style="100" bestFit="1" customWidth="1"/>
    <col min="11275" max="11275" width="16" style="100" bestFit="1" customWidth="1"/>
    <col min="11276" max="11276" width="19.42578125" style="100" bestFit="1" customWidth="1"/>
    <col min="11277" max="11277" width="18.7109375" style="100" bestFit="1" customWidth="1"/>
    <col min="11278" max="11521" width="9.140625" style="100"/>
    <col min="11522" max="11522" width="12.5703125" style="100" bestFit="1" customWidth="1"/>
    <col min="11523" max="11523" width="9.140625" style="100"/>
    <col min="11524" max="11524" width="24.85546875" style="100" bestFit="1" customWidth="1"/>
    <col min="11525" max="11525" width="18.5703125" style="100" bestFit="1" customWidth="1"/>
    <col min="11526" max="11526" width="15" style="100" bestFit="1" customWidth="1"/>
    <col min="11527" max="11527" width="18.42578125" style="100" bestFit="1" customWidth="1"/>
    <col min="11528" max="11528" width="17.7109375" style="100" bestFit="1" customWidth="1"/>
    <col min="11529" max="11529" width="26" style="100" bestFit="1" customWidth="1"/>
    <col min="11530" max="11530" width="17.28515625" style="100" bestFit="1" customWidth="1"/>
    <col min="11531" max="11531" width="16" style="100" bestFit="1" customWidth="1"/>
    <col min="11532" max="11532" width="19.42578125" style="100" bestFit="1" customWidth="1"/>
    <col min="11533" max="11533" width="18.7109375" style="100" bestFit="1" customWidth="1"/>
    <col min="11534" max="11777" width="9.140625" style="100"/>
    <col min="11778" max="11778" width="12.5703125" style="100" bestFit="1" customWidth="1"/>
    <col min="11779" max="11779" width="9.140625" style="100"/>
    <col min="11780" max="11780" width="24.85546875" style="100" bestFit="1" customWidth="1"/>
    <col min="11781" max="11781" width="18.5703125" style="100" bestFit="1" customWidth="1"/>
    <col min="11782" max="11782" width="15" style="100" bestFit="1" customWidth="1"/>
    <col min="11783" max="11783" width="18.42578125" style="100" bestFit="1" customWidth="1"/>
    <col min="11784" max="11784" width="17.7109375" style="100" bestFit="1" customWidth="1"/>
    <col min="11785" max="11785" width="26" style="100" bestFit="1" customWidth="1"/>
    <col min="11786" max="11786" width="17.28515625" style="100" bestFit="1" customWidth="1"/>
    <col min="11787" max="11787" width="16" style="100" bestFit="1" customWidth="1"/>
    <col min="11788" max="11788" width="19.42578125" style="100" bestFit="1" customWidth="1"/>
    <col min="11789" max="11789" width="18.7109375" style="100" bestFit="1" customWidth="1"/>
    <col min="11790" max="12033" width="9.140625" style="100"/>
    <col min="12034" max="12034" width="12.5703125" style="100" bestFit="1" customWidth="1"/>
    <col min="12035" max="12035" width="9.140625" style="100"/>
    <col min="12036" max="12036" width="24.85546875" style="100" bestFit="1" customWidth="1"/>
    <col min="12037" max="12037" width="18.5703125" style="100" bestFit="1" customWidth="1"/>
    <col min="12038" max="12038" width="15" style="100" bestFit="1" customWidth="1"/>
    <col min="12039" max="12039" width="18.42578125" style="100" bestFit="1" customWidth="1"/>
    <col min="12040" max="12040" width="17.7109375" style="100" bestFit="1" customWidth="1"/>
    <col min="12041" max="12041" width="26" style="100" bestFit="1" customWidth="1"/>
    <col min="12042" max="12042" width="17.28515625" style="100" bestFit="1" customWidth="1"/>
    <col min="12043" max="12043" width="16" style="100" bestFit="1" customWidth="1"/>
    <col min="12044" max="12044" width="19.42578125" style="100" bestFit="1" customWidth="1"/>
    <col min="12045" max="12045" width="18.7109375" style="100" bestFit="1" customWidth="1"/>
    <col min="12046" max="12289" width="9.140625" style="100"/>
    <col min="12290" max="12290" width="12.5703125" style="100" bestFit="1" customWidth="1"/>
    <col min="12291" max="12291" width="9.140625" style="100"/>
    <col min="12292" max="12292" width="24.85546875" style="100" bestFit="1" customWidth="1"/>
    <col min="12293" max="12293" width="18.5703125" style="100" bestFit="1" customWidth="1"/>
    <col min="12294" max="12294" width="15" style="100" bestFit="1" customWidth="1"/>
    <col min="12295" max="12295" width="18.42578125" style="100" bestFit="1" customWidth="1"/>
    <col min="12296" max="12296" width="17.7109375" style="100" bestFit="1" customWidth="1"/>
    <col min="12297" max="12297" width="26" style="100" bestFit="1" customWidth="1"/>
    <col min="12298" max="12298" width="17.28515625" style="100" bestFit="1" customWidth="1"/>
    <col min="12299" max="12299" width="16" style="100" bestFit="1" customWidth="1"/>
    <col min="12300" max="12300" width="19.42578125" style="100" bestFit="1" customWidth="1"/>
    <col min="12301" max="12301" width="18.7109375" style="100" bestFit="1" customWidth="1"/>
    <col min="12302" max="12545" width="9.140625" style="100"/>
    <col min="12546" max="12546" width="12.5703125" style="100" bestFit="1" customWidth="1"/>
    <col min="12547" max="12547" width="9.140625" style="100"/>
    <col min="12548" max="12548" width="24.85546875" style="100" bestFit="1" customWidth="1"/>
    <col min="12549" max="12549" width="18.5703125" style="100" bestFit="1" customWidth="1"/>
    <col min="12550" max="12550" width="15" style="100" bestFit="1" customWidth="1"/>
    <col min="12551" max="12551" width="18.42578125" style="100" bestFit="1" customWidth="1"/>
    <col min="12552" max="12552" width="17.7109375" style="100" bestFit="1" customWidth="1"/>
    <col min="12553" max="12553" width="26" style="100" bestFit="1" customWidth="1"/>
    <col min="12554" max="12554" width="17.28515625" style="100" bestFit="1" customWidth="1"/>
    <col min="12555" max="12555" width="16" style="100" bestFit="1" customWidth="1"/>
    <col min="12556" max="12556" width="19.42578125" style="100" bestFit="1" customWidth="1"/>
    <col min="12557" max="12557" width="18.7109375" style="100" bestFit="1" customWidth="1"/>
    <col min="12558" max="12801" width="9.140625" style="100"/>
    <col min="12802" max="12802" width="12.5703125" style="100" bestFit="1" customWidth="1"/>
    <col min="12803" max="12803" width="9.140625" style="100"/>
    <col min="12804" max="12804" width="24.85546875" style="100" bestFit="1" customWidth="1"/>
    <col min="12805" max="12805" width="18.5703125" style="100" bestFit="1" customWidth="1"/>
    <col min="12806" max="12806" width="15" style="100" bestFit="1" customWidth="1"/>
    <col min="12807" max="12807" width="18.42578125" style="100" bestFit="1" customWidth="1"/>
    <col min="12808" max="12808" width="17.7109375" style="100" bestFit="1" customWidth="1"/>
    <col min="12809" max="12809" width="26" style="100" bestFit="1" customWidth="1"/>
    <col min="12810" max="12810" width="17.28515625" style="100" bestFit="1" customWidth="1"/>
    <col min="12811" max="12811" width="16" style="100" bestFit="1" customWidth="1"/>
    <col min="12812" max="12812" width="19.42578125" style="100" bestFit="1" customWidth="1"/>
    <col min="12813" max="12813" width="18.7109375" style="100" bestFit="1" customWidth="1"/>
    <col min="12814" max="13057" width="9.140625" style="100"/>
    <col min="13058" max="13058" width="12.5703125" style="100" bestFit="1" customWidth="1"/>
    <col min="13059" max="13059" width="9.140625" style="100"/>
    <col min="13060" max="13060" width="24.85546875" style="100" bestFit="1" customWidth="1"/>
    <col min="13061" max="13061" width="18.5703125" style="100" bestFit="1" customWidth="1"/>
    <col min="13062" max="13062" width="15" style="100" bestFit="1" customWidth="1"/>
    <col min="13063" max="13063" width="18.42578125" style="100" bestFit="1" customWidth="1"/>
    <col min="13064" max="13064" width="17.7109375" style="100" bestFit="1" customWidth="1"/>
    <col min="13065" max="13065" width="26" style="100" bestFit="1" customWidth="1"/>
    <col min="13066" max="13066" width="17.28515625" style="100" bestFit="1" customWidth="1"/>
    <col min="13067" max="13067" width="16" style="100" bestFit="1" customWidth="1"/>
    <col min="13068" max="13068" width="19.42578125" style="100" bestFit="1" customWidth="1"/>
    <col min="13069" max="13069" width="18.7109375" style="100" bestFit="1" customWidth="1"/>
    <col min="13070" max="13313" width="9.140625" style="100"/>
    <col min="13314" max="13314" width="12.5703125" style="100" bestFit="1" customWidth="1"/>
    <col min="13315" max="13315" width="9.140625" style="100"/>
    <col min="13316" max="13316" width="24.85546875" style="100" bestFit="1" customWidth="1"/>
    <col min="13317" max="13317" width="18.5703125" style="100" bestFit="1" customWidth="1"/>
    <col min="13318" max="13318" width="15" style="100" bestFit="1" customWidth="1"/>
    <col min="13319" max="13319" width="18.42578125" style="100" bestFit="1" customWidth="1"/>
    <col min="13320" max="13320" width="17.7109375" style="100" bestFit="1" customWidth="1"/>
    <col min="13321" max="13321" width="26" style="100" bestFit="1" customWidth="1"/>
    <col min="13322" max="13322" width="17.28515625" style="100" bestFit="1" customWidth="1"/>
    <col min="13323" max="13323" width="16" style="100" bestFit="1" customWidth="1"/>
    <col min="13324" max="13324" width="19.42578125" style="100" bestFit="1" customWidth="1"/>
    <col min="13325" max="13325" width="18.7109375" style="100" bestFit="1" customWidth="1"/>
    <col min="13326" max="13569" width="9.140625" style="100"/>
    <col min="13570" max="13570" width="12.5703125" style="100" bestFit="1" customWidth="1"/>
    <col min="13571" max="13571" width="9.140625" style="100"/>
    <col min="13572" max="13572" width="24.85546875" style="100" bestFit="1" customWidth="1"/>
    <col min="13573" max="13573" width="18.5703125" style="100" bestFit="1" customWidth="1"/>
    <col min="13574" max="13574" width="15" style="100" bestFit="1" customWidth="1"/>
    <col min="13575" max="13575" width="18.42578125" style="100" bestFit="1" customWidth="1"/>
    <col min="13576" max="13576" width="17.7109375" style="100" bestFit="1" customWidth="1"/>
    <col min="13577" max="13577" width="26" style="100" bestFit="1" customWidth="1"/>
    <col min="13578" max="13578" width="17.28515625" style="100" bestFit="1" customWidth="1"/>
    <col min="13579" max="13579" width="16" style="100" bestFit="1" customWidth="1"/>
    <col min="13580" max="13580" width="19.42578125" style="100" bestFit="1" customWidth="1"/>
    <col min="13581" max="13581" width="18.7109375" style="100" bestFit="1" customWidth="1"/>
    <col min="13582" max="13825" width="9.140625" style="100"/>
    <col min="13826" max="13826" width="12.5703125" style="100" bestFit="1" customWidth="1"/>
    <col min="13827" max="13827" width="9.140625" style="100"/>
    <col min="13828" max="13828" width="24.85546875" style="100" bestFit="1" customWidth="1"/>
    <col min="13829" max="13829" width="18.5703125" style="100" bestFit="1" customWidth="1"/>
    <col min="13830" max="13830" width="15" style="100" bestFit="1" customWidth="1"/>
    <col min="13831" max="13831" width="18.42578125" style="100" bestFit="1" customWidth="1"/>
    <col min="13832" max="13832" width="17.7109375" style="100" bestFit="1" customWidth="1"/>
    <col min="13833" max="13833" width="26" style="100" bestFit="1" customWidth="1"/>
    <col min="13834" max="13834" width="17.28515625" style="100" bestFit="1" customWidth="1"/>
    <col min="13835" max="13835" width="16" style="100" bestFit="1" customWidth="1"/>
    <col min="13836" max="13836" width="19.42578125" style="100" bestFit="1" customWidth="1"/>
    <col min="13837" max="13837" width="18.7109375" style="100" bestFit="1" customWidth="1"/>
    <col min="13838" max="14081" width="9.140625" style="100"/>
    <col min="14082" max="14082" width="12.5703125" style="100" bestFit="1" customWidth="1"/>
    <col min="14083" max="14083" width="9.140625" style="100"/>
    <col min="14084" max="14084" width="24.85546875" style="100" bestFit="1" customWidth="1"/>
    <col min="14085" max="14085" width="18.5703125" style="100" bestFit="1" customWidth="1"/>
    <col min="14086" max="14086" width="15" style="100" bestFit="1" customWidth="1"/>
    <col min="14087" max="14087" width="18.42578125" style="100" bestFit="1" customWidth="1"/>
    <col min="14088" max="14088" width="17.7109375" style="100" bestFit="1" customWidth="1"/>
    <col min="14089" max="14089" width="26" style="100" bestFit="1" customWidth="1"/>
    <col min="14090" max="14090" width="17.28515625" style="100" bestFit="1" customWidth="1"/>
    <col min="14091" max="14091" width="16" style="100" bestFit="1" customWidth="1"/>
    <col min="14092" max="14092" width="19.42578125" style="100" bestFit="1" customWidth="1"/>
    <col min="14093" max="14093" width="18.7109375" style="100" bestFit="1" customWidth="1"/>
    <col min="14094" max="14337" width="9.140625" style="100"/>
    <col min="14338" max="14338" width="12.5703125" style="100" bestFit="1" customWidth="1"/>
    <col min="14339" max="14339" width="9.140625" style="100"/>
    <col min="14340" max="14340" width="24.85546875" style="100" bestFit="1" customWidth="1"/>
    <col min="14341" max="14341" width="18.5703125" style="100" bestFit="1" customWidth="1"/>
    <col min="14342" max="14342" width="15" style="100" bestFit="1" customWidth="1"/>
    <col min="14343" max="14343" width="18.42578125" style="100" bestFit="1" customWidth="1"/>
    <col min="14344" max="14344" width="17.7109375" style="100" bestFit="1" customWidth="1"/>
    <col min="14345" max="14345" width="26" style="100" bestFit="1" customWidth="1"/>
    <col min="14346" max="14346" width="17.28515625" style="100" bestFit="1" customWidth="1"/>
    <col min="14347" max="14347" width="16" style="100" bestFit="1" customWidth="1"/>
    <col min="14348" max="14348" width="19.42578125" style="100" bestFit="1" customWidth="1"/>
    <col min="14349" max="14349" width="18.7109375" style="100" bestFit="1" customWidth="1"/>
    <col min="14350" max="14593" width="9.140625" style="100"/>
    <col min="14594" max="14594" width="12.5703125" style="100" bestFit="1" customWidth="1"/>
    <col min="14595" max="14595" width="9.140625" style="100"/>
    <col min="14596" max="14596" width="24.85546875" style="100" bestFit="1" customWidth="1"/>
    <col min="14597" max="14597" width="18.5703125" style="100" bestFit="1" customWidth="1"/>
    <col min="14598" max="14598" width="15" style="100" bestFit="1" customWidth="1"/>
    <col min="14599" max="14599" width="18.42578125" style="100" bestFit="1" customWidth="1"/>
    <col min="14600" max="14600" width="17.7109375" style="100" bestFit="1" customWidth="1"/>
    <col min="14601" max="14601" width="26" style="100" bestFit="1" customWidth="1"/>
    <col min="14602" max="14602" width="17.28515625" style="100" bestFit="1" customWidth="1"/>
    <col min="14603" max="14603" width="16" style="100" bestFit="1" customWidth="1"/>
    <col min="14604" max="14604" width="19.42578125" style="100" bestFit="1" customWidth="1"/>
    <col min="14605" max="14605" width="18.7109375" style="100" bestFit="1" customWidth="1"/>
    <col min="14606" max="14849" width="9.140625" style="100"/>
    <col min="14850" max="14850" width="12.5703125" style="100" bestFit="1" customWidth="1"/>
    <col min="14851" max="14851" width="9.140625" style="100"/>
    <col min="14852" max="14852" width="24.85546875" style="100" bestFit="1" customWidth="1"/>
    <col min="14853" max="14853" width="18.5703125" style="100" bestFit="1" customWidth="1"/>
    <col min="14854" max="14854" width="15" style="100" bestFit="1" customWidth="1"/>
    <col min="14855" max="14855" width="18.42578125" style="100" bestFit="1" customWidth="1"/>
    <col min="14856" max="14856" width="17.7109375" style="100" bestFit="1" customWidth="1"/>
    <col min="14857" max="14857" width="26" style="100" bestFit="1" customWidth="1"/>
    <col min="14858" max="14858" width="17.28515625" style="100" bestFit="1" customWidth="1"/>
    <col min="14859" max="14859" width="16" style="100" bestFit="1" customWidth="1"/>
    <col min="14860" max="14860" width="19.42578125" style="100" bestFit="1" customWidth="1"/>
    <col min="14861" max="14861" width="18.7109375" style="100" bestFit="1" customWidth="1"/>
    <col min="14862" max="15105" width="9.140625" style="100"/>
    <col min="15106" max="15106" width="12.5703125" style="100" bestFit="1" customWidth="1"/>
    <col min="15107" max="15107" width="9.140625" style="100"/>
    <col min="15108" max="15108" width="24.85546875" style="100" bestFit="1" customWidth="1"/>
    <col min="15109" max="15109" width="18.5703125" style="100" bestFit="1" customWidth="1"/>
    <col min="15110" max="15110" width="15" style="100" bestFit="1" customWidth="1"/>
    <col min="15111" max="15111" width="18.42578125" style="100" bestFit="1" customWidth="1"/>
    <col min="15112" max="15112" width="17.7109375" style="100" bestFit="1" customWidth="1"/>
    <col min="15113" max="15113" width="26" style="100" bestFit="1" customWidth="1"/>
    <col min="15114" max="15114" width="17.28515625" style="100" bestFit="1" customWidth="1"/>
    <col min="15115" max="15115" width="16" style="100" bestFit="1" customWidth="1"/>
    <col min="15116" max="15116" width="19.42578125" style="100" bestFit="1" customWidth="1"/>
    <col min="15117" max="15117" width="18.7109375" style="100" bestFit="1" customWidth="1"/>
    <col min="15118" max="15361" width="9.140625" style="100"/>
    <col min="15362" max="15362" width="12.5703125" style="100" bestFit="1" customWidth="1"/>
    <col min="15363" max="15363" width="9.140625" style="100"/>
    <col min="15364" max="15364" width="24.85546875" style="100" bestFit="1" customWidth="1"/>
    <col min="15365" max="15365" width="18.5703125" style="100" bestFit="1" customWidth="1"/>
    <col min="15366" max="15366" width="15" style="100" bestFit="1" customWidth="1"/>
    <col min="15367" max="15367" width="18.42578125" style="100" bestFit="1" customWidth="1"/>
    <col min="15368" max="15368" width="17.7109375" style="100" bestFit="1" customWidth="1"/>
    <col min="15369" max="15369" width="26" style="100" bestFit="1" customWidth="1"/>
    <col min="15370" max="15370" width="17.28515625" style="100" bestFit="1" customWidth="1"/>
    <col min="15371" max="15371" width="16" style="100" bestFit="1" customWidth="1"/>
    <col min="15372" max="15372" width="19.42578125" style="100" bestFit="1" customWidth="1"/>
    <col min="15373" max="15373" width="18.7109375" style="100" bestFit="1" customWidth="1"/>
    <col min="15374" max="15617" width="9.140625" style="100"/>
    <col min="15618" max="15618" width="12.5703125" style="100" bestFit="1" customWidth="1"/>
    <col min="15619" max="15619" width="9.140625" style="100"/>
    <col min="15620" max="15620" width="24.85546875" style="100" bestFit="1" customWidth="1"/>
    <col min="15621" max="15621" width="18.5703125" style="100" bestFit="1" customWidth="1"/>
    <col min="15622" max="15622" width="15" style="100" bestFit="1" customWidth="1"/>
    <col min="15623" max="15623" width="18.42578125" style="100" bestFit="1" customWidth="1"/>
    <col min="15624" max="15624" width="17.7109375" style="100" bestFit="1" customWidth="1"/>
    <col min="15625" max="15625" width="26" style="100" bestFit="1" customWidth="1"/>
    <col min="15626" max="15626" width="17.28515625" style="100" bestFit="1" customWidth="1"/>
    <col min="15627" max="15627" width="16" style="100" bestFit="1" customWidth="1"/>
    <col min="15628" max="15628" width="19.42578125" style="100" bestFit="1" customWidth="1"/>
    <col min="15629" max="15629" width="18.7109375" style="100" bestFit="1" customWidth="1"/>
    <col min="15630" max="15873" width="9.140625" style="100"/>
    <col min="15874" max="15874" width="12.5703125" style="100" bestFit="1" customWidth="1"/>
    <col min="15875" max="15875" width="9.140625" style="100"/>
    <col min="15876" max="15876" width="24.85546875" style="100" bestFit="1" customWidth="1"/>
    <col min="15877" max="15877" width="18.5703125" style="100" bestFit="1" customWidth="1"/>
    <col min="15878" max="15878" width="15" style="100" bestFit="1" customWidth="1"/>
    <col min="15879" max="15879" width="18.42578125" style="100" bestFit="1" customWidth="1"/>
    <col min="15880" max="15880" width="17.7109375" style="100" bestFit="1" customWidth="1"/>
    <col min="15881" max="15881" width="26" style="100" bestFit="1" customWidth="1"/>
    <col min="15882" max="15882" width="17.28515625" style="100" bestFit="1" customWidth="1"/>
    <col min="15883" max="15883" width="16" style="100" bestFit="1" customWidth="1"/>
    <col min="15884" max="15884" width="19.42578125" style="100" bestFit="1" customWidth="1"/>
    <col min="15885" max="15885" width="18.7109375" style="100" bestFit="1" customWidth="1"/>
    <col min="15886" max="16129" width="9.140625" style="100"/>
    <col min="16130" max="16130" width="12.5703125" style="100" bestFit="1" customWidth="1"/>
    <col min="16131" max="16131" width="9.140625" style="100"/>
    <col min="16132" max="16132" width="24.85546875" style="100" bestFit="1" customWidth="1"/>
    <col min="16133" max="16133" width="18.5703125" style="100" bestFit="1" customWidth="1"/>
    <col min="16134" max="16134" width="15" style="100" bestFit="1" customWidth="1"/>
    <col min="16135" max="16135" width="18.42578125" style="100" bestFit="1" customWidth="1"/>
    <col min="16136" max="16136" width="17.7109375" style="100" bestFit="1" customWidth="1"/>
    <col min="16137" max="16137" width="26" style="100" bestFit="1" customWidth="1"/>
    <col min="16138" max="16138" width="17.28515625" style="100" bestFit="1" customWidth="1"/>
    <col min="16139" max="16139" width="16" style="100" bestFit="1" customWidth="1"/>
    <col min="16140" max="16140" width="19.42578125" style="100" bestFit="1" customWidth="1"/>
    <col min="16141" max="16141" width="18.7109375" style="100" bestFit="1" customWidth="1"/>
    <col min="16142" max="16384" width="9.140625" style="100"/>
  </cols>
  <sheetData>
    <row r="1" spans="1:13">
      <c r="A1" s="99"/>
      <c r="B1" s="130" t="s">
        <v>84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</row>
    <row r="2" spans="1:13" ht="49.5" customHeight="1" thickBot="1">
      <c r="A2" s="102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13" ht="13.5" thickBot="1">
      <c r="A3" s="103" t="s">
        <v>65</v>
      </c>
      <c r="B3" s="103" t="s">
        <v>0</v>
      </c>
      <c r="C3" s="103" t="s">
        <v>72</v>
      </c>
      <c r="D3" s="103" t="s">
        <v>73</v>
      </c>
      <c r="E3" s="103" t="s">
        <v>74</v>
      </c>
      <c r="F3" s="103" t="s">
        <v>75</v>
      </c>
      <c r="G3" s="103" t="s">
        <v>76</v>
      </c>
      <c r="H3" s="103" t="s">
        <v>77</v>
      </c>
      <c r="I3" s="103" t="s">
        <v>78</v>
      </c>
      <c r="J3" s="103" t="s">
        <v>79</v>
      </c>
      <c r="K3" s="103" t="s">
        <v>75</v>
      </c>
      <c r="L3" s="104" t="s">
        <v>76</v>
      </c>
      <c r="M3" s="105" t="s">
        <v>77</v>
      </c>
    </row>
    <row r="4" spans="1:13">
      <c r="A4" s="106">
        <v>1</v>
      </c>
      <c r="B4" s="107">
        <v>41641</v>
      </c>
      <c r="C4" s="108">
        <v>95.14</v>
      </c>
      <c r="D4" s="109" t="s">
        <v>3</v>
      </c>
      <c r="E4" s="109"/>
      <c r="F4" s="109"/>
      <c r="G4" s="109"/>
      <c r="H4" s="109"/>
      <c r="I4" s="110"/>
      <c r="J4" s="110"/>
      <c r="K4" s="110"/>
      <c r="L4" s="110"/>
      <c r="M4" s="111"/>
    </row>
    <row r="5" spans="1:13">
      <c r="A5" s="112">
        <v>2</v>
      </c>
      <c r="B5" s="113">
        <v>41642</v>
      </c>
      <c r="C5" s="114">
        <v>93.66</v>
      </c>
      <c r="D5" s="115" t="s">
        <v>3</v>
      </c>
      <c r="E5" s="115"/>
      <c r="F5" s="115"/>
      <c r="G5" s="115"/>
      <c r="H5" s="115"/>
      <c r="I5" s="116"/>
      <c r="J5" s="116"/>
      <c r="K5" s="116"/>
      <c r="L5" s="116"/>
      <c r="M5" s="117"/>
    </row>
    <row r="6" spans="1:13">
      <c r="A6" s="112">
        <v>3</v>
      </c>
      <c r="B6" s="107">
        <v>41645</v>
      </c>
      <c r="C6" s="108">
        <v>93.12</v>
      </c>
      <c r="D6" s="115" t="s">
        <v>3</v>
      </c>
      <c r="E6" s="115"/>
      <c r="F6" s="115"/>
      <c r="G6" s="115"/>
      <c r="H6" s="115"/>
      <c r="I6" s="116"/>
      <c r="J6" s="116"/>
      <c r="K6" s="116"/>
      <c r="L6" s="116"/>
      <c r="M6" s="117"/>
    </row>
    <row r="7" spans="1:13">
      <c r="A7" s="112">
        <v>4</v>
      </c>
      <c r="B7" s="113">
        <v>41646</v>
      </c>
      <c r="C7" s="114">
        <v>93.31</v>
      </c>
      <c r="D7" s="115" t="s">
        <v>3</v>
      </c>
      <c r="E7" s="115"/>
      <c r="F7" s="115"/>
      <c r="G7" s="115"/>
      <c r="H7" s="115"/>
      <c r="I7" s="116"/>
      <c r="J7" s="116"/>
      <c r="K7" s="116"/>
      <c r="L7" s="116"/>
      <c r="M7" s="117"/>
    </row>
    <row r="8" spans="1:13">
      <c r="A8" s="112">
        <v>5</v>
      </c>
      <c r="B8" s="107">
        <v>41647</v>
      </c>
      <c r="C8" s="108">
        <v>91.9</v>
      </c>
      <c r="D8" s="115" t="s">
        <v>3</v>
      </c>
      <c r="E8" s="115"/>
      <c r="F8" s="115"/>
      <c r="G8" s="115"/>
      <c r="H8" s="115"/>
      <c r="I8" s="116"/>
      <c r="J8" s="116"/>
      <c r="K8" s="116"/>
      <c r="L8" s="116"/>
      <c r="M8" s="117"/>
    </row>
    <row r="9" spans="1:13">
      <c r="A9" s="112">
        <v>6</v>
      </c>
      <c r="B9" s="113">
        <v>41648</v>
      </c>
      <c r="C9" s="114">
        <v>91.36</v>
      </c>
      <c r="D9" s="115" t="s">
        <v>3</v>
      </c>
      <c r="E9" s="115"/>
      <c r="F9" s="115"/>
      <c r="G9" s="115"/>
      <c r="H9" s="115"/>
      <c r="I9" s="116"/>
      <c r="J9" s="116"/>
      <c r="K9" s="116"/>
      <c r="L9" s="116"/>
      <c r="M9" s="117"/>
    </row>
    <row r="10" spans="1:13">
      <c r="A10" s="112">
        <v>7</v>
      </c>
      <c r="B10" s="107">
        <v>41649</v>
      </c>
      <c r="C10" s="108">
        <v>92.39</v>
      </c>
      <c r="D10" s="115" t="s">
        <v>3</v>
      </c>
      <c r="E10" s="115"/>
      <c r="F10" s="115"/>
      <c r="G10" s="115"/>
      <c r="H10" s="115"/>
      <c r="I10" s="116"/>
      <c r="J10" s="116"/>
      <c r="K10" s="116"/>
      <c r="L10" s="116"/>
      <c r="M10" s="117"/>
    </row>
    <row r="11" spans="1:13">
      <c r="A11" s="112">
        <v>8</v>
      </c>
      <c r="B11" s="113">
        <v>41652</v>
      </c>
      <c r="C11" s="114">
        <v>91.45</v>
      </c>
      <c r="D11" s="115" t="s">
        <v>3</v>
      </c>
      <c r="E11" s="115"/>
      <c r="F11" s="115"/>
      <c r="G11" s="115"/>
      <c r="H11" s="115"/>
      <c r="I11" s="116"/>
      <c r="J11" s="116"/>
      <c r="K11" s="116"/>
      <c r="L11" s="116"/>
      <c r="M11" s="117"/>
    </row>
    <row r="12" spans="1:13">
      <c r="A12" s="112">
        <v>9</v>
      </c>
      <c r="B12" s="107">
        <v>41653</v>
      </c>
      <c r="C12" s="108">
        <v>92.15</v>
      </c>
      <c r="D12" s="115" t="s">
        <v>3</v>
      </c>
      <c r="E12" s="115"/>
      <c r="F12" s="115"/>
      <c r="G12" s="115"/>
      <c r="H12" s="115"/>
      <c r="I12" s="116"/>
      <c r="J12" s="116"/>
      <c r="K12" s="116"/>
      <c r="L12" s="116"/>
      <c r="M12" s="117"/>
    </row>
    <row r="13" spans="1:13">
      <c r="A13" s="112">
        <v>10</v>
      </c>
      <c r="B13" s="113">
        <v>41654</v>
      </c>
      <c r="C13" s="114">
        <v>93.78</v>
      </c>
      <c r="D13" s="115" t="s">
        <v>3</v>
      </c>
      <c r="E13" s="115"/>
      <c r="F13" s="115"/>
      <c r="G13" s="115"/>
      <c r="H13" s="115"/>
      <c r="I13" s="116"/>
      <c r="J13" s="116"/>
      <c r="K13" s="116"/>
      <c r="L13" s="116"/>
      <c r="M13" s="117"/>
    </row>
    <row r="14" spans="1:13">
      <c r="A14" s="112">
        <v>11</v>
      </c>
      <c r="B14" s="107">
        <v>41655</v>
      </c>
      <c r="C14" s="108">
        <v>93.54</v>
      </c>
      <c r="D14" s="115" t="s">
        <v>3</v>
      </c>
      <c r="E14" s="115"/>
      <c r="F14" s="115"/>
      <c r="G14" s="115"/>
      <c r="H14" s="115"/>
      <c r="I14" s="116"/>
      <c r="J14" s="116"/>
      <c r="K14" s="116"/>
      <c r="L14" s="116"/>
      <c r="M14" s="117"/>
    </row>
    <row r="15" spans="1:13">
      <c r="A15" s="112">
        <v>12</v>
      </c>
      <c r="B15" s="113">
        <v>41656</v>
      </c>
      <c r="C15" s="114">
        <v>93.96</v>
      </c>
      <c r="D15" s="115" t="s">
        <v>3</v>
      </c>
      <c r="E15" s="115"/>
      <c r="F15" s="115"/>
      <c r="G15" s="115"/>
      <c r="H15" s="115"/>
      <c r="I15" s="116"/>
      <c r="J15" s="116"/>
      <c r="K15" s="116"/>
      <c r="L15" s="116"/>
      <c r="M15" s="117"/>
    </row>
    <row r="16" spans="1:13">
      <c r="A16" s="112">
        <v>13</v>
      </c>
      <c r="B16" s="107">
        <v>41660</v>
      </c>
      <c r="C16" s="108">
        <v>94.51</v>
      </c>
      <c r="D16" s="115" t="s">
        <v>3</v>
      </c>
      <c r="E16" s="115"/>
      <c r="F16" s="115"/>
      <c r="G16" s="115"/>
      <c r="H16" s="115"/>
      <c r="I16" s="116"/>
      <c r="J16" s="116"/>
      <c r="K16" s="116"/>
      <c r="L16" s="116"/>
      <c r="M16" s="117"/>
    </row>
    <row r="17" spans="1:13">
      <c r="A17" s="112">
        <v>14</v>
      </c>
      <c r="B17" s="113">
        <v>41661</v>
      </c>
      <c r="C17" s="114">
        <v>96.35</v>
      </c>
      <c r="D17" s="115" t="s">
        <v>3</v>
      </c>
      <c r="E17" s="115"/>
      <c r="F17" s="115"/>
      <c r="G17" s="115"/>
      <c r="H17" s="115"/>
      <c r="I17" s="116"/>
      <c r="J17" s="116"/>
      <c r="K17" s="116"/>
      <c r="L17" s="116"/>
      <c r="M17" s="117"/>
    </row>
    <row r="18" spans="1:13">
      <c r="A18" s="112">
        <v>15</v>
      </c>
      <c r="B18" s="107">
        <v>41662</v>
      </c>
      <c r="C18" s="108">
        <v>97.23</v>
      </c>
      <c r="D18" s="115" t="s">
        <v>3</v>
      </c>
      <c r="E18" s="115"/>
      <c r="F18" s="115"/>
      <c r="G18" s="115"/>
      <c r="H18" s="115"/>
      <c r="I18" s="116"/>
      <c r="J18" s="116"/>
      <c r="K18" s="116"/>
      <c r="L18" s="116"/>
      <c r="M18" s="117"/>
    </row>
    <row r="19" spans="1:13">
      <c r="A19" s="112">
        <v>16</v>
      </c>
      <c r="B19" s="113">
        <v>41663</v>
      </c>
      <c r="C19" s="114">
        <v>96.66</v>
      </c>
      <c r="D19" s="115" t="s">
        <v>3</v>
      </c>
      <c r="E19" s="115"/>
      <c r="F19" s="115"/>
      <c r="G19" s="115"/>
      <c r="H19" s="115"/>
      <c r="I19" s="116"/>
      <c r="J19" s="116"/>
      <c r="K19" s="116"/>
      <c r="L19" s="116"/>
      <c r="M19" s="117"/>
    </row>
    <row r="20" spans="1:13">
      <c r="A20" s="112">
        <v>17</v>
      </c>
      <c r="B20" s="107">
        <v>41666</v>
      </c>
      <c r="C20" s="108">
        <v>95.82</v>
      </c>
      <c r="D20" s="115" t="s">
        <v>3</v>
      </c>
      <c r="E20" s="115"/>
      <c r="F20" s="115"/>
      <c r="G20" s="115"/>
      <c r="H20" s="115"/>
      <c r="I20" s="116"/>
      <c r="J20" s="116"/>
      <c r="K20" s="116"/>
      <c r="L20" s="116"/>
      <c r="M20" s="117"/>
    </row>
    <row r="21" spans="1:13">
      <c r="A21" s="112">
        <v>18</v>
      </c>
      <c r="B21" s="113">
        <v>41667</v>
      </c>
      <c r="C21" s="114">
        <v>97.49</v>
      </c>
      <c r="D21" s="115" t="s">
        <v>3</v>
      </c>
      <c r="E21" s="115"/>
      <c r="F21" s="115"/>
      <c r="G21" s="115"/>
      <c r="H21" s="115"/>
      <c r="I21" s="116"/>
      <c r="J21" s="116"/>
      <c r="K21" s="116"/>
      <c r="L21" s="116"/>
      <c r="M21" s="117"/>
    </row>
    <row r="22" spans="1:13">
      <c r="A22" s="112">
        <v>19</v>
      </c>
      <c r="B22" s="107">
        <v>41668</v>
      </c>
      <c r="C22" s="108">
        <v>97.34</v>
      </c>
      <c r="D22" s="115" t="s">
        <v>3</v>
      </c>
      <c r="E22" s="115"/>
      <c r="F22" s="115"/>
      <c r="G22" s="115"/>
      <c r="H22" s="115"/>
      <c r="I22" s="116"/>
      <c r="J22" s="116"/>
      <c r="K22" s="116"/>
      <c r="L22" s="116"/>
      <c r="M22" s="117"/>
    </row>
    <row r="23" spans="1:13">
      <c r="A23" s="112">
        <v>20</v>
      </c>
      <c r="B23" s="113">
        <v>41669</v>
      </c>
      <c r="C23" s="114">
        <v>98.25</v>
      </c>
      <c r="D23" s="115" t="s">
        <v>3</v>
      </c>
      <c r="E23" s="115"/>
      <c r="F23" s="115"/>
      <c r="G23" s="115"/>
      <c r="H23" s="115"/>
      <c r="I23" s="116"/>
      <c r="J23" s="116"/>
      <c r="K23" s="116"/>
      <c r="L23" s="116"/>
      <c r="M23" s="117"/>
    </row>
    <row r="24" spans="1:13">
      <c r="A24" s="112">
        <v>21</v>
      </c>
      <c r="B24" s="107">
        <v>41670</v>
      </c>
      <c r="C24" s="108">
        <v>97.55</v>
      </c>
      <c r="D24" s="115">
        <f>AVERAGE(C4:C23)</f>
        <v>94.470499999999987</v>
      </c>
      <c r="E24" s="115">
        <f t="shared" ref="E24:E87" si="0">C24-D24</f>
        <v>3.0795000000000101</v>
      </c>
      <c r="F24" s="115">
        <f t="shared" ref="F24:F87" si="1">ABS(E24)</f>
        <v>3.0795000000000101</v>
      </c>
      <c r="G24" s="115">
        <f t="shared" ref="G24:G87" si="2">E24^2</f>
        <v>9.4833202500000624</v>
      </c>
      <c r="H24" s="115">
        <f t="shared" ref="H24:H87" si="3">F24/C24</f>
        <v>3.1568426447975501E-2</v>
      </c>
      <c r="I24" s="116"/>
      <c r="J24" s="116"/>
      <c r="K24" s="116"/>
      <c r="L24" s="116"/>
      <c r="M24" s="117"/>
    </row>
    <row r="25" spans="1:13">
      <c r="A25" s="112">
        <v>22</v>
      </c>
      <c r="B25" s="113">
        <v>41673</v>
      </c>
      <c r="C25" s="114">
        <v>96.44</v>
      </c>
      <c r="D25" s="115">
        <f>AVERAGE(C5:C24)</f>
        <v>94.590999999999994</v>
      </c>
      <c r="E25" s="115">
        <f t="shared" si="0"/>
        <v>1.8490000000000038</v>
      </c>
      <c r="F25" s="115">
        <f t="shared" si="1"/>
        <v>1.8490000000000038</v>
      </c>
      <c r="G25" s="115">
        <f t="shared" si="2"/>
        <v>3.418801000000014</v>
      </c>
      <c r="H25" s="115">
        <f t="shared" si="3"/>
        <v>1.9172542513479923E-2</v>
      </c>
      <c r="I25" s="116"/>
      <c r="J25" s="116"/>
      <c r="K25" s="116"/>
      <c r="L25" s="116"/>
      <c r="M25" s="117"/>
    </row>
    <row r="26" spans="1:13">
      <c r="A26" s="112">
        <v>23</v>
      </c>
      <c r="B26" s="107">
        <v>41674</v>
      </c>
      <c r="C26" s="108">
        <v>97.24</v>
      </c>
      <c r="D26" s="115">
        <f t="shared" ref="D26:D89" si="4">AVERAGE(C6:C25)</f>
        <v>94.72999999999999</v>
      </c>
      <c r="E26" s="115">
        <f t="shared" si="0"/>
        <v>2.5100000000000051</v>
      </c>
      <c r="F26" s="115">
        <f t="shared" si="1"/>
        <v>2.5100000000000051</v>
      </c>
      <c r="G26" s="115">
        <f t="shared" si="2"/>
        <v>6.3001000000000253</v>
      </c>
      <c r="H26" s="115">
        <f t="shared" si="3"/>
        <v>2.5812422871246455E-2</v>
      </c>
      <c r="I26" s="116"/>
      <c r="J26" s="116"/>
      <c r="K26" s="116"/>
      <c r="L26" s="116"/>
      <c r="M26" s="117"/>
    </row>
    <row r="27" spans="1:13">
      <c r="A27" s="112">
        <v>24</v>
      </c>
      <c r="B27" s="113">
        <v>41675</v>
      </c>
      <c r="C27" s="114">
        <v>97.4</v>
      </c>
      <c r="D27" s="115">
        <f t="shared" si="4"/>
        <v>94.935999999999993</v>
      </c>
      <c r="E27" s="115">
        <f t="shared" si="0"/>
        <v>2.4640000000000128</v>
      </c>
      <c r="F27" s="115">
        <f t="shared" si="1"/>
        <v>2.4640000000000128</v>
      </c>
      <c r="G27" s="115">
        <f t="shared" si="2"/>
        <v>6.0712960000000633</v>
      </c>
      <c r="H27" s="115">
        <f t="shared" si="3"/>
        <v>2.5297741273100745E-2</v>
      </c>
      <c r="I27" s="116"/>
      <c r="J27" s="116"/>
      <c r="K27" s="116"/>
      <c r="L27" s="116"/>
      <c r="M27" s="117"/>
    </row>
    <row r="28" spans="1:13">
      <c r="A28" s="112">
        <v>25</v>
      </c>
      <c r="B28" s="107">
        <v>41676</v>
      </c>
      <c r="C28" s="108">
        <v>97.84</v>
      </c>
      <c r="D28" s="115">
        <f t="shared" si="4"/>
        <v>95.140500000000003</v>
      </c>
      <c r="E28" s="115">
        <f t="shared" si="0"/>
        <v>2.6995000000000005</v>
      </c>
      <c r="F28" s="115">
        <f t="shared" si="1"/>
        <v>2.6995000000000005</v>
      </c>
      <c r="G28" s="115">
        <f t="shared" si="2"/>
        <v>7.2873002500000021</v>
      </c>
      <c r="H28" s="115">
        <f t="shared" si="3"/>
        <v>2.7590964840556013E-2</v>
      </c>
      <c r="I28" s="116"/>
      <c r="J28" s="116"/>
      <c r="K28" s="116"/>
      <c r="L28" s="116"/>
      <c r="M28" s="117"/>
    </row>
    <row r="29" spans="1:13">
      <c r="A29" s="112">
        <v>26</v>
      </c>
      <c r="B29" s="113">
        <v>41677</v>
      </c>
      <c r="C29" s="114">
        <v>99.98</v>
      </c>
      <c r="D29" s="115">
        <f t="shared" si="4"/>
        <v>95.4375</v>
      </c>
      <c r="E29" s="115">
        <f t="shared" si="0"/>
        <v>4.542500000000004</v>
      </c>
      <c r="F29" s="115">
        <f t="shared" si="1"/>
        <v>4.542500000000004</v>
      </c>
      <c r="G29" s="115">
        <f t="shared" si="2"/>
        <v>20.634306250000037</v>
      </c>
      <c r="H29" s="115">
        <f t="shared" si="3"/>
        <v>4.5434086817363509E-2</v>
      </c>
      <c r="I29" s="116"/>
      <c r="J29" s="116"/>
      <c r="K29" s="116"/>
      <c r="L29" s="116"/>
      <c r="M29" s="117"/>
    </row>
    <row r="30" spans="1:13">
      <c r="A30" s="112">
        <v>27</v>
      </c>
      <c r="B30" s="107">
        <v>41680</v>
      </c>
      <c r="C30" s="108">
        <v>100.12</v>
      </c>
      <c r="D30" s="115">
        <f t="shared" si="4"/>
        <v>95.868499999999997</v>
      </c>
      <c r="E30" s="115">
        <f t="shared" si="0"/>
        <v>4.2515000000000072</v>
      </c>
      <c r="F30" s="115">
        <f t="shared" si="1"/>
        <v>4.2515000000000072</v>
      </c>
      <c r="G30" s="115">
        <f t="shared" si="2"/>
        <v>18.075252250000062</v>
      </c>
      <c r="H30" s="115">
        <f t="shared" si="3"/>
        <v>4.2464043148222205E-2</v>
      </c>
      <c r="I30" s="116"/>
      <c r="J30" s="116"/>
      <c r="K30" s="116"/>
      <c r="L30" s="116"/>
      <c r="M30" s="117"/>
    </row>
    <row r="31" spans="1:13">
      <c r="A31" s="112">
        <v>28</v>
      </c>
      <c r="B31" s="113">
        <v>41681</v>
      </c>
      <c r="C31" s="114">
        <v>99.96</v>
      </c>
      <c r="D31" s="115">
        <f t="shared" si="4"/>
        <v>96.254999999999995</v>
      </c>
      <c r="E31" s="115">
        <f t="shared" si="0"/>
        <v>3.7049999999999983</v>
      </c>
      <c r="F31" s="115">
        <f t="shared" si="1"/>
        <v>3.7049999999999983</v>
      </c>
      <c r="G31" s="115">
        <f t="shared" si="2"/>
        <v>13.727024999999987</v>
      </c>
      <c r="H31" s="115">
        <f t="shared" si="3"/>
        <v>3.7064825930372136E-2</v>
      </c>
      <c r="I31" s="116"/>
      <c r="J31" s="116"/>
      <c r="K31" s="116"/>
      <c r="L31" s="116"/>
      <c r="M31" s="117"/>
    </row>
    <row r="32" spans="1:13">
      <c r="A32" s="112">
        <v>29</v>
      </c>
      <c r="B32" s="107">
        <v>41682</v>
      </c>
      <c r="C32" s="108">
        <v>100.38</v>
      </c>
      <c r="D32" s="115">
        <f t="shared" si="4"/>
        <v>96.680500000000009</v>
      </c>
      <c r="E32" s="115">
        <f t="shared" si="0"/>
        <v>3.6994999999999862</v>
      </c>
      <c r="F32" s="115">
        <f t="shared" si="1"/>
        <v>3.6994999999999862</v>
      </c>
      <c r="G32" s="115">
        <f t="shared" si="2"/>
        <v>13.686300249999897</v>
      </c>
      <c r="H32" s="115">
        <f t="shared" si="3"/>
        <v>3.6854951185494984E-2</v>
      </c>
      <c r="I32" s="116"/>
      <c r="J32" s="116"/>
      <c r="K32" s="116"/>
      <c r="L32" s="116"/>
      <c r="M32" s="117"/>
    </row>
    <row r="33" spans="1:13">
      <c r="A33" s="112">
        <v>30</v>
      </c>
      <c r="B33" s="113">
        <v>41683</v>
      </c>
      <c r="C33" s="114">
        <v>100.27</v>
      </c>
      <c r="D33" s="115">
        <f t="shared" si="4"/>
        <v>97.092000000000013</v>
      </c>
      <c r="E33" s="115">
        <f t="shared" si="0"/>
        <v>3.1779999999999831</v>
      </c>
      <c r="F33" s="115">
        <f t="shared" si="1"/>
        <v>3.1779999999999831</v>
      </c>
      <c r="G33" s="115">
        <f t="shared" si="2"/>
        <v>10.099683999999892</v>
      </c>
      <c r="H33" s="115">
        <f t="shared" si="3"/>
        <v>3.1694425052358463E-2</v>
      </c>
      <c r="I33" s="116"/>
      <c r="J33" s="116"/>
      <c r="K33" s="116"/>
      <c r="L33" s="116"/>
      <c r="M33" s="117"/>
    </row>
    <row r="34" spans="1:13">
      <c r="A34" s="112">
        <v>31</v>
      </c>
      <c r="B34" s="107">
        <v>41684</v>
      </c>
      <c r="C34" s="108">
        <v>100.31</v>
      </c>
      <c r="D34" s="115">
        <f t="shared" si="4"/>
        <v>97.416500000000013</v>
      </c>
      <c r="E34" s="115">
        <f t="shared" si="0"/>
        <v>2.8934999999999889</v>
      </c>
      <c r="F34" s="115">
        <f t="shared" si="1"/>
        <v>2.8934999999999889</v>
      </c>
      <c r="G34" s="115">
        <f t="shared" si="2"/>
        <v>8.3723422499999351</v>
      </c>
      <c r="H34" s="115">
        <f t="shared" si="3"/>
        <v>2.8845578706011253E-2</v>
      </c>
      <c r="I34" s="116"/>
      <c r="J34" s="116"/>
      <c r="K34" s="116"/>
      <c r="L34" s="116"/>
      <c r="M34" s="117"/>
    </row>
    <row r="35" spans="1:13">
      <c r="A35" s="112">
        <v>32</v>
      </c>
      <c r="B35" s="113">
        <v>41688</v>
      </c>
      <c r="C35" s="114">
        <v>102.54</v>
      </c>
      <c r="D35" s="115">
        <f t="shared" si="4"/>
        <v>97.754999999999995</v>
      </c>
      <c r="E35" s="115">
        <f t="shared" si="0"/>
        <v>4.7850000000000108</v>
      </c>
      <c r="F35" s="115">
        <f t="shared" si="1"/>
        <v>4.7850000000000108</v>
      </c>
      <c r="G35" s="115">
        <f t="shared" si="2"/>
        <v>22.896225000000104</v>
      </c>
      <c r="H35" s="115">
        <f t="shared" si="3"/>
        <v>4.6664716208309052E-2</v>
      </c>
      <c r="I35" s="116"/>
      <c r="J35" s="116"/>
      <c r="K35" s="116"/>
      <c r="L35" s="116"/>
      <c r="M35" s="117"/>
    </row>
    <row r="36" spans="1:13">
      <c r="A36" s="112">
        <v>33</v>
      </c>
      <c r="B36" s="107">
        <v>41689</v>
      </c>
      <c r="C36" s="108">
        <v>103.46</v>
      </c>
      <c r="D36" s="115">
        <f t="shared" si="4"/>
        <v>98.183999999999997</v>
      </c>
      <c r="E36" s="115">
        <f t="shared" si="0"/>
        <v>5.2759999999999962</v>
      </c>
      <c r="F36" s="115">
        <f t="shared" si="1"/>
        <v>5.2759999999999962</v>
      </c>
      <c r="G36" s="115">
        <f t="shared" si="2"/>
        <v>27.836175999999959</v>
      </c>
      <c r="H36" s="115">
        <f t="shared" si="3"/>
        <v>5.0995553837231748E-2</v>
      </c>
      <c r="I36" s="116"/>
      <c r="J36" s="116"/>
      <c r="K36" s="116"/>
      <c r="L36" s="116"/>
      <c r="M36" s="117"/>
    </row>
    <row r="37" spans="1:13">
      <c r="A37" s="112">
        <v>34</v>
      </c>
      <c r="B37" s="113">
        <v>41690</v>
      </c>
      <c r="C37" s="114">
        <v>103.2</v>
      </c>
      <c r="D37" s="115">
        <f t="shared" si="4"/>
        <v>98.631500000000003</v>
      </c>
      <c r="E37" s="115">
        <f t="shared" si="0"/>
        <v>4.5685000000000002</v>
      </c>
      <c r="F37" s="115">
        <f t="shared" si="1"/>
        <v>4.5685000000000002</v>
      </c>
      <c r="G37" s="115">
        <f t="shared" si="2"/>
        <v>20.871192250000004</v>
      </c>
      <c r="H37" s="115">
        <f t="shared" si="3"/>
        <v>4.4268410852713179E-2</v>
      </c>
      <c r="I37" s="116"/>
      <c r="J37" s="116"/>
      <c r="K37" s="116"/>
      <c r="L37" s="116"/>
      <c r="M37" s="117"/>
    </row>
    <row r="38" spans="1:13">
      <c r="A38" s="112">
        <v>35</v>
      </c>
      <c r="B38" s="107">
        <v>41691</v>
      </c>
      <c r="C38" s="108">
        <v>102.53</v>
      </c>
      <c r="D38" s="115">
        <f t="shared" si="4"/>
        <v>98.974000000000018</v>
      </c>
      <c r="E38" s="115">
        <f t="shared" si="0"/>
        <v>3.5559999999999832</v>
      </c>
      <c r="F38" s="115">
        <f t="shared" si="1"/>
        <v>3.5559999999999832</v>
      </c>
      <c r="G38" s="115">
        <f t="shared" si="2"/>
        <v>12.64513599999988</v>
      </c>
      <c r="H38" s="115">
        <f t="shared" si="3"/>
        <v>3.4682531941870508E-2</v>
      </c>
      <c r="I38" s="116"/>
      <c r="J38" s="116"/>
      <c r="K38" s="116"/>
      <c r="L38" s="116"/>
      <c r="M38" s="117"/>
    </row>
    <row r="39" spans="1:13">
      <c r="A39" s="112">
        <v>36</v>
      </c>
      <c r="B39" s="113">
        <v>41694</v>
      </c>
      <c r="C39" s="114">
        <v>103.17</v>
      </c>
      <c r="D39" s="115">
        <f t="shared" si="4"/>
        <v>99.239000000000004</v>
      </c>
      <c r="E39" s="115">
        <f t="shared" si="0"/>
        <v>3.9309999999999974</v>
      </c>
      <c r="F39" s="115">
        <f t="shared" si="1"/>
        <v>3.9309999999999974</v>
      </c>
      <c r="G39" s="115">
        <f t="shared" si="2"/>
        <v>15.452760999999979</v>
      </c>
      <c r="H39" s="115">
        <f t="shared" si="3"/>
        <v>3.8102161481050667E-2</v>
      </c>
      <c r="I39" s="116"/>
      <c r="J39" s="116"/>
      <c r="K39" s="116"/>
      <c r="L39" s="116"/>
      <c r="M39" s="117"/>
    </row>
    <row r="40" spans="1:13">
      <c r="A40" s="112">
        <v>37</v>
      </c>
      <c r="B40" s="107">
        <v>41695</v>
      </c>
      <c r="C40" s="108">
        <v>102.2</v>
      </c>
      <c r="D40" s="115">
        <f t="shared" si="4"/>
        <v>99.564499999999995</v>
      </c>
      <c r="E40" s="115">
        <f t="shared" si="0"/>
        <v>2.6355000000000075</v>
      </c>
      <c r="F40" s="115">
        <f t="shared" si="1"/>
        <v>2.6355000000000075</v>
      </c>
      <c r="G40" s="115">
        <f t="shared" si="2"/>
        <v>6.9458602500000399</v>
      </c>
      <c r="H40" s="115">
        <f t="shared" si="3"/>
        <v>2.5787671232876785E-2</v>
      </c>
      <c r="I40" s="116"/>
      <c r="J40" s="116"/>
      <c r="K40" s="116"/>
      <c r="L40" s="116"/>
      <c r="M40" s="117"/>
    </row>
    <row r="41" spans="1:13">
      <c r="A41" s="112">
        <v>38</v>
      </c>
      <c r="B41" s="113">
        <v>41696</v>
      </c>
      <c r="C41" s="114">
        <v>102.93</v>
      </c>
      <c r="D41" s="115">
        <f t="shared" si="4"/>
        <v>99.883499999999998</v>
      </c>
      <c r="E41" s="115">
        <f t="shared" si="0"/>
        <v>3.0465000000000089</v>
      </c>
      <c r="F41" s="115">
        <f t="shared" si="1"/>
        <v>3.0465000000000089</v>
      </c>
      <c r="G41" s="115">
        <f t="shared" si="2"/>
        <v>9.2811622500000546</v>
      </c>
      <c r="H41" s="115">
        <f t="shared" si="3"/>
        <v>2.9597784902360914E-2</v>
      </c>
      <c r="I41" s="116"/>
      <c r="J41" s="116"/>
      <c r="K41" s="116"/>
      <c r="L41" s="116"/>
      <c r="M41" s="117"/>
    </row>
    <row r="42" spans="1:13">
      <c r="A42" s="112">
        <v>39</v>
      </c>
      <c r="B42" s="107">
        <v>41697</v>
      </c>
      <c r="C42" s="108">
        <v>102.68</v>
      </c>
      <c r="D42" s="115">
        <f t="shared" si="4"/>
        <v>100.1555</v>
      </c>
      <c r="E42" s="115">
        <f t="shared" si="0"/>
        <v>2.5245000000000033</v>
      </c>
      <c r="F42" s="115">
        <f t="shared" si="1"/>
        <v>2.5245000000000033</v>
      </c>
      <c r="G42" s="115">
        <f t="shared" si="2"/>
        <v>6.3731002500000162</v>
      </c>
      <c r="H42" s="115">
        <f t="shared" si="3"/>
        <v>2.4586092715231819E-2</v>
      </c>
      <c r="I42" s="116"/>
      <c r="J42" s="116"/>
      <c r="K42" s="116"/>
      <c r="L42" s="116"/>
      <c r="M42" s="117"/>
    </row>
    <row r="43" spans="1:13">
      <c r="A43" s="112">
        <v>40</v>
      </c>
      <c r="B43" s="113">
        <v>41698</v>
      </c>
      <c r="C43" s="114">
        <v>102.88</v>
      </c>
      <c r="D43" s="115">
        <f t="shared" si="4"/>
        <v>100.42250000000001</v>
      </c>
      <c r="E43" s="115">
        <f t="shared" si="0"/>
        <v>2.4574999999999818</v>
      </c>
      <c r="F43" s="115">
        <f t="shared" si="1"/>
        <v>2.4574999999999818</v>
      </c>
      <c r="G43" s="115">
        <f t="shared" si="2"/>
        <v>6.0393062499999104</v>
      </c>
      <c r="H43" s="115">
        <f t="shared" si="3"/>
        <v>2.3887052877138239E-2</v>
      </c>
      <c r="I43" s="116"/>
      <c r="J43" s="116"/>
      <c r="K43" s="116"/>
      <c r="L43" s="116"/>
      <c r="M43" s="117"/>
    </row>
    <row r="44" spans="1:13">
      <c r="A44" s="112">
        <v>41</v>
      </c>
      <c r="B44" s="107">
        <v>41701</v>
      </c>
      <c r="C44" s="108">
        <v>105.34</v>
      </c>
      <c r="D44" s="115">
        <f t="shared" si="4"/>
        <v>100.65400000000002</v>
      </c>
      <c r="E44" s="115">
        <f t="shared" si="0"/>
        <v>4.6859999999999786</v>
      </c>
      <c r="F44" s="115">
        <f t="shared" si="1"/>
        <v>4.6859999999999786</v>
      </c>
      <c r="G44" s="115">
        <f t="shared" si="2"/>
        <v>21.958595999999801</v>
      </c>
      <c r="H44" s="115">
        <f t="shared" si="3"/>
        <v>4.4484526295803857E-2</v>
      </c>
      <c r="I44" s="116"/>
      <c r="J44" s="116"/>
      <c r="K44" s="116"/>
      <c r="L44" s="116"/>
      <c r="M44" s="117"/>
    </row>
    <row r="45" spans="1:13">
      <c r="A45" s="112">
        <v>42</v>
      </c>
      <c r="B45" s="113">
        <v>41702</v>
      </c>
      <c r="C45" s="114">
        <v>103.64</v>
      </c>
      <c r="D45" s="115">
        <f t="shared" si="4"/>
        <v>101.04350000000001</v>
      </c>
      <c r="E45" s="115">
        <f t="shared" si="0"/>
        <v>2.5964999999999918</v>
      </c>
      <c r="F45" s="115">
        <f t="shared" si="1"/>
        <v>2.5964999999999918</v>
      </c>
      <c r="G45" s="115">
        <f t="shared" si="2"/>
        <v>6.7418122499999571</v>
      </c>
      <c r="H45" s="115">
        <f t="shared" si="3"/>
        <v>2.5053068313392435E-2</v>
      </c>
      <c r="I45" s="116"/>
      <c r="J45" s="116"/>
      <c r="K45" s="116"/>
      <c r="L45" s="116"/>
      <c r="M45" s="117"/>
    </row>
    <row r="46" spans="1:13">
      <c r="A46" s="112">
        <v>43</v>
      </c>
      <c r="B46" s="107">
        <v>41703</v>
      </c>
      <c r="C46" s="108">
        <v>101.75</v>
      </c>
      <c r="D46" s="115">
        <f t="shared" si="4"/>
        <v>101.40350000000001</v>
      </c>
      <c r="E46" s="115">
        <f t="shared" si="0"/>
        <v>0.34649999999999181</v>
      </c>
      <c r="F46" s="115">
        <f t="shared" si="1"/>
        <v>0.34649999999999181</v>
      </c>
      <c r="G46" s="115">
        <f t="shared" si="2"/>
        <v>0.12006224999999433</v>
      </c>
      <c r="H46" s="115">
        <f t="shared" si="3"/>
        <v>3.405405405405325E-3</v>
      </c>
      <c r="I46" s="116"/>
      <c r="J46" s="116"/>
      <c r="K46" s="116"/>
      <c r="L46" s="116"/>
      <c r="M46" s="117"/>
    </row>
    <row r="47" spans="1:13">
      <c r="A47" s="112">
        <v>44</v>
      </c>
      <c r="B47" s="113">
        <v>41704</v>
      </c>
      <c r="C47" s="114">
        <v>101.82</v>
      </c>
      <c r="D47" s="115">
        <f t="shared" si="4"/>
        <v>101.62900000000002</v>
      </c>
      <c r="E47" s="115">
        <f t="shared" si="0"/>
        <v>0.19099999999997408</v>
      </c>
      <c r="F47" s="115">
        <f t="shared" si="1"/>
        <v>0.19099999999997408</v>
      </c>
      <c r="G47" s="115">
        <f t="shared" si="2"/>
        <v>3.6480999999990098E-2</v>
      </c>
      <c r="H47" s="115">
        <f t="shared" si="3"/>
        <v>1.8758593596540374E-3</v>
      </c>
      <c r="I47" s="116"/>
      <c r="J47" s="116"/>
      <c r="K47" s="116"/>
      <c r="L47" s="116"/>
      <c r="M47" s="117"/>
    </row>
    <row r="48" spans="1:13">
      <c r="A48" s="112">
        <v>45</v>
      </c>
      <c r="B48" s="107">
        <v>41705</v>
      </c>
      <c r="C48" s="108">
        <v>102.82</v>
      </c>
      <c r="D48" s="115">
        <f t="shared" si="4"/>
        <v>101.85000000000001</v>
      </c>
      <c r="E48" s="115">
        <f t="shared" si="0"/>
        <v>0.96999999999998465</v>
      </c>
      <c r="F48" s="115">
        <f t="shared" si="1"/>
        <v>0.96999999999998465</v>
      </c>
      <c r="G48" s="115">
        <f t="shared" si="2"/>
        <v>0.9408999999999702</v>
      </c>
      <c r="H48" s="115">
        <f t="shared" si="3"/>
        <v>9.4339622641507956E-3</v>
      </c>
      <c r="I48" s="116"/>
      <c r="J48" s="116"/>
      <c r="K48" s="116"/>
      <c r="L48" s="116"/>
      <c r="M48" s="117"/>
    </row>
    <row r="49" spans="1:13">
      <c r="A49" s="112">
        <v>46</v>
      </c>
      <c r="B49" s="113">
        <v>41708</v>
      </c>
      <c r="C49" s="114">
        <v>101.39</v>
      </c>
      <c r="D49" s="115">
        <f t="shared" si="4"/>
        <v>102.099</v>
      </c>
      <c r="E49" s="115">
        <f t="shared" si="0"/>
        <v>-0.70900000000000318</v>
      </c>
      <c r="F49" s="115">
        <f t="shared" si="1"/>
        <v>0.70900000000000318</v>
      </c>
      <c r="G49" s="115">
        <f t="shared" si="2"/>
        <v>0.50268100000000449</v>
      </c>
      <c r="H49" s="115">
        <f t="shared" si="3"/>
        <v>6.9928000789032767E-3</v>
      </c>
      <c r="I49" s="116"/>
      <c r="J49" s="116"/>
      <c r="K49" s="116"/>
      <c r="L49" s="116"/>
      <c r="M49" s="117"/>
    </row>
    <row r="50" spans="1:13">
      <c r="A50" s="112">
        <v>47</v>
      </c>
      <c r="B50" s="107">
        <v>41709</v>
      </c>
      <c r="C50" s="108">
        <v>100.29</v>
      </c>
      <c r="D50" s="115">
        <f t="shared" si="4"/>
        <v>102.1695</v>
      </c>
      <c r="E50" s="115">
        <f t="shared" si="0"/>
        <v>-1.8794999999999931</v>
      </c>
      <c r="F50" s="115">
        <f t="shared" si="1"/>
        <v>1.8794999999999931</v>
      </c>
      <c r="G50" s="115">
        <f t="shared" si="2"/>
        <v>3.5325202499999739</v>
      </c>
      <c r="H50" s="115">
        <f t="shared" si="3"/>
        <v>1.8740652108884166E-2</v>
      </c>
      <c r="I50" s="116"/>
      <c r="J50" s="116"/>
      <c r="K50" s="116"/>
      <c r="L50" s="116"/>
      <c r="M50" s="117"/>
    </row>
    <row r="51" spans="1:13">
      <c r="A51" s="112">
        <v>48</v>
      </c>
      <c r="B51" s="113">
        <v>41710</v>
      </c>
      <c r="C51" s="114">
        <v>98.29</v>
      </c>
      <c r="D51" s="115">
        <f t="shared" si="4"/>
        <v>102.17800000000001</v>
      </c>
      <c r="E51" s="115">
        <f t="shared" si="0"/>
        <v>-3.8880000000000052</v>
      </c>
      <c r="F51" s="115">
        <f t="shared" si="1"/>
        <v>3.8880000000000052</v>
      </c>
      <c r="G51" s="115">
        <f t="shared" si="2"/>
        <v>15.11654400000004</v>
      </c>
      <c r="H51" s="115">
        <f t="shared" si="3"/>
        <v>3.9556414691219913E-2</v>
      </c>
      <c r="I51" s="116"/>
      <c r="J51" s="116"/>
      <c r="K51" s="116"/>
      <c r="L51" s="116"/>
      <c r="M51" s="117"/>
    </row>
    <row r="52" spans="1:13">
      <c r="A52" s="112">
        <v>49</v>
      </c>
      <c r="B52" s="107">
        <v>41711</v>
      </c>
      <c r="C52" s="108">
        <v>98.57</v>
      </c>
      <c r="D52" s="115">
        <f t="shared" si="4"/>
        <v>102.09450000000001</v>
      </c>
      <c r="E52" s="115">
        <f t="shared" si="0"/>
        <v>-3.5245000000000175</v>
      </c>
      <c r="F52" s="115">
        <f t="shared" si="1"/>
        <v>3.5245000000000175</v>
      </c>
      <c r="G52" s="115">
        <f t="shared" si="2"/>
        <v>12.422100250000124</v>
      </c>
      <c r="H52" s="115">
        <f t="shared" si="3"/>
        <v>3.5756315308917701E-2</v>
      </c>
      <c r="I52" s="116"/>
      <c r="J52" s="116"/>
      <c r="K52" s="116"/>
      <c r="L52" s="116"/>
      <c r="M52" s="117"/>
    </row>
    <row r="53" spans="1:13">
      <c r="A53" s="112">
        <v>50</v>
      </c>
      <c r="B53" s="113">
        <v>41712</v>
      </c>
      <c r="C53" s="114">
        <v>99.23</v>
      </c>
      <c r="D53" s="115">
        <f t="shared" si="4"/>
        <v>102.00399999999999</v>
      </c>
      <c r="E53" s="115">
        <f t="shared" si="0"/>
        <v>-2.7739999999999867</v>
      </c>
      <c r="F53" s="115">
        <f t="shared" si="1"/>
        <v>2.7739999999999867</v>
      </c>
      <c r="G53" s="115">
        <f t="shared" si="2"/>
        <v>7.6950759999999265</v>
      </c>
      <c r="H53" s="115">
        <f t="shared" si="3"/>
        <v>2.7955255467096509E-2</v>
      </c>
      <c r="I53" s="116"/>
      <c r="J53" s="116"/>
      <c r="K53" s="116"/>
      <c r="L53" s="116"/>
      <c r="M53" s="117"/>
    </row>
    <row r="54" spans="1:13">
      <c r="A54" s="112">
        <v>51</v>
      </c>
      <c r="B54" s="107">
        <v>41715</v>
      </c>
      <c r="C54" s="108">
        <v>98.43</v>
      </c>
      <c r="D54" s="115">
        <f t="shared" si="4"/>
        <v>101.952</v>
      </c>
      <c r="E54" s="115">
        <f t="shared" si="0"/>
        <v>-3.5219999999999914</v>
      </c>
      <c r="F54" s="115">
        <f t="shared" si="1"/>
        <v>3.5219999999999914</v>
      </c>
      <c r="G54" s="115">
        <f t="shared" si="2"/>
        <v>12.40448399999994</v>
      </c>
      <c r="H54" s="115">
        <f t="shared" si="3"/>
        <v>3.5781773849436059E-2</v>
      </c>
      <c r="I54" s="116">
        <f>AVERAGE(C4:C53)</f>
        <v>98.312599999999961</v>
      </c>
      <c r="J54" s="116">
        <f>C54-I54</f>
        <v>0.11740000000004613</v>
      </c>
      <c r="K54" s="116">
        <f>ABS(J54)</f>
        <v>0.11740000000004613</v>
      </c>
      <c r="L54" s="116">
        <f>J54^2</f>
        <v>1.3782760000010833E-2</v>
      </c>
      <c r="M54" s="117">
        <f>J54/C54</f>
        <v>1.1927257949816735E-3</v>
      </c>
    </row>
    <row r="55" spans="1:13">
      <c r="A55" s="112">
        <v>52</v>
      </c>
      <c r="B55" s="113">
        <v>41716</v>
      </c>
      <c r="C55" s="114">
        <v>100.08</v>
      </c>
      <c r="D55" s="115">
        <f t="shared" si="4"/>
        <v>101.858</v>
      </c>
      <c r="E55" s="115">
        <f t="shared" si="0"/>
        <v>-1.7780000000000058</v>
      </c>
      <c r="F55" s="115">
        <f t="shared" si="1"/>
        <v>1.7780000000000058</v>
      </c>
      <c r="G55" s="115">
        <f t="shared" si="2"/>
        <v>3.1612840000000206</v>
      </c>
      <c r="H55" s="115">
        <f t="shared" si="3"/>
        <v>1.7765787370103973E-2</v>
      </c>
      <c r="I55" s="116">
        <f>AVERAGE(C5:C54)</f>
        <v>98.378399999999985</v>
      </c>
      <c r="J55" s="116">
        <f>C55-I55</f>
        <v>1.7016000000000133</v>
      </c>
      <c r="K55" s="116">
        <f>ABS(J55)</f>
        <v>1.7016000000000133</v>
      </c>
      <c r="L55" s="116">
        <f>J55^2</f>
        <v>2.8954425600000455</v>
      </c>
      <c r="M55" s="117">
        <f t="shared" ref="M55:M118" si="5">J55/C55</f>
        <v>1.7002398081534906E-2</v>
      </c>
    </row>
    <row r="56" spans="1:13">
      <c r="A56" s="112">
        <v>53</v>
      </c>
      <c r="B56" s="107">
        <v>41717</v>
      </c>
      <c r="C56" s="108">
        <v>100.71</v>
      </c>
      <c r="D56" s="115">
        <f t="shared" si="4"/>
        <v>101.735</v>
      </c>
      <c r="E56" s="115">
        <f t="shared" si="0"/>
        <v>-1.0250000000000057</v>
      </c>
      <c r="F56" s="115">
        <f t="shared" si="1"/>
        <v>1.0250000000000057</v>
      </c>
      <c r="G56" s="115">
        <f t="shared" si="2"/>
        <v>1.0506250000000117</v>
      </c>
      <c r="H56" s="115">
        <f t="shared" si="3"/>
        <v>1.017773805977565E-2</v>
      </c>
      <c r="I56" s="116">
        <f t="shared" ref="I56:I119" si="6">AVERAGE(C6:C55)</f>
        <v>98.506799999999984</v>
      </c>
      <c r="J56" s="116">
        <f t="shared" ref="J56:J119" si="7">C56-I56</f>
        <v>2.2032000000000096</v>
      </c>
      <c r="K56" s="116">
        <f t="shared" ref="K56:K119" si="8">ABS(J56)</f>
        <v>2.2032000000000096</v>
      </c>
      <c r="L56" s="116">
        <f t="shared" ref="L56:L119" si="9">J56^2</f>
        <v>4.8540902400000423</v>
      </c>
      <c r="M56" s="117">
        <f t="shared" si="5"/>
        <v>2.1876675603217256E-2</v>
      </c>
    </row>
    <row r="57" spans="1:13">
      <c r="A57" s="112">
        <v>54</v>
      </c>
      <c r="B57" s="113">
        <v>41718</v>
      </c>
      <c r="C57" s="114">
        <v>99.68</v>
      </c>
      <c r="D57" s="115">
        <f t="shared" si="4"/>
        <v>101.5975</v>
      </c>
      <c r="E57" s="115">
        <f t="shared" si="0"/>
        <v>-1.9174999999999898</v>
      </c>
      <c r="F57" s="115">
        <f t="shared" si="1"/>
        <v>1.9174999999999898</v>
      </c>
      <c r="G57" s="115">
        <f t="shared" si="2"/>
        <v>3.6768062499999608</v>
      </c>
      <c r="H57" s="115">
        <f t="shared" si="3"/>
        <v>1.9236556982343396E-2</v>
      </c>
      <c r="I57" s="116">
        <f t="shared" si="6"/>
        <v>98.658599999999993</v>
      </c>
      <c r="J57" s="116">
        <f t="shared" si="7"/>
        <v>1.0214000000000141</v>
      </c>
      <c r="K57" s="116">
        <f t="shared" si="8"/>
        <v>1.0214000000000141</v>
      </c>
      <c r="L57" s="116">
        <f t="shared" si="9"/>
        <v>1.0432579600000287</v>
      </c>
      <c r="M57" s="117">
        <f t="shared" si="5"/>
        <v>1.0246789727126946E-2</v>
      </c>
    </row>
    <row r="58" spans="1:13">
      <c r="A58" s="112">
        <v>55</v>
      </c>
      <c r="B58" s="107">
        <v>41719</v>
      </c>
      <c r="C58" s="108">
        <v>99.97</v>
      </c>
      <c r="D58" s="115">
        <f t="shared" si="4"/>
        <v>101.42150000000001</v>
      </c>
      <c r="E58" s="115">
        <f t="shared" si="0"/>
        <v>-1.45150000000001</v>
      </c>
      <c r="F58" s="115">
        <f t="shared" si="1"/>
        <v>1.45150000000001</v>
      </c>
      <c r="G58" s="115">
        <f t="shared" si="2"/>
        <v>2.1068522500000291</v>
      </c>
      <c r="H58" s="115">
        <f t="shared" si="3"/>
        <v>1.4519355806742122E-2</v>
      </c>
      <c r="I58" s="116">
        <f t="shared" si="6"/>
        <v>98.785999999999987</v>
      </c>
      <c r="J58" s="116">
        <f t="shared" si="7"/>
        <v>1.1840000000000117</v>
      </c>
      <c r="K58" s="116">
        <f t="shared" si="8"/>
        <v>1.1840000000000117</v>
      </c>
      <c r="L58" s="116">
        <f t="shared" si="9"/>
        <v>1.4018560000000277</v>
      </c>
      <c r="M58" s="117">
        <f t="shared" si="5"/>
        <v>1.1843553065919893E-2</v>
      </c>
    </row>
    <row r="59" spans="1:13">
      <c r="A59" s="112">
        <v>56</v>
      </c>
      <c r="B59" s="113">
        <v>41722</v>
      </c>
      <c r="C59" s="114">
        <v>100.05</v>
      </c>
      <c r="D59" s="115">
        <f t="shared" si="4"/>
        <v>101.29350000000001</v>
      </c>
      <c r="E59" s="115">
        <f t="shared" si="0"/>
        <v>-1.2435000000000116</v>
      </c>
      <c r="F59" s="115">
        <f t="shared" si="1"/>
        <v>1.2435000000000116</v>
      </c>
      <c r="G59" s="115">
        <f t="shared" si="2"/>
        <v>1.5462922500000289</v>
      </c>
      <c r="H59" s="115">
        <f t="shared" si="3"/>
        <v>1.2428785607196518E-2</v>
      </c>
      <c r="I59" s="116">
        <f t="shared" si="6"/>
        <v>98.947400000000002</v>
      </c>
      <c r="J59" s="116">
        <f t="shared" si="7"/>
        <v>1.1025999999999954</v>
      </c>
      <c r="K59" s="116">
        <f t="shared" si="8"/>
        <v>1.1025999999999954</v>
      </c>
      <c r="L59" s="116">
        <f t="shared" si="9"/>
        <v>1.2157267599999897</v>
      </c>
      <c r="M59" s="117">
        <f t="shared" si="5"/>
        <v>1.1020489755122393E-2</v>
      </c>
    </row>
    <row r="60" spans="1:13">
      <c r="A60" s="112">
        <v>57</v>
      </c>
      <c r="B60" s="107">
        <v>41723</v>
      </c>
      <c r="C60" s="108">
        <v>99.66</v>
      </c>
      <c r="D60" s="115">
        <f t="shared" si="4"/>
        <v>101.1375</v>
      </c>
      <c r="E60" s="115">
        <f t="shared" si="0"/>
        <v>-1.4775000000000063</v>
      </c>
      <c r="F60" s="115">
        <f t="shared" si="1"/>
        <v>1.4775000000000063</v>
      </c>
      <c r="G60" s="115">
        <f t="shared" si="2"/>
        <v>2.1830062500000187</v>
      </c>
      <c r="H60" s="115">
        <f t="shared" si="3"/>
        <v>1.4825406381697836E-2</v>
      </c>
      <c r="I60" s="116">
        <f t="shared" si="6"/>
        <v>99.121200000000002</v>
      </c>
      <c r="J60" s="116">
        <f t="shared" si="7"/>
        <v>0.53879999999999484</v>
      </c>
      <c r="K60" s="116">
        <f t="shared" si="8"/>
        <v>0.53879999999999484</v>
      </c>
      <c r="L60" s="116">
        <f t="shared" si="9"/>
        <v>0.29030543999999442</v>
      </c>
      <c r="M60" s="117">
        <f t="shared" si="5"/>
        <v>5.4063816977723746E-3</v>
      </c>
    </row>
    <row r="61" spans="1:13">
      <c r="A61" s="112">
        <v>58</v>
      </c>
      <c r="B61" s="113">
        <v>41724</v>
      </c>
      <c r="C61" s="114">
        <v>100.61</v>
      </c>
      <c r="D61" s="115">
        <f t="shared" si="4"/>
        <v>101.01050000000001</v>
      </c>
      <c r="E61" s="115">
        <f t="shared" si="0"/>
        <v>-0.40050000000000807</v>
      </c>
      <c r="F61" s="115">
        <f t="shared" si="1"/>
        <v>0.40050000000000807</v>
      </c>
      <c r="G61" s="115">
        <f t="shared" si="2"/>
        <v>0.16040025000000646</v>
      </c>
      <c r="H61" s="115">
        <f t="shared" si="3"/>
        <v>3.980717622502814E-3</v>
      </c>
      <c r="I61" s="116">
        <f t="shared" si="6"/>
        <v>99.266599999999997</v>
      </c>
      <c r="J61" s="116">
        <f t="shared" si="7"/>
        <v>1.3434000000000026</v>
      </c>
      <c r="K61" s="116">
        <f t="shared" si="8"/>
        <v>1.3434000000000026</v>
      </c>
      <c r="L61" s="116">
        <f t="shared" si="9"/>
        <v>1.8047235600000069</v>
      </c>
      <c r="M61" s="117">
        <f t="shared" si="5"/>
        <v>1.3352549448365E-2</v>
      </c>
    </row>
    <row r="62" spans="1:13">
      <c r="A62" s="112">
        <v>59</v>
      </c>
      <c r="B62" s="107">
        <v>41725</v>
      </c>
      <c r="C62" s="108">
        <v>101.25</v>
      </c>
      <c r="D62" s="115">
        <f t="shared" si="4"/>
        <v>100.89449999999999</v>
      </c>
      <c r="E62" s="115">
        <f t="shared" si="0"/>
        <v>0.35550000000000637</v>
      </c>
      <c r="F62" s="115">
        <f t="shared" si="1"/>
        <v>0.35550000000000637</v>
      </c>
      <c r="G62" s="115">
        <f t="shared" si="2"/>
        <v>0.12638025000000452</v>
      </c>
      <c r="H62" s="115">
        <f t="shared" si="3"/>
        <v>3.511111111111174E-3</v>
      </c>
      <c r="I62" s="116">
        <f t="shared" si="6"/>
        <v>99.44980000000001</v>
      </c>
      <c r="J62" s="116">
        <f t="shared" si="7"/>
        <v>1.8001999999999896</v>
      </c>
      <c r="K62" s="116">
        <f t="shared" si="8"/>
        <v>1.8001999999999896</v>
      </c>
      <c r="L62" s="116">
        <f t="shared" si="9"/>
        <v>3.2407200399999625</v>
      </c>
      <c r="M62" s="117">
        <f t="shared" si="5"/>
        <v>1.7779753086419652E-2</v>
      </c>
    </row>
    <row r="63" spans="1:13">
      <c r="A63" s="112">
        <v>60</v>
      </c>
      <c r="B63" s="113">
        <v>41726</v>
      </c>
      <c r="C63" s="114">
        <v>101.73</v>
      </c>
      <c r="D63" s="115">
        <f t="shared" si="4"/>
        <v>100.82300000000001</v>
      </c>
      <c r="E63" s="115">
        <f t="shared" si="0"/>
        <v>0.90699999999999648</v>
      </c>
      <c r="F63" s="115">
        <f t="shared" si="1"/>
        <v>0.90699999999999648</v>
      </c>
      <c r="G63" s="115">
        <f t="shared" si="2"/>
        <v>0.82264899999999364</v>
      </c>
      <c r="H63" s="115">
        <f t="shared" si="3"/>
        <v>8.9157573970313226E-3</v>
      </c>
      <c r="I63" s="116">
        <f t="shared" si="6"/>
        <v>99.631799999999998</v>
      </c>
      <c r="J63" s="116">
        <f t="shared" si="7"/>
        <v>2.0982000000000056</v>
      </c>
      <c r="K63" s="116">
        <f t="shared" si="8"/>
        <v>2.0982000000000056</v>
      </c>
      <c r="L63" s="116">
        <f t="shared" si="9"/>
        <v>4.4024432400000233</v>
      </c>
      <c r="M63" s="117">
        <f t="shared" si="5"/>
        <v>2.0625184311412616E-2</v>
      </c>
    </row>
    <row r="64" spans="1:13">
      <c r="A64" s="112">
        <v>61</v>
      </c>
      <c r="B64" s="107">
        <v>41729</v>
      </c>
      <c r="C64" s="108">
        <v>101.57</v>
      </c>
      <c r="D64" s="115">
        <f t="shared" si="4"/>
        <v>100.7655</v>
      </c>
      <c r="E64" s="115">
        <f t="shared" si="0"/>
        <v>0.80449999999999022</v>
      </c>
      <c r="F64" s="115">
        <f t="shared" si="1"/>
        <v>0.80449999999999022</v>
      </c>
      <c r="G64" s="115">
        <f t="shared" si="2"/>
        <v>0.64722024999998429</v>
      </c>
      <c r="H64" s="115">
        <f t="shared" si="3"/>
        <v>7.9206458599979344E-3</v>
      </c>
      <c r="I64" s="116">
        <f t="shared" si="6"/>
        <v>99.790800000000004</v>
      </c>
      <c r="J64" s="116">
        <f t="shared" si="7"/>
        <v>1.7791999999999888</v>
      </c>
      <c r="K64" s="116">
        <f t="shared" si="8"/>
        <v>1.7791999999999888</v>
      </c>
      <c r="L64" s="116">
        <f t="shared" si="9"/>
        <v>3.1655526399999601</v>
      </c>
      <c r="M64" s="117">
        <f t="shared" si="5"/>
        <v>1.7516983361228599E-2</v>
      </c>
    </row>
    <row r="65" spans="1:13">
      <c r="A65" s="112">
        <v>62</v>
      </c>
      <c r="B65" s="113">
        <v>41730</v>
      </c>
      <c r="C65" s="114">
        <v>99.69</v>
      </c>
      <c r="D65" s="115">
        <f t="shared" si="4"/>
        <v>100.577</v>
      </c>
      <c r="E65" s="115">
        <f t="shared" si="0"/>
        <v>-0.88700000000000045</v>
      </c>
      <c r="F65" s="115">
        <f t="shared" si="1"/>
        <v>0.88700000000000045</v>
      </c>
      <c r="G65" s="115">
        <f t="shared" si="2"/>
        <v>0.78676900000000083</v>
      </c>
      <c r="H65" s="115">
        <f t="shared" si="3"/>
        <v>8.8975825057678853E-3</v>
      </c>
      <c r="I65" s="116">
        <f t="shared" si="6"/>
        <v>99.951399999999978</v>
      </c>
      <c r="J65" s="116">
        <f t="shared" si="7"/>
        <v>-0.26139999999998054</v>
      </c>
      <c r="K65" s="116">
        <f t="shared" si="8"/>
        <v>0.26139999999998054</v>
      </c>
      <c r="L65" s="116">
        <f t="shared" si="9"/>
        <v>6.8329959999989823E-2</v>
      </c>
      <c r="M65" s="117">
        <f t="shared" si="5"/>
        <v>-2.6221285986556377E-3</v>
      </c>
    </row>
    <row r="66" spans="1:13">
      <c r="A66" s="112">
        <v>63</v>
      </c>
      <c r="B66" s="107">
        <v>41731</v>
      </c>
      <c r="C66" s="108">
        <v>99.6</v>
      </c>
      <c r="D66" s="115">
        <f t="shared" si="4"/>
        <v>100.37950000000001</v>
      </c>
      <c r="E66" s="115">
        <f t="shared" si="0"/>
        <v>-0.77950000000001296</v>
      </c>
      <c r="F66" s="115">
        <f t="shared" si="1"/>
        <v>0.77950000000001296</v>
      </c>
      <c r="G66" s="115">
        <f t="shared" si="2"/>
        <v>0.60762025000002018</v>
      </c>
      <c r="H66" s="115">
        <f t="shared" si="3"/>
        <v>7.8263052208836642E-3</v>
      </c>
      <c r="I66" s="116">
        <f t="shared" si="6"/>
        <v>100.06599999999997</v>
      </c>
      <c r="J66" s="116">
        <f t="shared" si="7"/>
        <v>-0.46599999999997976</v>
      </c>
      <c r="K66" s="116">
        <f t="shared" si="8"/>
        <v>0.46599999999997976</v>
      </c>
      <c r="L66" s="116">
        <f t="shared" si="9"/>
        <v>0.21715599999998114</v>
      </c>
      <c r="M66" s="117">
        <f t="shared" si="5"/>
        <v>-4.6787148594375485E-3</v>
      </c>
    </row>
    <row r="67" spans="1:13">
      <c r="A67" s="112">
        <v>64</v>
      </c>
      <c r="B67" s="113">
        <v>41732</v>
      </c>
      <c r="C67" s="114">
        <v>100.29</v>
      </c>
      <c r="D67" s="115">
        <f t="shared" si="4"/>
        <v>100.27200000000001</v>
      </c>
      <c r="E67" s="115">
        <f t="shared" si="0"/>
        <v>1.8000000000000682E-2</v>
      </c>
      <c r="F67" s="115">
        <f t="shared" si="1"/>
        <v>1.8000000000000682E-2</v>
      </c>
      <c r="G67" s="115">
        <f t="shared" si="2"/>
        <v>3.2400000000002457E-4</v>
      </c>
      <c r="H67" s="115">
        <f t="shared" si="3"/>
        <v>1.7947950942268103E-4</v>
      </c>
      <c r="I67" s="116">
        <f t="shared" si="6"/>
        <v>100.16779999999999</v>
      </c>
      <c r="J67" s="116">
        <f t="shared" si="7"/>
        <v>0.12220000000002074</v>
      </c>
      <c r="K67" s="116">
        <f t="shared" si="8"/>
        <v>0.12220000000002074</v>
      </c>
      <c r="L67" s="116">
        <f t="shared" si="9"/>
        <v>1.4932840000005068E-2</v>
      </c>
      <c r="M67" s="117">
        <f t="shared" si="5"/>
        <v>1.2184664473030285E-3</v>
      </c>
    </row>
    <row r="68" spans="1:13">
      <c r="A68" s="112">
        <v>65</v>
      </c>
      <c r="B68" s="107">
        <v>41733</v>
      </c>
      <c r="C68" s="108">
        <v>101.16</v>
      </c>
      <c r="D68" s="115">
        <f t="shared" si="4"/>
        <v>100.1955</v>
      </c>
      <c r="E68" s="115">
        <f t="shared" si="0"/>
        <v>0.96450000000000102</v>
      </c>
      <c r="F68" s="115">
        <f t="shared" si="1"/>
        <v>0.96450000000000102</v>
      </c>
      <c r="G68" s="115">
        <f t="shared" si="2"/>
        <v>0.93026025000000201</v>
      </c>
      <c r="H68" s="115">
        <f t="shared" si="3"/>
        <v>9.5344009489917066E-3</v>
      </c>
      <c r="I68" s="116">
        <f t="shared" si="6"/>
        <v>100.24659999999999</v>
      </c>
      <c r="J68" s="116">
        <f t="shared" si="7"/>
        <v>0.91340000000000998</v>
      </c>
      <c r="K68" s="116">
        <f t="shared" si="8"/>
        <v>0.91340000000000998</v>
      </c>
      <c r="L68" s="116">
        <f t="shared" si="9"/>
        <v>0.83429956000001826</v>
      </c>
      <c r="M68" s="117">
        <f t="shared" si="5"/>
        <v>9.0292605773033812E-3</v>
      </c>
    </row>
    <row r="69" spans="1:13">
      <c r="A69" s="112">
        <v>66</v>
      </c>
      <c r="B69" s="113">
        <v>41736</v>
      </c>
      <c r="C69" s="114">
        <v>100.43</v>
      </c>
      <c r="D69" s="115">
        <f t="shared" si="4"/>
        <v>100.1125</v>
      </c>
      <c r="E69" s="115">
        <f t="shared" si="0"/>
        <v>0.31750000000000966</v>
      </c>
      <c r="F69" s="115">
        <f t="shared" si="1"/>
        <v>0.31750000000000966</v>
      </c>
      <c r="G69" s="115">
        <f t="shared" si="2"/>
        <v>0.10080625000000613</v>
      </c>
      <c r="H69" s="115">
        <f t="shared" si="3"/>
        <v>3.1614059543961927E-3</v>
      </c>
      <c r="I69" s="116">
        <f t="shared" si="6"/>
        <v>100.32519999999997</v>
      </c>
      <c r="J69" s="116">
        <f t="shared" si="7"/>
        <v>0.10480000000003997</v>
      </c>
      <c r="K69" s="116">
        <f t="shared" si="8"/>
        <v>0.10480000000003997</v>
      </c>
      <c r="L69" s="116">
        <f t="shared" si="9"/>
        <v>1.0983040000008378E-2</v>
      </c>
      <c r="M69" s="117">
        <f t="shared" si="5"/>
        <v>1.0435128945538183E-3</v>
      </c>
    </row>
    <row r="70" spans="1:13">
      <c r="A70" s="112">
        <v>67</v>
      </c>
      <c r="B70" s="107">
        <v>41737</v>
      </c>
      <c r="C70" s="108">
        <v>102.57</v>
      </c>
      <c r="D70" s="115">
        <f t="shared" si="4"/>
        <v>100.0645</v>
      </c>
      <c r="E70" s="115">
        <f t="shared" si="0"/>
        <v>2.5054999999999978</v>
      </c>
      <c r="F70" s="115">
        <f t="shared" si="1"/>
        <v>2.5054999999999978</v>
      </c>
      <c r="G70" s="115">
        <f t="shared" si="2"/>
        <v>6.2775302499999892</v>
      </c>
      <c r="H70" s="115">
        <f t="shared" si="3"/>
        <v>2.4427220434824978E-2</v>
      </c>
      <c r="I70" s="116">
        <f t="shared" si="6"/>
        <v>100.40059999999998</v>
      </c>
      <c r="J70" s="116">
        <f t="shared" si="7"/>
        <v>2.1694000000000102</v>
      </c>
      <c r="K70" s="116">
        <f t="shared" si="8"/>
        <v>2.1694000000000102</v>
      </c>
      <c r="L70" s="116">
        <f t="shared" si="9"/>
        <v>4.706296360000044</v>
      </c>
      <c r="M70" s="117">
        <f t="shared" si="5"/>
        <v>2.1150433850053722E-2</v>
      </c>
    </row>
    <row r="71" spans="1:13">
      <c r="A71" s="112">
        <v>68</v>
      </c>
      <c r="B71" s="113">
        <v>41738</v>
      </c>
      <c r="C71" s="114">
        <v>103.55</v>
      </c>
      <c r="D71" s="115">
        <f t="shared" si="4"/>
        <v>100.1785</v>
      </c>
      <c r="E71" s="115">
        <f t="shared" si="0"/>
        <v>3.3714999999999975</v>
      </c>
      <c r="F71" s="115">
        <f t="shared" si="1"/>
        <v>3.3714999999999975</v>
      </c>
      <c r="G71" s="115">
        <f t="shared" si="2"/>
        <v>11.367012249999982</v>
      </c>
      <c r="H71" s="115">
        <f t="shared" si="3"/>
        <v>3.2559150169000461E-2</v>
      </c>
      <c r="I71" s="116">
        <f t="shared" si="6"/>
        <v>100.53559999999997</v>
      </c>
      <c r="J71" s="116">
        <f t="shared" si="7"/>
        <v>3.0144000000000233</v>
      </c>
      <c r="K71" s="116">
        <f t="shared" si="8"/>
        <v>3.0144000000000233</v>
      </c>
      <c r="L71" s="116">
        <f t="shared" si="9"/>
        <v>9.0866073600001407</v>
      </c>
      <c r="M71" s="117">
        <f t="shared" si="5"/>
        <v>2.9110574601641945E-2</v>
      </c>
    </row>
    <row r="72" spans="1:13">
      <c r="A72" s="112">
        <v>69</v>
      </c>
      <c r="B72" s="107">
        <v>41739</v>
      </c>
      <c r="C72" s="108">
        <v>103.37</v>
      </c>
      <c r="D72" s="115">
        <f t="shared" si="4"/>
        <v>100.44149999999999</v>
      </c>
      <c r="E72" s="115">
        <f t="shared" si="0"/>
        <v>2.9285000000000139</v>
      </c>
      <c r="F72" s="115">
        <f t="shared" si="1"/>
        <v>2.9285000000000139</v>
      </c>
      <c r="G72" s="115">
        <f t="shared" si="2"/>
        <v>8.5761122500000813</v>
      </c>
      <c r="H72" s="115">
        <f t="shared" si="3"/>
        <v>2.8330269904227667E-2</v>
      </c>
      <c r="I72" s="116">
        <f t="shared" si="6"/>
        <v>100.65679999999999</v>
      </c>
      <c r="J72" s="116">
        <f t="shared" si="7"/>
        <v>2.7132000000000147</v>
      </c>
      <c r="K72" s="116">
        <f t="shared" si="8"/>
        <v>2.7132000000000147</v>
      </c>
      <c r="L72" s="116">
        <f t="shared" si="9"/>
        <v>7.3614542400000795</v>
      </c>
      <c r="M72" s="117">
        <f t="shared" si="5"/>
        <v>2.6247460578504543E-2</v>
      </c>
    </row>
    <row r="73" spans="1:13">
      <c r="A73" s="112">
        <v>70</v>
      </c>
      <c r="B73" s="113">
        <v>41740</v>
      </c>
      <c r="C73" s="114">
        <v>103.68</v>
      </c>
      <c r="D73" s="115">
        <f t="shared" si="4"/>
        <v>100.68149999999999</v>
      </c>
      <c r="E73" s="115">
        <f t="shared" si="0"/>
        <v>2.9985000000000213</v>
      </c>
      <c r="F73" s="115">
        <f t="shared" si="1"/>
        <v>2.9985000000000213</v>
      </c>
      <c r="G73" s="115">
        <f t="shared" si="2"/>
        <v>8.9910022500001272</v>
      </c>
      <c r="H73" s="115">
        <f t="shared" si="3"/>
        <v>2.8920717592592796E-2</v>
      </c>
      <c r="I73" s="116">
        <f t="shared" si="6"/>
        <v>100.7774</v>
      </c>
      <c r="J73" s="116">
        <f t="shared" si="7"/>
        <v>2.9026000000000067</v>
      </c>
      <c r="K73" s="116">
        <f t="shared" si="8"/>
        <v>2.9026000000000067</v>
      </c>
      <c r="L73" s="116">
        <f t="shared" si="9"/>
        <v>8.4250867600000383</v>
      </c>
      <c r="M73" s="117">
        <f t="shared" si="5"/>
        <v>2.7995756172839569E-2</v>
      </c>
    </row>
    <row r="74" spans="1:13">
      <c r="A74" s="112">
        <v>71</v>
      </c>
      <c r="B74" s="107">
        <v>41743</v>
      </c>
      <c r="C74" s="108">
        <v>104.05</v>
      </c>
      <c r="D74" s="115">
        <f t="shared" si="4"/>
        <v>100.90400000000001</v>
      </c>
      <c r="E74" s="115">
        <f t="shared" si="0"/>
        <v>3.1459999999999866</v>
      </c>
      <c r="F74" s="115">
        <f t="shared" si="1"/>
        <v>3.1459999999999866</v>
      </c>
      <c r="G74" s="115">
        <f t="shared" si="2"/>
        <v>9.8973159999999147</v>
      </c>
      <c r="H74" s="115">
        <f t="shared" si="3"/>
        <v>3.0235463719365561E-2</v>
      </c>
      <c r="I74" s="116">
        <f t="shared" si="6"/>
        <v>100.88600000000001</v>
      </c>
      <c r="J74" s="116">
        <f t="shared" si="7"/>
        <v>3.1639999999999873</v>
      </c>
      <c r="K74" s="116">
        <f t="shared" si="8"/>
        <v>3.1639999999999873</v>
      </c>
      <c r="L74" s="116">
        <f t="shared" si="9"/>
        <v>10.010895999999919</v>
      </c>
      <c r="M74" s="117">
        <f t="shared" si="5"/>
        <v>3.0408457472368932E-2</v>
      </c>
    </row>
    <row r="75" spans="1:13">
      <c r="A75" s="112">
        <v>72</v>
      </c>
      <c r="B75" s="113">
        <v>41744</v>
      </c>
      <c r="C75" s="114">
        <v>103.7</v>
      </c>
      <c r="D75" s="115">
        <f t="shared" si="4"/>
        <v>101.18500000000002</v>
      </c>
      <c r="E75" s="115">
        <f t="shared" si="0"/>
        <v>2.5149999999999864</v>
      </c>
      <c r="F75" s="115">
        <f t="shared" si="1"/>
        <v>2.5149999999999864</v>
      </c>
      <c r="G75" s="115">
        <f t="shared" si="2"/>
        <v>6.3252249999999313</v>
      </c>
      <c r="H75" s="115">
        <f t="shared" si="3"/>
        <v>2.4252651880424168E-2</v>
      </c>
      <c r="I75" s="116">
        <f t="shared" si="6"/>
        <v>101.01600000000002</v>
      </c>
      <c r="J75" s="116">
        <f t="shared" si="7"/>
        <v>2.6839999999999833</v>
      </c>
      <c r="K75" s="116">
        <f t="shared" si="8"/>
        <v>2.6839999999999833</v>
      </c>
      <c r="L75" s="116">
        <f t="shared" si="9"/>
        <v>7.2038559999999103</v>
      </c>
      <c r="M75" s="117">
        <f t="shared" si="5"/>
        <v>2.5882352941176308E-2</v>
      </c>
    </row>
    <row r="76" spans="1:13">
      <c r="A76" s="112">
        <v>73</v>
      </c>
      <c r="B76" s="107">
        <v>41745</v>
      </c>
      <c r="C76" s="108">
        <v>103.71</v>
      </c>
      <c r="D76" s="115">
        <f t="shared" si="4"/>
        <v>101.366</v>
      </c>
      <c r="E76" s="115">
        <f t="shared" si="0"/>
        <v>2.3439999999999941</v>
      </c>
      <c r="F76" s="115">
        <f t="shared" si="1"/>
        <v>2.3439999999999941</v>
      </c>
      <c r="G76" s="115">
        <f t="shared" si="2"/>
        <v>5.4943359999999721</v>
      </c>
      <c r="H76" s="115">
        <f t="shared" si="3"/>
        <v>2.2601484909844705E-2</v>
      </c>
      <c r="I76" s="116">
        <f t="shared" si="6"/>
        <v>101.16120000000001</v>
      </c>
      <c r="J76" s="116">
        <f t="shared" si="7"/>
        <v>2.5487999999999857</v>
      </c>
      <c r="K76" s="116">
        <f t="shared" si="8"/>
        <v>2.5487999999999857</v>
      </c>
      <c r="L76" s="116">
        <f t="shared" si="9"/>
        <v>6.4963814399999276</v>
      </c>
      <c r="M76" s="117">
        <f t="shared" si="5"/>
        <v>2.4576222157940274E-2</v>
      </c>
    </row>
    <row r="77" spans="1:13">
      <c r="A77" s="112">
        <v>74</v>
      </c>
      <c r="B77" s="113">
        <v>41746</v>
      </c>
      <c r="C77" s="114">
        <v>104.33</v>
      </c>
      <c r="D77" s="115">
        <f t="shared" si="4"/>
        <v>101.51600000000002</v>
      </c>
      <c r="E77" s="115">
        <f t="shared" si="0"/>
        <v>2.8139999999999787</v>
      </c>
      <c r="F77" s="115">
        <f t="shared" si="1"/>
        <v>2.8139999999999787</v>
      </c>
      <c r="G77" s="115">
        <f t="shared" si="2"/>
        <v>7.9185959999998801</v>
      </c>
      <c r="H77" s="115">
        <f t="shared" si="3"/>
        <v>2.6972107735071204E-2</v>
      </c>
      <c r="I77" s="116">
        <f t="shared" si="6"/>
        <v>101.29060000000001</v>
      </c>
      <c r="J77" s="116">
        <f t="shared" si="7"/>
        <v>3.0393999999999863</v>
      </c>
      <c r="K77" s="116">
        <f t="shared" si="8"/>
        <v>3.0393999999999863</v>
      </c>
      <c r="L77" s="116">
        <f t="shared" si="9"/>
        <v>9.2379523599999178</v>
      </c>
      <c r="M77" s="117">
        <f t="shared" si="5"/>
        <v>2.9132560145691426E-2</v>
      </c>
    </row>
    <row r="78" spans="1:13">
      <c r="A78" s="112">
        <v>75</v>
      </c>
      <c r="B78" s="107">
        <v>41750</v>
      </c>
      <c r="C78" s="108">
        <v>104.35</v>
      </c>
      <c r="D78" s="115">
        <f t="shared" si="4"/>
        <v>101.74850000000001</v>
      </c>
      <c r="E78" s="115">
        <f t="shared" si="0"/>
        <v>2.6014999999999873</v>
      </c>
      <c r="F78" s="115">
        <f t="shared" si="1"/>
        <v>2.6014999999999873</v>
      </c>
      <c r="G78" s="115">
        <f t="shared" si="2"/>
        <v>6.7678022499999342</v>
      </c>
      <c r="H78" s="115">
        <f t="shared" si="3"/>
        <v>2.4930522280785697E-2</v>
      </c>
      <c r="I78" s="116">
        <f t="shared" si="6"/>
        <v>101.42919999999999</v>
      </c>
      <c r="J78" s="116">
        <f t="shared" si="7"/>
        <v>2.9207999999999998</v>
      </c>
      <c r="K78" s="116">
        <f t="shared" si="8"/>
        <v>2.9207999999999998</v>
      </c>
      <c r="L78" s="116">
        <f t="shared" si="9"/>
        <v>8.5310726399999997</v>
      </c>
      <c r="M78" s="117">
        <f t="shared" si="5"/>
        <v>2.7990416866315284E-2</v>
      </c>
    </row>
    <row r="79" spans="1:13">
      <c r="A79" s="112">
        <v>76</v>
      </c>
      <c r="B79" s="113">
        <v>41751</v>
      </c>
      <c r="C79" s="114">
        <v>101.69</v>
      </c>
      <c r="D79" s="115">
        <f t="shared" si="4"/>
        <v>101.96749999999999</v>
      </c>
      <c r="E79" s="115">
        <f t="shared" si="0"/>
        <v>-0.2774999999999892</v>
      </c>
      <c r="F79" s="115">
        <f t="shared" si="1"/>
        <v>0.2774999999999892</v>
      </c>
      <c r="G79" s="115">
        <f t="shared" si="2"/>
        <v>7.7006249999994003E-2</v>
      </c>
      <c r="H79" s="115">
        <f t="shared" si="3"/>
        <v>2.7288818959581985E-3</v>
      </c>
      <c r="I79" s="116">
        <f t="shared" si="6"/>
        <v>101.55940000000001</v>
      </c>
      <c r="J79" s="116">
        <f t="shared" si="7"/>
        <v>0.13059999999998695</v>
      </c>
      <c r="K79" s="116">
        <f t="shared" si="8"/>
        <v>0.13059999999998695</v>
      </c>
      <c r="L79" s="116">
        <f t="shared" si="9"/>
        <v>1.7056359999996593E-2</v>
      </c>
      <c r="M79" s="117">
        <f t="shared" si="5"/>
        <v>1.2842954076112397E-3</v>
      </c>
    </row>
    <row r="80" spans="1:13">
      <c r="A80" s="112">
        <v>77</v>
      </c>
      <c r="B80" s="107">
        <v>41752</v>
      </c>
      <c r="C80" s="108">
        <v>101.47</v>
      </c>
      <c r="D80" s="115">
        <f t="shared" si="4"/>
        <v>102.04949999999999</v>
      </c>
      <c r="E80" s="115">
        <f t="shared" si="0"/>
        <v>-0.57949999999999591</v>
      </c>
      <c r="F80" s="115">
        <f t="shared" si="1"/>
        <v>0.57949999999999591</v>
      </c>
      <c r="G80" s="115">
        <f t="shared" si="2"/>
        <v>0.33582024999999527</v>
      </c>
      <c r="H80" s="115">
        <f t="shared" si="3"/>
        <v>5.7110476002759031E-3</v>
      </c>
      <c r="I80" s="116">
        <f t="shared" si="6"/>
        <v>101.59360000000001</v>
      </c>
      <c r="J80" s="116">
        <f t="shared" si="7"/>
        <v>-0.12360000000001037</v>
      </c>
      <c r="K80" s="116">
        <f t="shared" si="8"/>
        <v>0.12360000000001037</v>
      </c>
      <c r="L80" s="116">
        <f t="shared" si="9"/>
        <v>1.5276960000002563E-2</v>
      </c>
      <c r="M80" s="117">
        <f t="shared" si="5"/>
        <v>-1.218094017936438E-3</v>
      </c>
    </row>
    <row r="81" spans="1:13">
      <c r="A81" s="112">
        <v>78</v>
      </c>
      <c r="B81" s="113">
        <v>41753</v>
      </c>
      <c r="C81" s="114">
        <v>102.2</v>
      </c>
      <c r="D81" s="115">
        <f t="shared" si="4"/>
        <v>102.13999999999999</v>
      </c>
      <c r="E81" s="115">
        <f t="shared" si="0"/>
        <v>6.0000000000016485E-2</v>
      </c>
      <c r="F81" s="115">
        <f t="shared" si="1"/>
        <v>6.0000000000016485E-2</v>
      </c>
      <c r="G81" s="115">
        <f t="shared" si="2"/>
        <v>3.6000000000019784E-3</v>
      </c>
      <c r="H81" s="115">
        <f t="shared" si="3"/>
        <v>5.8708414872814566E-4</v>
      </c>
      <c r="I81" s="116">
        <f t="shared" si="6"/>
        <v>101.62060000000001</v>
      </c>
      <c r="J81" s="116">
        <f t="shared" si="7"/>
        <v>0.57939999999999259</v>
      </c>
      <c r="K81" s="116">
        <f t="shared" si="8"/>
        <v>0.57939999999999259</v>
      </c>
      <c r="L81" s="116">
        <f t="shared" si="9"/>
        <v>0.33570435999999143</v>
      </c>
      <c r="M81" s="117">
        <f t="shared" si="5"/>
        <v>5.6692759295498291E-3</v>
      </c>
    </row>
    <row r="82" spans="1:13">
      <c r="A82" s="112">
        <v>79</v>
      </c>
      <c r="B82" s="107">
        <v>41754</v>
      </c>
      <c r="C82" s="108">
        <v>100.85</v>
      </c>
      <c r="D82" s="115">
        <f t="shared" si="4"/>
        <v>102.21950000000001</v>
      </c>
      <c r="E82" s="115">
        <f t="shared" si="0"/>
        <v>-1.3695000000000164</v>
      </c>
      <c r="F82" s="115">
        <f t="shared" si="1"/>
        <v>1.3695000000000164</v>
      </c>
      <c r="G82" s="115">
        <f t="shared" si="2"/>
        <v>1.8755302500000448</v>
      </c>
      <c r="H82" s="115">
        <f t="shared" si="3"/>
        <v>1.3579573624194511E-2</v>
      </c>
      <c r="I82" s="116">
        <f t="shared" si="6"/>
        <v>101.66540000000001</v>
      </c>
      <c r="J82" s="116">
        <f t="shared" si="7"/>
        <v>-0.815400000000011</v>
      </c>
      <c r="K82" s="116">
        <f t="shared" si="8"/>
        <v>0.815400000000011</v>
      </c>
      <c r="L82" s="116">
        <f t="shared" si="9"/>
        <v>0.66487716000001795</v>
      </c>
      <c r="M82" s="117">
        <f t="shared" si="5"/>
        <v>-8.0852751611305007E-3</v>
      </c>
    </row>
    <row r="83" spans="1:13">
      <c r="A83" s="112">
        <v>80</v>
      </c>
      <c r="B83" s="113">
        <v>41757</v>
      </c>
      <c r="C83" s="114">
        <v>101.13</v>
      </c>
      <c r="D83" s="115">
        <f t="shared" si="4"/>
        <v>102.19949999999999</v>
      </c>
      <c r="E83" s="115">
        <f t="shared" si="0"/>
        <v>-1.0694999999999908</v>
      </c>
      <c r="F83" s="115">
        <f t="shared" si="1"/>
        <v>1.0694999999999908</v>
      </c>
      <c r="G83" s="115">
        <f t="shared" si="2"/>
        <v>1.1438302499999804</v>
      </c>
      <c r="H83" s="115">
        <f t="shared" si="3"/>
        <v>1.057549688519718E-2</v>
      </c>
      <c r="I83" s="116">
        <f t="shared" si="6"/>
        <v>101.67479999999999</v>
      </c>
      <c r="J83" s="116">
        <f t="shared" si="7"/>
        <v>-0.54479999999999507</v>
      </c>
      <c r="K83" s="116">
        <f t="shared" si="8"/>
        <v>0.54479999999999507</v>
      </c>
      <c r="L83" s="116">
        <f t="shared" si="9"/>
        <v>0.29680703999999464</v>
      </c>
      <c r="M83" s="117">
        <f t="shared" si="5"/>
        <v>-5.3871254820527549E-3</v>
      </c>
    </row>
    <row r="84" spans="1:13">
      <c r="A84" s="112">
        <v>81</v>
      </c>
      <c r="B84" s="107">
        <v>41758</v>
      </c>
      <c r="C84" s="108">
        <v>101.56</v>
      </c>
      <c r="D84" s="115">
        <f t="shared" si="4"/>
        <v>102.1695</v>
      </c>
      <c r="E84" s="115">
        <f t="shared" si="0"/>
        <v>-0.60949999999999704</v>
      </c>
      <c r="F84" s="115">
        <f t="shared" si="1"/>
        <v>0.60949999999999704</v>
      </c>
      <c r="G84" s="115">
        <f t="shared" si="2"/>
        <v>0.37149024999999641</v>
      </c>
      <c r="H84" s="115">
        <f t="shared" si="3"/>
        <v>6.0013784954706289E-3</v>
      </c>
      <c r="I84" s="116">
        <f t="shared" si="6"/>
        <v>101.69199999999999</v>
      </c>
      <c r="J84" s="116">
        <f t="shared" si="7"/>
        <v>-0.13199999999999079</v>
      </c>
      <c r="K84" s="116">
        <f t="shared" si="8"/>
        <v>0.13199999999999079</v>
      </c>
      <c r="L84" s="116">
        <f t="shared" si="9"/>
        <v>1.742399999999757E-2</v>
      </c>
      <c r="M84" s="117">
        <f t="shared" si="5"/>
        <v>-1.2997243009057777E-3</v>
      </c>
    </row>
    <row r="85" spans="1:13">
      <c r="A85" s="112">
        <v>82</v>
      </c>
      <c r="B85" s="113">
        <v>41759</v>
      </c>
      <c r="C85" s="114">
        <v>100.07</v>
      </c>
      <c r="D85" s="115">
        <f t="shared" si="4"/>
        <v>102.16899999999998</v>
      </c>
      <c r="E85" s="115">
        <f t="shared" si="0"/>
        <v>-2.0989999999999895</v>
      </c>
      <c r="F85" s="115">
        <f t="shared" si="1"/>
        <v>2.0989999999999895</v>
      </c>
      <c r="G85" s="115">
        <f t="shared" si="2"/>
        <v>4.4058009999999559</v>
      </c>
      <c r="H85" s="115">
        <f t="shared" si="3"/>
        <v>2.0975317277905362E-2</v>
      </c>
      <c r="I85" s="116">
        <f t="shared" si="6"/>
        <v>101.71700000000003</v>
      </c>
      <c r="J85" s="116">
        <f t="shared" si="7"/>
        <v>-1.647000000000034</v>
      </c>
      <c r="K85" s="116">
        <f t="shared" si="8"/>
        <v>1.647000000000034</v>
      </c>
      <c r="L85" s="116">
        <f t="shared" si="9"/>
        <v>2.712609000000112</v>
      </c>
      <c r="M85" s="117">
        <f t="shared" si="5"/>
        <v>-1.6458479064655081E-2</v>
      </c>
    </row>
    <row r="86" spans="1:13">
      <c r="A86" s="112">
        <v>83</v>
      </c>
      <c r="B86" s="107">
        <v>41760</v>
      </c>
      <c r="C86" s="108">
        <v>99.69</v>
      </c>
      <c r="D86" s="115">
        <f t="shared" si="4"/>
        <v>102.18799999999997</v>
      </c>
      <c r="E86" s="115">
        <f t="shared" si="0"/>
        <v>-2.4979999999999762</v>
      </c>
      <c r="F86" s="115">
        <f t="shared" si="1"/>
        <v>2.4979999999999762</v>
      </c>
      <c r="G86" s="115">
        <f t="shared" si="2"/>
        <v>6.2400039999998809</v>
      </c>
      <c r="H86" s="115">
        <f t="shared" si="3"/>
        <v>2.5057678804293073E-2</v>
      </c>
      <c r="I86" s="116">
        <f t="shared" si="6"/>
        <v>101.66760000000001</v>
      </c>
      <c r="J86" s="116">
        <f t="shared" si="7"/>
        <v>-1.9776000000000096</v>
      </c>
      <c r="K86" s="116">
        <f t="shared" si="8"/>
        <v>1.9776000000000096</v>
      </c>
      <c r="L86" s="116">
        <f t="shared" si="9"/>
        <v>3.910901760000038</v>
      </c>
      <c r="M86" s="117">
        <f t="shared" si="5"/>
        <v>-1.9837496238338945E-2</v>
      </c>
    </row>
    <row r="87" spans="1:13">
      <c r="A87" s="112">
        <v>84</v>
      </c>
      <c r="B87" s="113">
        <v>41761</v>
      </c>
      <c r="C87" s="114">
        <v>100.09</v>
      </c>
      <c r="D87" s="115">
        <f t="shared" si="4"/>
        <v>102.19249999999998</v>
      </c>
      <c r="E87" s="115">
        <f t="shared" si="0"/>
        <v>-2.1024999999999778</v>
      </c>
      <c r="F87" s="115">
        <f t="shared" si="1"/>
        <v>2.1024999999999778</v>
      </c>
      <c r="G87" s="115">
        <f t="shared" si="2"/>
        <v>4.4205062499999066</v>
      </c>
      <c r="H87" s="115">
        <f t="shared" si="3"/>
        <v>2.1006094514936336E-2</v>
      </c>
      <c r="I87" s="116">
        <f t="shared" si="6"/>
        <v>101.59220000000001</v>
      </c>
      <c r="J87" s="116">
        <f t="shared" si="7"/>
        <v>-1.502200000000002</v>
      </c>
      <c r="K87" s="116">
        <f t="shared" si="8"/>
        <v>1.502200000000002</v>
      </c>
      <c r="L87" s="116">
        <f t="shared" si="9"/>
        <v>2.2566048400000058</v>
      </c>
      <c r="M87" s="117">
        <f t="shared" si="5"/>
        <v>-1.5008492356878829E-2</v>
      </c>
    </row>
    <row r="88" spans="1:13">
      <c r="A88" s="112">
        <v>85</v>
      </c>
      <c r="B88" s="107">
        <v>41764</v>
      </c>
      <c r="C88" s="108">
        <v>99.74</v>
      </c>
      <c r="D88" s="115">
        <f t="shared" si="4"/>
        <v>102.18249999999998</v>
      </c>
      <c r="E88" s="115">
        <f t="shared" ref="E88:E151" si="10">C88-D88</f>
        <v>-2.4424999999999812</v>
      </c>
      <c r="F88" s="115">
        <f t="shared" ref="F88:F151" si="11">ABS(E88)</f>
        <v>2.4424999999999812</v>
      </c>
      <c r="G88" s="115">
        <f t="shared" ref="G88:G151" si="12">E88^2</f>
        <v>5.9658062499999085</v>
      </c>
      <c r="H88" s="115">
        <f t="shared" ref="H88:H151" si="13">F88/C88</f>
        <v>2.4488670543412687E-2</v>
      </c>
      <c r="I88" s="116">
        <f t="shared" si="6"/>
        <v>101.53</v>
      </c>
      <c r="J88" s="116">
        <f t="shared" si="7"/>
        <v>-1.7900000000000063</v>
      </c>
      <c r="K88" s="116">
        <f t="shared" si="8"/>
        <v>1.7900000000000063</v>
      </c>
      <c r="L88" s="116">
        <f t="shared" si="9"/>
        <v>3.2041000000000226</v>
      </c>
      <c r="M88" s="117">
        <f t="shared" si="5"/>
        <v>-1.7946661319430582E-2</v>
      </c>
    </row>
    <row r="89" spans="1:13">
      <c r="A89" s="112">
        <v>86</v>
      </c>
      <c r="B89" s="113">
        <v>41765</v>
      </c>
      <c r="C89" s="114">
        <v>99.81</v>
      </c>
      <c r="D89" s="115">
        <f t="shared" si="4"/>
        <v>102.11149999999999</v>
      </c>
      <c r="E89" s="115">
        <f t="shared" si="10"/>
        <v>-2.3014999999999901</v>
      </c>
      <c r="F89" s="115">
        <f t="shared" si="11"/>
        <v>2.3014999999999901</v>
      </c>
      <c r="G89" s="115">
        <f t="shared" si="12"/>
        <v>5.2969022499999543</v>
      </c>
      <c r="H89" s="115">
        <f t="shared" si="13"/>
        <v>2.3058811742310292E-2</v>
      </c>
      <c r="I89" s="116">
        <f t="shared" si="6"/>
        <v>101.4742</v>
      </c>
      <c r="J89" s="116">
        <f t="shared" si="7"/>
        <v>-1.6641999999999939</v>
      </c>
      <c r="K89" s="116">
        <f t="shared" si="8"/>
        <v>1.6641999999999939</v>
      </c>
      <c r="L89" s="116">
        <f t="shared" si="9"/>
        <v>2.7695616399999796</v>
      </c>
      <c r="M89" s="117">
        <f t="shared" si="5"/>
        <v>-1.667367999198471E-2</v>
      </c>
    </row>
    <row r="90" spans="1:13">
      <c r="A90" s="112">
        <v>87</v>
      </c>
      <c r="B90" s="107">
        <v>41766</v>
      </c>
      <c r="C90" s="108">
        <v>101.06</v>
      </c>
      <c r="D90" s="115">
        <f t="shared" ref="D90:D153" si="14">AVERAGE(C70:C89)</f>
        <v>102.0805</v>
      </c>
      <c r="E90" s="115">
        <f t="shared" si="10"/>
        <v>-1.0204999999999984</v>
      </c>
      <c r="F90" s="115">
        <f t="shared" si="11"/>
        <v>1.0204999999999984</v>
      </c>
      <c r="G90" s="115">
        <f t="shared" si="12"/>
        <v>1.0414202499999967</v>
      </c>
      <c r="H90" s="115">
        <f t="shared" si="13"/>
        <v>1.0097961606966143E-2</v>
      </c>
      <c r="I90" s="116">
        <f t="shared" si="6"/>
        <v>101.40700000000001</v>
      </c>
      <c r="J90" s="116">
        <f t="shared" si="7"/>
        <v>-0.34700000000000841</v>
      </c>
      <c r="K90" s="116">
        <f t="shared" si="8"/>
        <v>0.34700000000000841</v>
      </c>
      <c r="L90" s="116">
        <f t="shared" si="9"/>
        <v>0.12040900000000584</v>
      </c>
      <c r="M90" s="117">
        <f t="shared" si="5"/>
        <v>-3.4336037997230199E-3</v>
      </c>
    </row>
    <row r="91" spans="1:13">
      <c r="A91" s="112">
        <v>88</v>
      </c>
      <c r="B91" s="113">
        <v>41767</v>
      </c>
      <c r="C91" s="114">
        <v>100.52</v>
      </c>
      <c r="D91" s="115">
        <f t="shared" si="14"/>
        <v>102.00499999999998</v>
      </c>
      <c r="E91" s="115">
        <f t="shared" si="10"/>
        <v>-1.4849999999999852</v>
      </c>
      <c r="F91" s="115">
        <f t="shared" si="11"/>
        <v>1.4849999999999852</v>
      </c>
      <c r="G91" s="115">
        <f t="shared" si="12"/>
        <v>2.205224999999956</v>
      </c>
      <c r="H91" s="115">
        <f t="shared" si="13"/>
        <v>1.4773179466772635E-2</v>
      </c>
      <c r="I91" s="116">
        <f t="shared" si="6"/>
        <v>101.38420000000002</v>
      </c>
      <c r="J91" s="116">
        <f t="shared" si="7"/>
        <v>-0.86420000000002517</v>
      </c>
      <c r="K91" s="116">
        <f t="shared" si="8"/>
        <v>0.86420000000002517</v>
      </c>
      <c r="L91" s="116">
        <f t="shared" si="9"/>
        <v>0.74684164000004349</v>
      </c>
      <c r="M91" s="117">
        <f t="shared" si="5"/>
        <v>-8.5972940708319255E-3</v>
      </c>
    </row>
    <row r="92" spans="1:13">
      <c r="A92" s="112">
        <v>89</v>
      </c>
      <c r="B92" s="107">
        <v>41768</v>
      </c>
      <c r="C92" s="108">
        <v>100.32</v>
      </c>
      <c r="D92" s="115">
        <f t="shared" si="14"/>
        <v>101.8535</v>
      </c>
      <c r="E92" s="115">
        <f t="shared" si="10"/>
        <v>-1.5335000000000036</v>
      </c>
      <c r="F92" s="115">
        <f t="shared" si="11"/>
        <v>1.5335000000000036</v>
      </c>
      <c r="G92" s="115">
        <f t="shared" si="12"/>
        <v>2.3516222500000112</v>
      </c>
      <c r="H92" s="115">
        <f t="shared" si="13"/>
        <v>1.528608452950562E-2</v>
      </c>
      <c r="I92" s="116">
        <f t="shared" si="6"/>
        <v>101.336</v>
      </c>
      <c r="J92" s="116">
        <f t="shared" si="7"/>
        <v>-1.0160000000000053</v>
      </c>
      <c r="K92" s="116">
        <f t="shared" si="8"/>
        <v>1.0160000000000053</v>
      </c>
      <c r="L92" s="116">
        <f t="shared" si="9"/>
        <v>1.0322560000000109</v>
      </c>
      <c r="M92" s="117">
        <f t="shared" si="5"/>
        <v>-1.0127591706539129E-2</v>
      </c>
    </row>
    <row r="93" spans="1:13">
      <c r="A93" s="112">
        <v>90</v>
      </c>
      <c r="B93" s="113">
        <v>41771</v>
      </c>
      <c r="C93" s="114">
        <v>100.89</v>
      </c>
      <c r="D93" s="115">
        <f t="shared" si="14"/>
        <v>101.70099999999998</v>
      </c>
      <c r="E93" s="115">
        <f t="shared" si="10"/>
        <v>-0.81099999999997863</v>
      </c>
      <c r="F93" s="115">
        <f t="shared" si="11"/>
        <v>0.81099999999997863</v>
      </c>
      <c r="G93" s="115">
        <f t="shared" si="12"/>
        <v>0.65772099999996536</v>
      </c>
      <c r="H93" s="115">
        <f t="shared" si="13"/>
        <v>8.0384577262362835E-3</v>
      </c>
      <c r="I93" s="116">
        <f t="shared" si="6"/>
        <v>101.28879999999999</v>
      </c>
      <c r="J93" s="116">
        <f t="shared" si="7"/>
        <v>-0.39879999999999427</v>
      </c>
      <c r="K93" s="116">
        <f t="shared" si="8"/>
        <v>0.39879999999999427</v>
      </c>
      <c r="L93" s="116">
        <f t="shared" si="9"/>
        <v>0.15904143999999543</v>
      </c>
      <c r="M93" s="117">
        <f t="shared" si="5"/>
        <v>-3.9528199028644488E-3</v>
      </c>
    </row>
    <row r="94" spans="1:13">
      <c r="A94" s="112">
        <v>91</v>
      </c>
      <c r="B94" s="107">
        <v>41772</v>
      </c>
      <c r="C94" s="108">
        <v>102.01</v>
      </c>
      <c r="D94" s="115">
        <f t="shared" si="14"/>
        <v>101.5615</v>
      </c>
      <c r="E94" s="115">
        <f t="shared" si="10"/>
        <v>0.44850000000000989</v>
      </c>
      <c r="F94" s="115">
        <f t="shared" si="11"/>
        <v>0.44850000000000989</v>
      </c>
      <c r="G94" s="115">
        <f t="shared" si="12"/>
        <v>0.20115225000000886</v>
      </c>
      <c r="H94" s="115">
        <f t="shared" si="13"/>
        <v>4.3966277815901365E-3</v>
      </c>
      <c r="I94" s="116">
        <f t="shared" si="6"/>
        <v>101.249</v>
      </c>
      <c r="J94" s="116">
        <f t="shared" si="7"/>
        <v>0.76100000000000989</v>
      </c>
      <c r="K94" s="116">
        <f t="shared" si="8"/>
        <v>0.76100000000000989</v>
      </c>
      <c r="L94" s="116">
        <f t="shared" si="9"/>
        <v>0.5791210000000151</v>
      </c>
      <c r="M94" s="117">
        <f t="shared" si="5"/>
        <v>7.4600529359867647E-3</v>
      </c>
    </row>
    <row r="95" spans="1:13">
      <c r="A95" s="112">
        <v>92</v>
      </c>
      <c r="B95" s="113">
        <v>41773</v>
      </c>
      <c r="C95" s="114">
        <v>102.63</v>
      </c>
      <c r="D95" s="115">
        <f t="shared" si="14"/>
        <v>101.45949999999999</v>
      </c>
      <c r="E95" s="115">
        <f t="shared" si="10"/>
        <v>1.1705000000000041</v>
      </c>
      <c r="F95" s="115">
        <f t="shared" si="11"/>
        <v>1.1705000000000041</v>
      </c>
      <c r="G95" s="115">
        <f t="shared" si="12"/>
        <v>1.3700702500000095</v>
      </c>
      <c r="H95" s="115">
        <f t="shared" si="13"/>
        <v>1.140504725713733E-2</v>
      </c>
      <c r="I95" s="116">
        <f t="shared" si="6"/>
        <v>101.1824</v>
      </c>
      <c r="J95" s="116">
        <f t="shared" si="7"/>
        <v>1.4475999999999942</v>
      </c>
      <c r="K95" s="116">
        <f t="shared" si="8"/>
        <v>1.4475999999999942</v>
      </c>
      <c r="L95" s="116">
        <f t="shared" si="9"/>
        <v>2.0955457599999834</v>
      </c>
      <c r="M95" s="117">
        <f t="shared" si="5"/>
        <v>1.4105037513397586E-2</v>
      </c>
    </row>
    <row r="96" spans="1:13">
      <c r="A96" s="112">
        <v>93</v>
      </c>
      <c r="B96" s="107">
        <v>41774</v>
      </c>
      <c r="C96" s="108">
        <v>101.74</v>
      </c>
      <c r="D96" s="115">
        <f t="shared" si="14"/>
        <v>101.40599999999999</v>
      </c>
      <c r="E96" s="115">
        <f t="shared" si="10"/>
        <v>0.33400000000000318</v>
      </c>
      <c r="F96" s="115">
        <f t="shared" si="11"/>
        <v>0.33400000000000318</v>
      </c>
      <c r="G96" s="115">
        <f t="shared" si="12"/>
        <v>0.11155600000000213</v>
      </c>
      <c r="H96" s="115">
        <f t="shared" si="13"/>
        <v>3.282877924120338E-3</v>
      </c>
      <c r="I96" s="116">
        <f t="shared" si="6"/>
        <v>101.16220000000001</v>
      </c>
      <c r="J96" s="116">
        <f t="shared" si="7"/>
        <v>0.57779999999998211</v>
      </c>
      <c r="K96" s="116">
        <f t="shared" si="8"/>
        <v>0.57779999999998211</v>
      </c>
      <c r="L96" s="116">
        <f t="shared" si="9"/>
        <v>0.33385283999997933</v>
      </c>
      <c r="M96" s="117">
        <f t="shared" si="5"/>
        <v>5.6791822292115409E-3</v>
      </c>
    </row>
    <row r="97" spans="1:13">
      <c r="A97" s="112">
        <v>94</v>
      </c>
      <c r="B97" s="113">
        <v>41775</v>
      </c>
      <c r="C97" s="114">
        <v>102.31</v>
      </c>
      <c r="D97" s="115">
        <f t="shared" si="14"/>
        <v>101.30749999999999</v>
      </c>
      <c r="E97" s="115">
        <f t="shared" si="10"/>
        <v>1.0025000000000119</v>
      </c>
      <c r="F97" s="115">
        <f t="shared" si="11"/>
        <v>1.0025000000000119</v>
      </c>
      <c r="G97" s="115">
        <f t="shared" si="12"/>
        <v>1.0050062500000239</v>
      </c>
      <c r="H97" s="115">
        <f t="shared" si="13"/>
        <v>9.7986511582446676E-3</v>
      </c>
      <c r="I97" s="116">
        <f t="shared" si="6"/>
        <v>101.16200000000001</v>
      </c>
      <c r="J97" s="116">
        <f t="shared" si="7"/>
        <v>1.1479999999999961</v>
      </c>
      <c r="K97" s="116">
        <f t="shared" si="8"/>
        <v>1.1479999999999961</v>
      </c>
      <c r="L97" s="116">
        <f t="shared" si="9"/>
        <v>1.3179039999999911</v>
      </c>
      <c r="M97" s="117">
        <f t="shared" si="5"/>
        <v>1.1220799530837612E-2</v>
      </c>
    </row>
    <row r="98" spans="1:13">
      <c r="A98" s="112">
        <v>95</v>
      </c>
      <c r="B98" s="107">
        <v>41778</v>
      </c>
      <c r="C98" s="108">
        <v>102.95</v>
      </c>
      <c r="D98" s="115">
        <f t="shared" si="14"/>
        <v>101.20649999999999</v>
      </c>
      <c r="E98" s="115">
        <f t="shared" si="10"/>
        <v>1.7435000000000116</v>
      </c>
      <c r="F98" s="115">
        <f t="shared" si="11"/>
        <v>1.7435000000000116</v>
      </c>
      <c r="G98" s="115">
        <f t="shared" si="12"/>
        <v>3.0397922500000405</v>
      </c>
      <c r="H98" s="115">
        <f t="shared" si="13"/>
        <v>1.6935405536668398E-2</v>
      </c>
      <c r="I98" s="116">
        <f t="shared" si="6"/>
        <v>101.17180000000002</v>
      </c>
      <c r="J98" s="116">
        <f t="shared" si="7"/>
        <v>1.778199999999984</v>
      </c>
      <c r="K98" s="116">
        <f t="shared" si="8"/>
        <v>1.778199999999984</v>
      </c>
      <c r="L98" s="116">
        <f t="shared" si="9"/>
        <v>3.1619952399999431</v>
      </c>
      <c r="M98" s="117">
        <f t="shared" si="5"/>
        <v>1.7272462360368956E-2</v>
      </c>
    </row>
    <row r="99" spans="1:13">
      <c r="A99" s="112">
        <v>96</v>
      </c>
      <c r="B99" s="113">
        <v>41779</v>
      </c>
      <c r="C99" s="114">
        <v>102.8</v>
      </c>
      <c r="D99" s="115">
        <f t="shared" si="14"/>
        <v>101.1365</v>
      </c>
      <c r="E99" s="115">
        <f t="shared" si="10"/>
        <v>1.6634999999999991</v>
      </c>
      <c r="F99" s="115">
        <f t="shared" si="11"/>
        <v>1.6634999999999991</v>
      </c>
      <c r="G99" s="115">
        <f t="shared" si="12"/>
        <v>2.7672322499999971</v>
      </c>
      <c r="H99" s="115">
        <f t="shared" si="13"/>
        <v>1.6181906614785985E-2</v>
      </c>
      <c r="I99" s="116">
        <f t="shared" si="6"/>
        <v>101.17440000000002</v>
      </c>
      <c r="J99" s="116">
        <f t="shared" si="7"/>
        <v>1.6255999999999773</v>
      </c>
      <c r="K99" s="116">
        <f t="shared" si="8"/>
        <v>1.6255999999999773</v>
      </c>
      <c r="L99" s="116">
        <f t="shared" si="9"/>
        <v>2.6425753599999262</v>
      </c>
      <c r="M99" s="117">
        <f t="shared" si="5"/>
        <v>1.5813229571984215E-2</v>
      </c>
    </row>
    <row r="100" spans="1:13">
      <c r="A100" s="112">
        <v>97</v>
      </c>
      <c r="B100" s="107">
        <v>41780</v>
      </c>
      <c r="C100" s="108">
        <v>104.31</v>
      </c>
      <c r="D100" s="115">
        <f t="shared" si="14"/>
        <v>101.19199999999999</v>
      </c>
      <c r="E100" s="115">
        <f t="shared" si="10"/>
        <v>3.1180000000000092</v>
      </c>
      <c r="F100" s="115">
        <f t="shared" si="11"/>
        <v>3.1180000000000092</v>
      </c>
      <c r="G100" s="115">
        <f t="shared" si="12"/>
        <v>9.7219240000000582</v>
      </c>
      <c r="H100" s="115">
        <f t="shared" si="13"/>
        <v>2.9891669063368893E-2</v>
      </c>
      <c r="I100" s="116">
        <f t="shared" si="6"/>
        <v>101.20260000000002</v>
      </c>
      <c r="J100" s="116">
        <f t="shared" si="7"/>
        <v>3.1073999999999842</v>
      </c>
      <c r="K100" s="116">
        <f t="shared" si="8"/>
        <v>3.1073999999999842</v>
      </c>
      <c r="L100" s="116">
        <f t="shared" si="9"/>
        <v>9.6559347599999015</v>
      </c>
      <c r="M100" s="117">
        <f t="shared" si="5"/>
        <v>2.9790048892723461E-2</v>
      </c>
    </row>
    <row r="101" spans="1:13">
      <c r="A101" s="112">
        <v>98</v>
      </c>
      <c r="B101" s="113">
        <v>41781</v>
      </c>
      <c r="C101" s="114">
        <v>104.03</v>
      </c>
      <c r="D101" s="115">
        <f t="shared" si="14"/>
        <v>101.334</v>
      </c>
      <c r="E101" s="115">
        <f t="shared" si="10"/>
        <v>2.695999999999998</v>
      </c>
      <c r="F101" s="115">
        <f t="shared" si="11"/>
        <v>2.695999999999998</v>
      </c>
      <c r="G101" s="115">
        <f t="shared" si="12"/>
        <v>7.2684159999999887</v>
      </c>
      <c r="H101" s="115">
        <f t="shared" si="13"/>
        <v>2.5915601268864729E-2</v>
      </c>
      <c r="I101" s="116">
        <f t="shared" si="6"/>
        <v>101.28300000000002</v>
      </c>
      <c r="J101" s="116">
        <f t="shared" si="7"/>
        <v>2.7469999999999857</v>
      </c>
      <c r="K101" s="116">
        <f t="shared" si="8"/>
        <v>2.7469999999999857</v>
      </c>
      <c r="L101" s="116">
        <f t="shared" si="9"/>
        <v>7.5460089999999216</v>
      </c>
      <c r="M101" s="117">
        <f t="shared" si="5"/>
        <v>2.6405844467941801E-2</v>
      </c>
    </row>
    <row r="102" spans="1:13">
      <c r="A102" s="112">
        <v>99</v>
      </c>
      <c r="B102" s="107">
        <v>41782</v>
      </c>
      <c r="C102" s="108">
        <v>105.01</v>
      </c>
      <c r="D102" s="115">
        <f t="shared" si="14"/>
        <v>101.42549999999999</v>
      </c>
      <c r="E102" s="115">
        <f t="shared" si="10"/>
        <v>3.5845000000000198</v>
      </c>
      <c r="F102" s="115">
        <f t="shared" si="11"/>
        <v>3.5845000000000198</v>
      </c>
      <c r="G102" s="115">
        <f t="shared" si="12"/>
        <v>12.848640250000141</v>
      </c>
      <c r="H102" s="115">
        <f t="shared" si="13"/>
        <v>3.4134844300542991E-2</v>
      </c>
      <c r="I102" s="116">
        <f t="shared" si="6"/>
        <v>101.3978</v>
      </c>
      <c r="J102" s="116">
        <f t="shared" si="7"/>
        <v>3.6122000000000014</v>
      </c>
      <c r="K102" s="116">
        <f t="shared" si="8"/>
        <v>3.6122000000000014</v>
      </c>
      <c r="L102" s="116">
        <f t="shared" si="9"/>
        <v>13.047988840000011</v>
      </c>
      <c r="M102" s="117">
        <f t="shared" si="5"/>
        <v>3.4398628702028387E-2</v>
      </c>
    </row>
    <row r="103" spans="1:13">
      <c r="A103" s="112">
        <v>100</v>
      </c>
      <c r="B103" s="113">
        <v>41786</v>
      </c>
      <c r="C103" s="114">
        <v>104.78</v>
      </c>
      <c r="D103" s="115">
        <f t="shared" si="14"/>
        <v>101.6335</v>
      </c>
      <c r="E103" s="115">
        <f t="shared" si="10"/>
        <v>3.1465000000000032</v>
      </c>
      <c r="F103" s="115">
        <f t="shared" si="11"/>
        <v>3.1465000000000032</v>
      </c>
      <c r="G103" s="115">
        <f t="shared" si="12"/>
        <v>9.9004622500000199</v>
      </c>
      <c r="H103" s="115">
        <f t="shared" si="13"/>
        <v>3.0029585798816597E-2</v>
      </c>
      <c r="I103" s="116">
        <f t="shared" si="6"/>
        <v>101.5266</v>
      </c>
      <c r="J103" s="116">
        <f t="shared" si="7"/>
        <v>3.2533999999999992</v>
      </c>
      <c r="K103" s="116">
        <f t="shared" si="8"/>
        <v>3.2533999999999992</v>
      </c>
      <c r="L103" s="116">
        <f t="shared" si="9"/>
        <v>10.584611559999995</v>
      </c>
      <c r="M103" s="117">
        <f t="shared" si="5"/>
        <v>3.1049818667684664E-2</v>
      </c>
    </row>
    <row r="104" spans="1:13">
      <c r="A104" s="112">
        <v>101</v>
      </c>
      <c r="B104" s="107">
        <v>41787</v>
      </c>
      <c r="C104" s="108">
        <v>103.37</v>
      </c>
      <c r="D104" s="115">
        <f t="shared" si="14"/>
        <v>101.81599999999999</v>
      </c>
      <c r="E104" s="115">
        <f t="shared" si="10"/>
        <v>1.5540000000000163</v>
      </c>
      <c r="F104" s="115">
        <f t="shared" si="11"/>
        <v>1.5540000000000163</v>
      </c>
      <c r="G104" s="115">
        <f t="shared" si="12"/>
        <v>2.4149160000000505</v>
      </c>
      <c r="H104" s="115">
        <f t="shared" si="13"/>
        <v>1.5033375253942306E-2</v>
      </c>
      <c r="I104" s="116">
        <f t="shared" si="6"/>
        <v>101.63760000000001</v>
      </c>
      <c r="J104" s="116">
        <f t="shared" si="7"/>
        <v>1.7323999999999984</v>
      </c>
      <c r="K104" s="116">
        <f t="shared" si="8"/>
        <v>1.7323999999999984</v>
      </c>
      <c r="L104" s="116">
        <f t="shared" si="9"/>
        <v>3.0012097599999943</v>
      </c>
      <c r="M104" s="117">
        <f t="shared" si="5"/>
        <v>1.6759214472284012E-2</v>
      </c>
    </row>
    <row r="105" spans="1:13">
      <c r="A105" s="112">
        <v>102</v>
      </c>
      <c r="B105" s="113">
        <v>41788</v>
      </c>
      <c r="C105" s="114">
        <v>104.26</v>
      </c>
      <c r="D105" s="115">
        <f t="shared" si="14"/>
        <v>101.90649999999998</v>
      </c>
      <c r="E105" s="115">
        <f t="shared" si="10"/>
        <v>2.3535000000000252</v>
      </c>
      <c r="F105" s="115">
        <f t="shared" si="11"/>
        <v>2.3535000000000252</v>
      </c>
      <c r="G105" s="115">
        <f t="shared" si="12"/>
        <v>5.538962250000119</v>
      </c>
      <c r="H105" s="115">
        <f t="shared" si="13"/>
        <v>2.2573374256666268E-2</v>
      </c>
      <c r="I105" s="116">
        <f t="shared" si="6"/>
        <v>101.73639999999999</v>
      </c>
      <c r="J105" s="116">
        <f t="shared" si="7"/>
        <v>2.5236000000000161</v>
      </c>
      <c r="K105" s="116">
        <f t="shared" si="8"/>
        <v>2.5236000000000161</v>
      </c>
      <c r="L105" s="116">
        <f t="shared" si="9"/>
        <v>6.3685569600000811</v>
      </c>
      <c r="M105" s="117">
        <f t="shared" si="5"/>
        <v>2.4204872434299023E-2</v>
      </c>
    </row>
    <row r="106" spans="1:13">
      <c r="A106" s="112">
        <v>103</v>
      </c>
      <c r="B106" s="107">
        <v>41789</v>
      </c>
      <c r="C106" s="108">
        <v>103.4</v>
      </c>
      <c r="D106" s="115">
        <f t="shared" si="14"/>
        <v>102.116</v>
      </c>
      <c r="E106" s="115">
        <f t="shared" si="10"/>
        <v>1.284000000000006</v>
      </c>
      <c r="F106" s="115">
        <f t="shared" si="11"/>
        <v>1.284000000000006</v>
      </c>
      <c r="G106" s="115">
        <f t="shared" si="12"/>
        <v>1.6486560000000154</v>
      </c>
      <c r="H106" s="115">
        <f t="shared" si="13"/>
        <v>1.2417794970986518E-2</v>
      </c>
      <c r="I106" s="116">
        <f t="shared" si="6"/>
        <v>101.82</v>
      </c>
      <c r="J106" s="116">
        <f t="shared" si="7"/>
        <v>1.5800000000000125</v>
      </c>
      <c r="K106" s="116">
        <f t="shared" si="8"/>
        <v>1.5800000000000125</v>
      </c>
      <c r="L106" s="116">
        <f t="shared" si="9"/>
        <v>2.4964000000000395</v>
      </c>
      <c r="M106" s="117">
        <f t="shared" si="5"/>
        <v>1.5280464216634549E-2</v>
      </c>
    </row>
    <row r="107" spans="1:13">
      <c r="A107" s="112">
        <v>104</v>
      </c>
      <c r="B107" s="113">
        <v>41792</v>
      </c>
      <c r="C107" s="114">
        <v>103.07</v>
      </c>
      <c r="D107" s="115">
        <f t="shared" si="14"/>
        <v>102.3015</v>
      </c>
      <c r="E107" s="115">
        <f t="shared" si="10"/>
        <v>0.76849999999998886</v>
      </c>
      <c r="F107" s="115">
        <f t="shared" si="11"/>
        <v>0.76849999999998886</v>
      </c>
      <c r="G107" s="115">
        <f t="shared" si="12"/>
        <v>0.59059224999998283</v>
      </c>
      <c r="H107" s="115">
        <f t="shared" si="13"/>
        <v>7.4560977976131648E-3</v>
      </c>
      <c r="I107" s="116">
        <f t="shared" si="6"/>
        <v>101.87380000000002</v>
      </c>
      <c r="J107" s="116">
        <f t="shared" si="7"/>
        <v>1.1961999999999762</v>
      </c>
      <c r="K107" s="116">
        <f t="shared" si="8"/>
        <v>1.1961999999999762</v>
      </c>
      <c r="L107" s="116">
        <f t="shared" si="9"/>
        <v>1.430894439999943</v>
      </c>
      <c r="M107" s="117">
        <f t="shared" si="5"/>
        <v>1.1605704860774E-2</v>
      </c>
    </row>
    <row r="108" spans="1:13">
      <c r="A108" s="112">
        <v>105</v>
      </c>
      <c r="B108" s="107">
        <v>41793</v>
      </c>
      <c r="C108" s="108">
        <v>103.34</v>
      </c>
      <c r="D108" s="115">
        <f t="shared" si="14"/>
        <v>102.45049999999999</v>
      </c>
      <c r="E108" s="115">
        <f t="shared" si="10"/>
        <v>0.88950000000001239</v>
      </c>
      <c r="F108" s="115">
        <f t="shared" si="11"/>
        <v>0.88950000000001239</v>
      </c>
      <c r="G108" s="115">
        <f t="shared" si="12"/>
        <v>0.7912102500000221</v>
      </c>
      <c r="H108" s="115">
        <f t="shared" si="13"/>
        <v>8.6075091929554131E-3</v>
      </c>
      <c r="I108" s="116">
        <f t="shared" si="6"/>
        <v>101.94159999999999</v>
      </c>
      <c r="J108" s="116">
        <f t="shared" si="7"/>
        <v>1.3984000000000094</v>
      </c>
      <c r="K108" s="116">
        <f t="shared" si="8"/>
        <v>1.3984000000000094</v>
      </c>
      <c r="L108" s="116">
        <f t="shared" si="9"/>
        <v>1.9555225600000263</v>
      </c>
      <c r="M108" s="117">
        <f t="shared" si="5"/>
        <v>1.3532030191600633E-2</v>
      </c>
    </row>
    <row r="109" spans="1:13">
      <c r="A109" s="112">
        <v>106</v>
      </c>
      <c r="B109" s="113">
        <v>41794</v>
      </c>
      <c r="C109" s="114">
        <v>103.27</v>
      </c>
      <c r="D109" s="115">
        <f t="shared" si="14"/>
        <v>102.63050000000001</v>
      </c>
      <c r="E109" s="115">
        <f t="shared" si="10"/>
        <v>0.63949999999998397</v>
      </c>
      <c r="F109" s="115">
        <f t="shared" si="11"/>
        <v>0.63949999999998397</v>
      </c>
      <c r="G109" s="115">
        <f t="shared" si="12"/>
        <v>0.40896024999997949</v>
      </c>
      <c r="H109" s="115">
        <f t="shared" si="13"/>
        <v>6.1925050837608594E-3</v>
      </c>
      <c r="I109" s="116">
        <f t="shared" si="6"/>
        <v>102.00899999999997</v>
      </c>
      <c r="J109" s="116">
        <f t="shared" si="7"/>
        <v>1.2610000000000241</v>
      </c>
      <c r="K109" s="116">
        <f t="shared" si="8"/>
        <v>1.2610000000000241</v>
      </c>
      <c r="L109" s="116">
        <f t="shared" si="9"/>
        <v>1.5901210000000607</v>
      </c>
      <c r="M109" s="117">
        <f t="shared" si="5"/>
        <v>1.2210709789871444E-2</v>
      </c>
    </row>
    <row r="110" spans="1:13">
      <c r="A110" s="112">
        <v>107</v>
      </c>
      <c r="B110" s="107">
        <v>41795</v>
      </c>
      <c r="C110" s="108">
        <v>103.17</v>
      </c>
      <c r="D110" s="115">
        <f t="shared" si="14"/>
        <v>102.80350000000001</v>
      </c>
      <c r="E110" s="115">
        <f t="shared" si="10"/>
        <v>0.36649999999998784</v>
      </c>
      <c r="F110" s="115">
        <f t="shared" si="11"/>
        <v>0.36649999999998784</v>
      </c>
      <c r="G110" s="115">
        <f t="shared" si="12"/>
        <v>0.13432224999999109</v>
      </c>
      <c r="H110" s="115">
        <f t="shared" si="13"/>
        <v>3.5523892604438097E-3</v>
      </c>
      <c r="I110" s="116">
        <f t="shared" si="6"/>
        <v>102.07340000000001</v>
      </c>
      <c r="J110" s="116">
        <f t="shared" si="7"/>
        <v>1.0965999999999951</v>
      </c>
      <c r="K110" s="116">
        <f t="shared" si="8"/>
        <v>1.0965999999999951</v>
      </c>
      <c r="L110" s="116">
        <f t="shared" si="9"/>
        <v>1.2025315599999893</v>
      </c>
      <c r="M110" s="117">
        <f t="shared" si="5"/>
        <v>1.0629058834932589E-2</v>
      </c>
    </row>
    <row r="111" spans="1:13">
      <c r="A111" s="112">
        <v>108</v>
      </c>
      <c r="B111" s="113">
        <v>41796</v>
      </c>
      <c r="C111" s="114">
        <v>103.32</v>
      </c>
      <c r="D111" s="115">
        <f t="shared" si="14"/>
        <v>102.90899999999996</v>
      </c>
      <c r="E111" s="115">
        <f t="shared" si="10"/>
        <v>0.41100000000002979</v>
      </c>
      <c r="F111" s="115">
        <f t="shared" si="11"/>
        <v>0.41100000000002979</v>
      </c>
      <c r="G111" s="115">
        <f t="shared" si="12"/>
        <v>0.1689210000000245</v>
      </c>
      <c r="H111" s="115">
        <f t="shared" si="13"/>
        <v>3.9779326364695108E-3</v>
      </c>
      <c r="I111" s="116">
        <f t="shared" si="6"/>
        <v>102.14359999999999</v>
      </c>
      <c r="J111" s="116">
        <f t="shared" si="7"/>
        <v>1.176400000000001</v>
      </c>
      <c r="K111" s="116">
        <f t="shared" si="8"/>
        <v>1.176400000000001</v>
      </c>
      <c r="L111" s="116">
        <f t="shared" si="9"/>
        <v>1.3839169600000023</v>
      </c>
      <c r="M111" s="117">
        <f t="shared" si="5"/>
        <v>1.1385985288424324E-2</v>
      </c>
    </row>
    <row r="112" spans="1:13">
      <c r="A112" s="112">
        <v>109</v>
      </c>
      <c r="B112" s="107">
        <v>41799</v>
      </c>
      <c r="C112" s="108">
        <v>105.09</v>
      </c>
      <c r="D112" s="115">
        <f t="shared" si="14"/>
        <v>103.04900000000001</v>
      </c>
      <c r="E112" s="115">
        <f t="shared" si="10"/>
        <v>2.0409999999999968</v>
      </c>
      <c r="F112" s="115">
        <f t="shared" si="11"/>
        <v>2.0409999999999968</v>
      </c>
      <c r="G112" s="115">
        <f t="shared" si="12"/>
        <v>4.1656809999999869</v>
      </c>
      <c r="H112" s="115">
        <f t="shared" si="13"/>
        <v>1.9421448282424557E-2</v>
      </c>
      <c r="I112" s="116">
        <f t="shared" si="6"/>
        <v>102.1978</v>
      </c>
      <c r="J112" s="116">
        <f t="shared" si="7"/>
        <v>2.8922000000000025</v>
      </c>
      <c r="K112" s="116">
        <f t="shared" si="8"/>
        <v>2.8922000000000025</v>
      </c>
      <c r="L112" s="116">
        <f t="shared" si="9"/>
        <v>8.3648208400000144</v>
      </c>
      <c r="M112" s="117">
        <f t="shared" si="5"/>
        <v>2.7521172328480375E-2</v>
      </c>
    </row>
    <row r="113" spans="1:13">
      <c r="A113" s="112">
        <v>110</v>
      </c>
      <c r="B113" s="113">
        <v>41800</v>
      </c>
      <c r="C113" s="114">
        <v>105.02</v>
      </c>
      <c r="D113" s="115">
        <f t="shared" si="14"/>
        <v>103.28749999999999</v>
      </c>
      <c r="E113" s="115">
        <f t="shared" si="10"/>
        <v>1.7325000000000017</v>
      </c>
      <c r="F113" s="115">
        <f t="shared" si="11"/>
        <v>1.7325000000000017</v>
      </c>
      <c r="G113" s="115">
        <f t="shared" si="12"/>
        <v>3.0015562500000059</v>
      </c>
      <c r="H113" s="115">
        <f t="shared" si="13"/>
        <v>1.6496857741382612E-2</v>
      </c>
      <c r="I113" s="116">
        <f t="shared" si="6"/>
        <v>102.27460000000001</v>
      </c>
      <c r="J113" s="116">
        <f t="shared" si="7"/>
        <v>2.7453999999999894</v>
      </c>
      <c r="K113" s="116">
        <f t="shared" si="8"/>
        <v>2.7453999999999894</v>
      </c>
      <c r="L113" s="116">
        <f t="shared" si="9"/>
        <v>7.5372211599999419</v>
      </c>
      <c r="M113" s="117">
        <f t="shared" si="5"/>
        <v>2.6141687297657489E-2</v>
      </c>
    </row>
    <row r="114" spans="1:13">
      <c r="A114" s="112">
        <v>111</v>
      </c>
      <c r="B114" s="107">
        <v>41801</v>
      </c>
      <c r="C114" s="108">
        <v>105.04</v>
      </c>
      <c r="D114" s="115">
        <f t="shared" si="14"/>
        <v>103.494</v>
      </c>
      <c r="E114" s="115">
        <f t="shared" si="10"/>
        <v>1.5460000000000065</v>
      </c>
      <c r="F114" s="115">
        <f t="shared" si="11"/>
        <v>1.5460000000000065</v>
      </c>
      <c r="G114" s="115">
        <f t="shared" si="12"/>
        <v>2.3901160000000199</v>
      </c>
      <c r="H114" s="115">
        <f t="shared" si="13"/>
        <v>1.471820258948978E-2</v>
      </c>
      <c r="I114" s="116">
        <f t="shared" si="6"/>
        <v>102.34040000000003</v>
      </c>
      <c r="J114" s="116">
        <f t="shared" si="7"/>
        <v>2.6995999999999754</v>
      </c>
      <c r="K114" s="116">
        <f t="shared" si="8"/>
        <v>2.6995999999999754</v>
      </c>
      <c r="L114" s="116">
        <f t="shared" si="9"/>
        <v>7.2878401599998668</v>
      </c>
      <c r="M114" s="117">
        <f t="shared" si="5"/>
        <v>2.5700685453160465E-2</v>
      </c>
    </row>
    <row r="115" spans="1:13">
      <c r="A115" s="112">
        <v>112</v>
      </c>
      <c r="B115" s="113">
        <v>41802</v>
      </c>
      <c r="C115" s="114">
        <v>107.2</v>
      </c>
      <c r="D115" s="115">
        <f t="shared" si="14"/>
        <v>103.6455</v>
      </c>
      <c r="E115" s="115">
        <f t="shared" si="10"/>
        <v>3.5545000000000044</v>
      </c>
      <c r="F115" s="115">
        <f t="shared" si="11"/>
        <v>3.5545000000000044</v>
      </c>
      <c r="G115" s="115">
        <f t="shared" si="12"/>
        <v>12.634470250000032</v>
      </c>
      <c r="H115" s="115">
        <f t="shared" si="13"/>
        <v>3.3157649253731381E-2</v>
      </c>
      <c r="I115" s="116">
        <f t="shared" si="6"/>
        <v>102.40980000000002</v>
      </c>
      <c r="J115" s="116">
        <f t="shared" si="7"/>
        <v>4.7901999999999845</v>
      </c>
      <c r="K115" s="116">
        <f t="shared" si="8"/>
        <v>4.7901999999999845</v>
      </c>
      <c r="L115" s="116">
        <f t="shared" si="9"/>
        <v>22.946016039999851</v>
      </c>
      <c r="M115" s="117">
        <f t="shared" si="5"/>
        <v>4.4684701492537164E-2</v>
      </c>
    </row>
    <row r="116" spans="1:13">
      <c r="A116" s="112">
        <v>113</v>
      </c>
      <c r="B116" s="107">
        <v>41803</v>
      </c>
      <c r="C116" s="108">
        <v>107.49</v>
      </c>
      <c r="D116" s="115">
        <f t="shared" si="14"/>
        <v>103.87399999999998</v>
      </c>
      <c r="E116" s="115">
        <f t="shared" si="10"/>
        <v>3.6160000000000139</v>
      </c>
      <c r="F116" s="115">
        <f t="shared" si="11"/>
        <v>3.6160000000000139</v>
      </c>
      <c r="G116" s="115">
        <f t="shared" si="12"/>
        <v>13.0754560000001</v>
      </c>
      <c r="H116" s="115">
        <f t="shared" si="13"/>
        <v>3.3640338636152331E-2</v>
      </c>
      <c r="I116" s="116">
        <f t="shared" si="6"/>
        <v>102.56</v>
      </c>
      <c r="J116" s="116">
        <f t="shared" si="7"/>
        <v>4.9299999999999926</v>
      </c>
      <c r="K116" s="116">
        <f t="shared" si="8"/>
        <v>4.9299999999999926</v>
      </c>
      <c r="L116" s="116">
        <f t="shared" si="9"/>
        <v>24.304899999999929</v>
      </c>
      <c r="M116" s="117">
        <f t="shared" si="5"/>
        <v>4.5864731602939739E-2</v>
      </c>
    </row>
    <row r="117" spans="1:13">
      <c r="A117" s="112">
        <v>114</v>
      </c>
      <c r="B117" s="113">
        <v>41806</v>
      </c>
      <c r="C117" s="114">
        <v>107.52</v>
      </c>
      <c r="D117" s="115">
        <f t="shared" si="14"/>
        <v>104.16149999999998</v>
      </c>
      <c r="E117" s="115">
        <f t="shared" si="10"/>
        <v>3.3585000000000207</v>
      </c>
      <c r="F117" s="115">
        <f t="shared" si="11"/>
        <v>3.3585000000000207</v>
      </c>
      <c r="G117" s="115">
        <f t="shared" si="12"/>
        <v>11.27952225000014</v>
      </c>
      <c r="H117" s="115">
        <f t="shared" si="13"/>
        <v>3.123604910714305E-2</v>
      </c>
      <c r="I117" s="116">
        <f t="shared" si="6"/>
        <v>102.71780000000001</v>
      </c>
      <c r="J117" s="116">
        <f t="shared" si="7"/>
        <v>4.8021999999999849</v>
      </c>
      <c r="K117" s="116">
        <f t="shared" si="8"/>
        <v>4.8021999999999849</v>
      </c>
      <c r="L117" s="116">
        <f t="shared" si="9"/>
        <v>23.061124839999856</v>
      </c>
      <c r="M117" s="117">
        <f t="shared" si="5"/>
        <v>4.4663318452380814E-2</v>
      </c>
    </row>
    <row r="118" spans="1:13">
      <c r="A118" s="112">
        <v>115</v>
      </c>
      <c r="B118" s="107">
        <v>41807</v>
      </c>
      <c r="C118" s="108">
        <v>106.95</v>
      </c>
      <c r="D118" s="115">
        <f t="shared" si="14"/>
        <v>104.422</v>
      </c>
      <c r="E118" s="115">
        <f t="shared" si="10"/>
        <v>2.5280000000000058</v>
      </c>
      <c r="F118" s="115">
        <f t="shared" si="11"/>
        <v>2.5280000000000058</v>
      </c>
      <c r="G118" s="115">
        <f t="shared" si="12"/>
        <v>6.3907840000000293</v>
      </c>
      <c r="H118" s="115">
        <f t="shared" si="13"/>
        <v>2.3637213651238949E-2</v>
      </c>
      <c r="I118" s="116">
        <f t="shared" si="6"/>
        <v>102.86240000000002</v>
      </c>
      <c r="J118" s="116">
        <f t="shared" si="7"/>
        <v>4.0875999999999806</v>
      </c>
      <c r="K118" s="116">
        <f t="shared" si="8"/>
        <v>4.0875999999999806</v>
      </c>
      <c r="L118" s="116">
        <f t="shared" si="9"/>
        <v>16.708473759999841</v>
      </c>
      <c r="M118" s="117">
        <f t="shared" si="5"/>
        <v>3.8219728845254611E-2</v>
      </c>
    </row>
    <row r="119" spans="1:13">
      <c r="A119" s="112">
        <v>116</v>
      </c>
      <c r="B119" s="113">
        <v>41808</v>
      </c>
      <c r="C119" s="114">
        <v>106.64</v>
      </c>
      <c r="D119" s="115">
        <f t="shared" si="14"/>
        <v>104.62199999999999</v>
      </c>
      <c r="E119" s="115">
        <f t="shared" si="10"/>
        <v>2.0180000000000149</v>
      </c>
      <c r="F119" s="115">
        <f t="shared" si="11"/>
        <v>2.0180000000000149</v>
      </c>
      <c r="G119" s="115">
        <f t="shared" si="12"/>
        <v>4.0723240000000605</v>
      </c>
      <c r="H119" s="115">
        <f t="shared" si="13"/>
        <v>1.8923480870217693E-2</v>
      </c>
      <c r="I119" s="116">
        <f t="shared" si="6"/>
        <v>102.97820000000003</v>
      </c>
      <c r="J119" s="116">
        <f t="shared" si="7"/>
        <v>3.6617999999999711</v>
      </c>
      <c r="K119" s="116">
        <f t="shared" si="8"/>
        <v>3.6617999999999711</v>
      </c>
      <c r="L119" s="116">
        <f t="shared" si="9"/>
        <v>13.408779239999788</v>
      </c>
      <c r="M119" s="117">
        <f t="shared" ref="M119:M182" si="15">J119/C119</f>
        <v>3.43379594898722E-2</v>
      </c>
    </row>
    <row r="120" spans="1:13">
      <c r="A120" s="112">
        <v>117</v>
      </c>
      <c r="B120" s="107">
        <v>41809</v>
      </c>
      <c r="C120" s="108">
        <v>107.08</v>
      </c>
      <c r="D120" s="115">
        <f t="shared" si="14"/>
        <v>104.81400000000001</v>
      </c>
      <c r="E120" s="115">
        <f t="shared" si="10"/>
        <v>2.2659999999999911</v>
      </c>
      <c r="F120" s="115">
        <f t="shared" si="11"/>
        <v>2.2659999999999911</v>
      </c>
      <c r="G120" s="115">
        <f t="shared" si="12"/>
        <v>5.1347559999999595</v>
      </c>
      <c r="H120" s="115">
        <f t="shared" si="13"/>
        <v>2.1161748225625616E-2</v>
      </c>
      <c r="I120" s="116">
        <f t="shared" ref="I120:I183" si="16">AVERAGE(C70:C119)</f>
        <v>103.10240000000003</v>
      </c>
      <c r="J120" s="116">
        <f t="shared" ref="J120:J183" si="17">C120-I120</f>
        <v>3.9775999999999669</v>
      </c>
      <c r="K120" s="116">
        <f t="shared" ref="K120:K183" si="18">ABS(J120)</f>
        <v>3.9775999999999669</v>
      </c>
      <c r="L120" s="116">
        <f t="shared" ref="L120:L183" si="19">J120^2</f>
        <v>15.821301759999738</v>
      </c>
      <c r="M120" s="117">
        <f t="shared" si="15"/>
        <v>3.7146059021292185E-2</v>
      </c>
    </row>
    <row r="121" spans="1:13">
      <c r="A121" s="112">
        <v>118</v>
      </c>
      <c r="B121" s="113">
        <v>41810</v>
      </c>
      <c r="C121" s="114">
        <v>107.95</v>
      </c>
      <c r="D121" s="115">
        <f t="shared" si="14"/>
        <v>104.95250000000001</v>
      </c>
      <c r="E121" s="115">
        <f t="shared" si="10"/>
        <v>2.9974999999999881</v>
      </c>
      <c r="F121" s="115">
        <f t="shared" si="11"/>
        <v>2.9974999999999881</v>
      </c>
      <c r="G121" s="115">
        <f t="shared" si="12"/>
        <v>8.9850062499999286</v>
      </c>
      <c r="H121" s="115">
        <f t="shared" si="13"/>
        <v>2.7767484946734488E-2</v>
      </c>
      <c r="I121" s="116">
        <f t="shared" si="16"/>
        <v>103.19260000000003</v>
      </c>
      <c r="J121" s="116">
        <f t="shared" si="17"/>
        <v>4.7573999999999756</v>
      </c>
      <c r="K121" s="116">
        <f t="shared" si="18"/>
        <v>4.7573999999999756</v>
      </c>
      <c r="L121" s="116">
        <f t="shared" si="19"/>
        <v>22.63285475999977</v>
      </c>
      <c r="M121" s="117">
        <f t="shared" si="15"/>
        <v>4.4070402964335113E-2</v>
      </c>
    </row>
    <row r="122" spans="1:13">
      <c r="A122" s="112">
        <v>119</v>
      </c>
      <c r="B122" s="107">
        <v>41813</v>
      </c>
      <c r="C122" s="108">
        <v>106.83</v>
      </c>
      <c r="D122" s="115">
        <f t="shared" si="14"/>
        <v>105.14849999999998</v>
      </c>
      <c r="E122" s="115">
        <f t="shared" si="10"/>
        <v>1.681500000000014</v>
      </c>
      <c r="F122" s="115">
        <f t="shared" si="11"/>
        <v>1.681500000000014</v>
      </c>
      <c r="G122" s="115">
        <f t="shared" si="12"/>
        <v>2.8274422500000469</v>
      </c>
      <c r="H122" s="115">
        <f t="shared" si="13"/>
        <v>1.5739960685200918E-2</v>
      </c>
      <c r="I122" s="116">
        <f t="shared" si="16"/>
        <v>103.28060000000004</v>
      </c>
      <c r="J122" s="116">
        <f t="shared" si="17"/>
        <v>3.549399999999963</v>
      </c>
      <c r="K122" s="116">
        <f t="shared" si="18"/>
        <v>3.549399999999963</v>
      </c>
      <c r="L122" s="116">
        <f t="shared" si="19"/>
        <v>12.598240359999737</v>
      </c>
      <c r="M122" s="117">
        <f t="shared" si="15"/>
        <v>3.3224749602171331E-2</v>
      </c>
    </row>
    <row r="123" spans="1:13">
      <c r="A123" s="112">
        <v>120</v>
      </c>
      <c r="B123" s="113">
        <v>41814</v>
      </c>
      <c r="C123" s="114">
        <v>106.64</v>
      </c>
      <c r="D123" s="115">
        <f t="shared" si="14"/>
        <v>105.23949999999999</v>
      </c>
      <c r="E123" s="115">
        <f t="shared" si="10"/>
        <v>1.4005000000000081</v>
      </c>
      <c r="F123" s="115">
        <f t="shared" si="11"/>
        <v>1.4005000000000081</v>
      </c>
      <c r="G123" s="115">
        <f t="shared" si="12"/>
        <v>1.9614002500000227</v>
      </c>
      <c r="H123" s="115">
        <f t="shared" si="13"/>
        <v>1.3132970742685747E-2</v>
      </c>
      <c r="I123" s="116">
        <f t="shared" si="16"/>
        <v>103.34980000000002</v>
      </c>
      <c r="J123" s="116">
        <f t="shared" si="17"/>
        <v>3.2901999999999845</v>
      </c>
      <c r="K123" s="116">
        <f t="shared" si="18"/>
        <v>3.2901999999999845</v>
      </c>
      <c r="L123" s="116">
        <f t="shared" si="19"/>
        <v>10.825416039999897</v>
      </c>
      <c r="M123" s="117">
        <f t="shared" si="15"/>
        <v>3.0853338334583501E-2</v>
      </c>
    </row>
    <row r="124" spans="1:13">
      <c r="A124" s="112">
        <v>121</v>
      </c>
      <c r="B124" s="107">
        <v>41815</v>
      </c>
      <c r="C124" s="108">
        <v>107.04</v>
      </c>
      <c r="D124" s="115">
        <f t="shared" si="14"/>
        <v>105.33250000000001</v>
      </c>
      <c r="E124" s="115">
        <f t="shared" si="10"/>
        <v>1.707499999999996</v>
      </c>
      <c r="F124" s="115">
        <f t="shared" si="11"/>
        <v>1.707499999999996</v>
      </c>
      <c r="G124" s="115">
        <f t="shared" si="12"/>
        <v>2.9155562499999865</v>
      </c>
      <c r="H124" s="115">
        <f t="shared" si="13"/>
        <v>1.595198056801192E-2</v>
      </c>
      <c r="I124" s="116">
        <f t="shared" si="16"/>
        <v>103.40900000000003</v>
      </c>
      <c r="J124" s="116">
        <f t="shared" si="17"/>
        <v>3.6309999999999718</v>
      </c>
      <c r="K124" s="116">
        <f t="shared" si="18"/>
        <v>3.6309999999999718</v>
      </c>
      <c r="L124" s="116">
        <f t="shared" si="19"/>
        <v>13.184160999999795</v>
      </c>
      <c r="M124" s="117">
        <f t="shared" si="15"/>
        <v>3.3921898355754591E-2</v>
      </c>
    </row>
    <row r="125" spans="1:13">
      <c r="A125" s="112">
        <v>122</v>
      </c>
      <c r="B125" s="113">
        <v>41816</v>
      </c>
      <c r="C125" s="114">
        <v>106.49</v>
      </c>
      <c r="D125" s="115">
        <f t="shared" si="14"/>
        <v>105.51600000000001</v>
      </c>
      <c r="E125" s="115">
        <f t="shared" si="10"/>
        <v>0.97399999999998954</v>
      </c>
      <c r="F125" s="115">
        <f t="shared" si="11"/>
        <v>0.97399999999998954</v>
      </c>
      <c r="G125" s="115">
        <f t="shared" si="12"/>
        <v>0.94867599999997965</v>
      </c>
      <c r="H125" s="115">
        <f t="shared" si="13"/>
        <v>9.146398722884681E-3</v>
      </c>
      <c r="I125" s="116">
        <f t="shared" si="16"/>
        <v>103.46880000000003</v>
      </c>
      <c r="J125" s="116">
        <f t="shared" si="17"/>
        <v>3.0211999999999648</v>
      </c>
      <c r="K125" s="116">
        <f t="shared" si="18"/>
        <v>3.0211999999999648</v>
      </c>
      <c r="L125" s="116">
        <f t="shared" si="19"/>
        <v>9.1276494399997876</v>
      </c>
      <c r="M125" s="117">
        <f t="shared" si="15"/>
        <v>2.8370739036528921E-2</v>
      </c>
    </row>
    <row r="126" spans="1:13">
      <c r="A126" s="112">
        <v>123</v>
      </c>
      <c r="B126" s="107">
        <v>41817</v>
      </c>
      <c r="C126" s="108">
        <v>106.46</v>
      </c>
      <c r="D126" s="115">
        <f t="shared" si="14"/>
        <v>105.62749999999998</v>
      </c>
      <c r="E126" s="115">
        <f t="shared" si="10"/>
        <v>0.83250000000001023</v>
      </c>
      <c r="F126" s="115">
        <f t="shared" si="11"/>
        <v>0.83250000000001023</v>
      </c>
      <c r="G126" s="115">
        <f t="shared" si="12"/>
        <v>0.69305625000001703</v>
      </c>
      <c r="H126" s="115">
        <f t="shared" si="13"/>
        <v>7.8198384369717287E-3</v>
      </c>
      <c r="I126" s="116">
        <f t="shared" si="16"/>
        <v>103.52460000000002</v>
      </c>
      <c r="J126" s="116">
        <f t="shared" si="17"/>
        <v>2.9353999999999729</v>
      </c>
      <c r="K126" s="116">
        <f t="shared" si="18"/>
        <v>2.9353999999999729</v>
      </c>
      <c r="L126" s="116">
        <f t="shared" si="19"/>
        <v>8.6165731599998416</v>
      </c>
      <c r="M126" s="117">
        <f t="shared" si="15"/>
        <v>2.7572797294758342E-2</v>
      </c>
    </row>
    <row r="127" spans="1:13">
      <c r="A127" s="112">
        <v>124</v>
      </c>
      <c r="B127" s="113">
        <v>41820</v>
      </c>
      <c r="C127" s="114">
        <v>106.07</v>
      </c>
      <c r="D127" s="115">
        <f t="shared" si="14"/>
        <v>105.7805</v>
      </c>
      <c r="E127" s="115">
        <f t="shared" si="10"/>
        <v>0.28949999999998965</v>
      </c>
      <c r="F127" s="115">
        <f t="shared" si="11"/>
        <v>0.28949999999998965</v>
      </c>
      <c r="G127" s="115">
        <f t="shared" si="12"/>
        <v>8.3810249999994008E-2</v>
      </c>
      <c r="H127" s="115">
        <f t="shared" si="13"/>
        <v>2.7293296879418276E-3</v>
      </c>
      <c r="I127" s="116">
        <f t="shared" si="16"/>
        <v>103.57960000000003</v>
      </c>
      <c r="J127" s="116">
        <f t="shared" si="17"/>
        <v>2.4903999999999655</v>
      </c>
      <c r="K127" s="116">
        <f t="shared" si="18"/>
        <v>2.4903999999999655</v>
      </c>
      <c r="L127" s="116">
        <f t="shared" si="19"/>
        <v>6.202092159999828</v>
      </c>
      <c r="M127" s="117">
        <f t="shared" si="15"/>
        <v>2.3478834731780578E-2</v>
      </c>
    </row>
    <row r="128" spans="1:13">
      <c r="A128" s="112">
        <v>125</v>
      </c>
      <c r="B128" s="107">
        <v>41821</v>
      </c>
      <c r="C128" s="108">
        <v>106.06</v>
      </c>
      <c r="D128" s="115">
        <f t="shared" si="14"/>
        <v>105.93050000000001</v>
      </c>
      <c r="E128" s="115">
        <f t="shared" si="10"/>
        <v>0.12949999999999307</v>
      </c>
      <c r="F128" s="115">
        <f t="shared" si="11"/>
        <v>0.12949999999999307</v>
      </c>
      <c r="G128" s="115">
        <f t="shared" si="12"/>
        <v>1.6770249999998203E-2</v>
      </c>
      <c r="H128" s="115">
        <f t="shared" si="13"/>
        <v>1.2210069771826614E-3</v>
      </c>
      <c r="I128" s="116">
        <f t="shared" si="16"/>
        <v>103.61440000000002</v>
      </c>
      <c r="J128" s="116">
        <f t="shared" si="17"/>
        <v>2.4455999999999847</v>
      </c>
      <c r="K128" s="116">
        <f t="shared" si="18"/>
        <v>2.4455999999999847</v>
      </c>
      <c r="L128" s="116">
        <f t="shared" si="19"/>
        <v>5.9809593599999253</v>
      </c>
      <c r="M128" s="117">
        <f t="shared" si="15"/>
        <v>2.3058646049405853E-2</v>
      </c>
    </row>
    <row r="129" spans="1:13">
      <c r="A129" s="112">
        <v>126</v>
      </c>
      <c r="B129" s="113">
        <v>41822</v>
      </c>
      <c r="C129" s="114">
        <v>105.18</v>
      </c>
      <c r="D129" s="115">
        <f t="shared" si="14"/>
        <v>106.06649999999999</v>
      </c>
      <c r="E129" s="115">
        <f t="shared" si="10"/>
        <v>-0.88649999999998386</v>
      </c>
      <c r="F129" s="115">
        <f t="shared" si="11"/>
        <v>0.88649999999998386</v>
      </c>
      <c r="G129" s="115">
        <f t="shared" si="12"/>
        <v>0.78588224999997136</v>
      </c>
      <c r="H129" s="115">
        <f t="shared" si="13"/>
        <v>8.4284084426695556E-3</v>
      </c>
      <c r="I129" s="116">
        <f t="shared" si="16"/>
        <v>103.64860000000003</v>
      </c>
      <c r="J129" s="116">
        <f t="shared" si="17"/>
        <v>1.5313999999999766</v>
      </c>
      <c r="K129" s="116">
        <f t="shared" si="18"/>
        <v>1.5313999999999766</v>
      </c>
      <c r="L129" s="116">
        <f t="shared" si="19"/>
        <v>2.3451859599999283</v>
      </c>
      <c r="M129" s="117">
        <f t="shared" si="15"/>
        <v>1.4559802243772357E-2</v>
      </c>
    </row>
    <row r="130" spans="1:13">
      <c r="A130" s="112">
        <v>127</v>
      </c>
      <c r="B130" s="107">
        <v>41823</v>
      </c>
      <c r="C130" s="108">
        <v>104.76</v>
      </c>
      <c r="D130" s="115">
        <f t="shared" si="14"/>
        <v>106.16199999999999</v>
      </c>
      <c r="E130" s="115">
        <f t="shared" si="10"/>
        <v>-1.4019999999999868</v>
      </c>
      <c r="F130" s="115">
        <f t="shared" si="11"/>
        <v>1.4019999999999868</v>
      </c>
      <c r="G130" s="115">
        <f t="shared" si="12"/>
        <v>1.965603999999963</v>
      </c>
      <c r="H130" s="115">
        <f t="shared" si="13"/>
        <v>1.3382970599465319E-2</v>
      </c>
      <c r="I130" s="116">
        <f t="shared" si="16"/>
        <v>103.71840000000002</v>
      </c>
      <c r="J130" s="116">
        <f t="shared" si="17"/>
        <v>1.0415999999999883</v>
      </c>
      <c r="K130" s="116">
        <f t="shared" si="18"/>
        <v>1.0415999999999883</v>
      </c>
      <c r="L130" s="116">
        <f t="shared" si="19"/>
        <v>1.0849305599999757</v>
      </c>
      <c r="M130" s="117">
        <f t="shared" si="15"/>
        <v>9.9427262313859129E-3</v>
      </c>
    </row>
    <row r="131" spans="1:13">
      <c r="A131" s="112">
        <v>128</v>
      </c>
      <c r="B131" s="113">
        <v>41827</v>
      </c>
      <c r="C131" s="114">
        <v>104.19</v>
      </c>
      <c r="D131" s="115">
        <f t="shared" si="14"/>
        <v>106.24150000000002</v>
      </c>
      <c r="E131" s="115">
        <f t="shared" si="10"/>
        <v>-2.0515000000000185</v>
      </c>
      <c r="F131" s="115">
        <f t="shared" si="11"/>
        <v>2.0515000000000185</v>
      </c>
      <c r="G131" s="115">
        <f t="shared" si="12"/>
        <v>4.2086522500000756</v>
      </c>
      <c r="H131" s="115">
        <f t="shared" si="13"/>
        <v>1.9689989442365087E-2</v>
      </c>
      <c r="I131" s="116">
        <f t="shared" si="16"/>
        <v>103.78420000000001</v>
      </c>
      <c r="J131" s="116">
        <f t="shared" si="17"/>
        <v>0.40579999999998506</v>
      </c>
      <c r="K131" s="116">
        <f t="shared" si="18"/>
        <v>0.40579999999998506</v>
      </c>
      <c r="L131" s="116">
        <f t="shared" si="19"/>
        <v>0.16467363999998788</v>
      </c>
      <c r="M131" s="117">
        <f t="shared" si="15"/>
        <v>3.894807563105721E-3</v>
      </c>
    </row>
    <row r="132" spans="1:13">
      <c r="A132" s="112">
        <v>129</v>
      </c>
      <c r="B132" s="107">
        <v>41828</v>
      </c>
      <c r="C132" s="108">
        <v>104.06</v>
      </c>
      <c r="D132" s="115">
        <f t="shared" si="14"/>
        <v>106.285</v>
      </c>
      <c r="E132" s="115">
        <f t="shared" si="10"/>
        <v>-2.2249999999999943</v>
      </c>
      <c r="F132" s="115">
        <f t="shared" si="11"/>
        <v>2.2249999999999943</v>
      </c>
      <c r="G132" s="115">
        <f t="shared" si="12"/>
        <v>4.9506249999999747</v>
      </c>
      <c r="H132" s="115">
        <f t="shared" si="13"/>
        <v>2.1381895060541941E-2</v>
      </c>
      <c r="I132" s="116">
        <f t="shared" si="16"/>
        <v>103.82400000000001</v>
      </c>
      <c r="J132" s="116">
        <f t="shared" si="17"/>
        <v>0.23599999999999</v>
      </c>
      <c r="K132" s="116">
        <f t="shared" si="18"/>
        <v>0.23599999999999</v>
      </c>
      <c r="L132" s="116">
        <f t="shared" si="19"/>
        <v>5.5695999999995277E-2</v>
      </c>
      <c r="M132" s="117">
        <f t="shared" si="15"/>
        <v>2.2679223524888527E-3</v>
      </c>
    </row>
    <row r="133" spans="1:13">
      <c r="A133" s="112">
        <v>130</v>
      </c>
      <c r="B133" s="113">
        <v>41829</v>
      </c>
      <c r="C133" s="114">
        <v>102.93</v>
      </c>
      <c r="D133" s="115">
        <f t="shared" si="14"/>
        <v>106.23350000000001</v>
      </c>
      <c r="E133" s="115">
        <f t="shared" si="10"/>
        <v>-3.3034999999999997</v>
      </c>
      <c r="F133" s="115">
        <f t="shared" si="11"/>
        <v>3.3034999999999997</v>
      </c>
      <c r="G133" s="115">
        <f t="shared" si="12"/>
        <v>10.913112249999998</v>
      </c>
      <c r="H133" s="115">
        <f t="shared" si="13"/>
        <v>3.2094627416690946E-2</v>
      </c>
      <c r="I133" s="116">
        <f t="shared" si="16"/>
        <v>103.88820000000001</v>
      </c>
      <c r="J133" s="116">
        <f t="shared" si="17"/>
        <v>-0.95820000000000505</v>
      </c>
      <c r="K133" s="116">
        <f t="shared" si="18"/>
        <v>0.95820000000000505</v>
      </c>
      <c r="L133" s="116">
        <f t="shared" si="19"/>
        <v>0.91814724000000969</v>
      </c>
      <c r="M133" s="117">
        <f t="shared" si="15"/>
        <v>-9.309239288837123E-3</v>
      </c>
    </row>
    <row r="134" spans="1:13">
      <c r="A134" s="112">
        <v>131</v>
      </c>
      <c r="B134" s="107">
        <v>41830</v>
      </c>
      <c r="C134" s="108">
        <v>103.61</v>
      </c>
      <c r="D134" s="115">
        <f t="shared" si="14"/>
        <v>106.12899999999999</v>
      </c>
      <c r="E134" s="115">
        <f t="shared" si="10"/>
        <v>-2.5189999999999912</v>
      </c>
      <c r="F134" s="115">
        <f t="shared" si="11"/>
        <v>2.5189999999999912</v>
      </c>
      <c r="G134" s="115">
        <f t="shared" si="12"/>
        <v>6.3453609999999561</v>
      </c>
      <c r="H134" s="115">
        <f t="shared" si="13"/>
        <v>2.4312325065148067E-2</v>
      </c>
      <c r="I134" s="116">
        <f t="shared" si="16"/>
        <v>103.9242</v>
      </c>
      <c r="J134" s="116">
        <f t="shared" si="17"/>
        <v>-0.31419999999999959</v>
      </c>
      <c r="K134" s="116">
        <f t="shared" si="18"/>
        <v>0.31419999999999959</v>
      </c>
      <c r="L134" s="116">
        <f t="shared" si="19"/>
        <v>9.872163999999975E-2</v>
      </c>
      <c r="M134" s="117">
        <f t="shared" si="15"/>
        <v>-3.0325258179712345E-3</v>
      </c>
    </row>
    <row r="135" spans="1:13">
      <c r="A135" s="112">
        <v>132</v>
      </c>
      <c r="B135" s="113">
        <v>41831</v>
      </c>
      <c r="C135" s="114">
        <v>101.48</v>
      </c>
      <c r="D135" s="115">
        <f t="shared" si="14"/>
        <v>106.0575</v>
      </c>
      <c r="E135" s="115">
        <f t="shared" si="10"/>
        <v>-4.5775000000000006</v>
      </c>
      <c r="F135" s="115">
        <f t="shared" si="11"/>
        <v>4.5775000000000006</v>
      </c>
      <c r="G135" s="115">
        <f t="shared" si="12"/>
        <v>20.953506250000004</v>
      </c>
      <c r="H135" s="115">
        <f t="shared" si="13"/>
        <v>4.5107410327158065E-2</v>
      </c>
      <c r="I135" s="116">
        <f t="shared" si="16"/>
        <v>103.96520000000001</v>
      </c>
      <c r="J135" s="116">
        <f t="shared" si="17"/>
        <v>-2.4852000000000061</v>
      </c>
      <c r="K135" s="116">
        <f t="shared" si="18"/>
        <v>2.4852000000000061</v>
      </c>
      <c r="L135" s="116">
        <f t="shared" si="19"/>
        <v>6.1762190400000305</v>
      </c>
      <c r="M135" s="117">
        <f t="shared" si="15"/>
        <v>-2.4489554592037898E-2</v>
      </c>
    </row>
    <row r="136" spans="1:13">
      <c r="A136" s="112">
        <v>133</v>
      </c>
      <c r="B136" s="107">
        <v>41834</v>
      </c>
      <c r="C136" s="108">
        <v>101.73</v>
      </c>
      <c r="D136" s="115">
        <f t="shared" si="14"/>
        <v>105.77149999999999</v>
      </c>
      <c r="E136" s="115">
        <f t="shared" si="10"/>
        <v>-4.041499999999985</v>
      </c>
      <c r="F136" s="115">
        <f t="shared" si="11"/>
        <v>4.041499999999985</v>
      </c>
      <c r="G136" s="115">
        <f t="shared" si="12"/>
        <v>16.33372224999988</v>
      </c>
      <c r="H136" s="115">
        <f t="shared" si="13"/>
        <v>3.9727710606507274E-2</v>
      </c>
      <c r="I136" s="116">
        <f t="shared" si="16"/>
        <v>103.99339999999998</v>
      </c>
      <c r="J136" s="116">
        <f t="shared" si="17"/>
        <v>-2.2633999999999759</v>
      </c>
      <c r="K136" s="116">
        <f t="shared" si="18"/>
        <v>2.2633999999999759</v>
      </c>
      <c r="L136" s="116">
        <f t="shared" si="19"/>
        <v>5.1229795599998909</v>
      </c>
      <c r="M136" s="117">
        <f t="shared" si="15"/>
        <v>-2.2249090730364452E-2</v>
      </c>
    </row>
    <row r="137" spans="1:13">
      <c r="A137" s="112">
        <v>134</v>
      </c>
      <c r="B137" s="113">
        <v>41835</v>
      </c>
      <c r="C137" s="114">
        <v>100.56</v>
      </c>
      <c r="D137" s="115">
        <f t="shared" si="14"/>
        <v>105.48349999999998</v>
      </c>
      <c r="E137" s="115">
        <f t="shared" si="10"/>
        <v>-4.9234999999999758</v>
      </c>
      <c r="F137" s="115">
        <f t="shared" si="11"/>
        <v>4.9234999999999758</v>
      </c>
      <c r="G137" s="115">
        <f t="shared" si="12"/>
        <v>24.240852249999762</v>
      </c>
      <c r="H137" s="115">
        <f t="shared" si="13"/>
        <v>4.89608194112965E-2</v>
      </c>
      <c r="I137" s="116">
        <f t="shared" si="16"/>
        <v>104.03419999999997</v>
      </c>
      <c r="J137" s="116">
        <f t="shared" si="17"/>
        <v>-3.4741999999999678</v>
      </c>
      <c r="K137" s="116">
        <f t="shared" si="18"/>
        <v>3.4741999999999678</v>
      </c>
      <c r="L137" s="116">
        <f t="shared" si="19"/>
        <v>12.070065639999775</v>
      </c>
      <c r="M137" s="117">
        <f t="shared" si="15"/>
        <v>-3.4548528241845344E-2</v>
      </c>
    </row>
    <row r="138" spans="1:13">
      <c r="A138" s="112">
        <v>135</v>
      </c>
      <c r="B138" s="107">
        <v>41836</v>
      </c>
      <c r="C138" s="108">
        <v>101.88</v>
      </c>
      <c r="D138" s="115">
        <f t="shared" si="14"/>
        <v>105.13550000000001</v>
      </c>
      <c r="E138" s="115">
        <f t="shared" si="10"/>
        <v>-3.2555000000000121</v>
      </c>
      <c r="F138" s="115">
        <f t="shared" si="11"/>
        <v>3.2555000000000121</v>
      </c>
      <c r="G138" s="115">
        <f t="shared" si="12"/>
        <v>10.598280250000078</v>
      </c>
      <c r="H138" s="115">
        <f t="shared" si="13"/>
        <v>3.1954259913623988E-2</v>
      </c>
      <c r="I138" s="116">
        <f t="shared" si="16"/>
        <v>104.04359999999998</v>
      </c>
      <c r="J138" s="116">
        <f t="shared" si="17"/>
        <v>-2.1635999999999882</v>
      </c>
      <c r="K138" s="116">
        <f t="shared" si="18"/>
        <v>2.1635999999999882</v>
      </c>
      <c r="L138" s="116">
        <f t="shared" si="19"/>
        <v>4.6811649599999487</v>
      </c>
      <c r="M138" s="117">
        <f t="shared" si="15"/>
        <v>-2.123674911660766E-2</v>
      </c>
    </row>
    <row r="139" spans="1:13">
      <c r="A139" s="112">
        <v>136</v>
      </c>
      <c r="B139" s="113">
        <v>41837</v>
      </c>
      <c r="C139" s="114">
        <v>103.84</v>
      </c>
      <c r="D139" s="115">
        <f t="shared" si="14"/>
        <v>104.88199999999999</v>
      </c>
      <c r="E139" s="115">
        <f t="shared" si="10"/>
        <v>-1.0419999999999874</v>
      </c>
      <c r="F139" s="115">
        <f t="shared" si="11"/>
        <v>1.0419999999999874</v>
      </c>
      <c r="G139" s="115">
        <f t="shared" si="12"/>
        <v>1.0857639999999738</v>
      </c>
      <c r="H139" s="115">
        <f t="shared" si="13"/>
        <v>1.0034668721109277E-2</v>
      </c>
      <c r="I139" s="116">
        <f t="shared" si="16"/>
        <v>104.0864</v>
      </c>
      <c r="J139" s="116">
        <f t="shared" si="17"/>
        <v>-0.24639999999999418</v>
      </c>
      <c r="K139" s="116">
        <f t="shared" si="18"/>
        <v>0.24639999999999418</v>
      </c>
      <c r="L139" s="116">
        <f t="shared" si="19"/>
        <v>6.0712959999997131E-2</v>
      </c>
      <c r="M139" s="117">
        <f t="shared" si="15"/>
        <v>-2.3728813559321473E-3</v>
      </c>
    </row>
    <row r="140" spans="1:13">
      <c r="A140" s="112">
        <v>137</v>
      </c>
      <c r="B140" s="107">
        <v>41838</v>
      </c>
      <c r="C140" s="108">
        <v>103.83</v>
      </c>
      <c r="D140" s="115">
        <f t="shared" si="14"/>
        <v>104.742</v>
      </c>
      <c r="E140" s="115">
        <f t="shared" si="10"/>
        <v>-0.91200000000000614</v>
      </c>
      <c r="F140" s="115">
        <f t="shared" si="11"/>
        <v>0.91200000000000614</v>
      </c>
      <c r="G140" s="115">
        <f t="shared" si="12"/>
        <v>0.83174400000001125</v>
      </c>
      <c r="H140" s="115">
        <f t="shared" si="13"/>
        <v>8.7835885582202271E-3</v>
      </c>
      <c r="I140" s="116">
        <f t="shared" si="16"/>
        <v>104.16699999999999</v>
      </c>
      <c r="J140" s="116">
        <f t="shared" si="17"/>
        <v>-0.33699999999998909</v>
      </c>
      <c r="K140" s="116">
        <f t="shared" si="18"/>
        <v>0.33699999999998909</v>
      </c>
      <c r="L140" s="116">
        <f t="shared" si="19"/>
        <v>0.11356899999999265</v>
      </c>
      <c r="M140" s="117">
        <f t="shared" si="15"/>
        <v>-3.245690070307128E-3</v>
      </c>
    </row>
    <row r="141" spans="1:13">
      <c r="A141" s="112">
        <v>138</v>
      </c>
      <c r="B141" s="113">
        <v>41841</v>
      </c>
      <c r="C141" s="114">
        <v>105.34</v>
      </c>
      <c r="D141" s="115">
        <f t="shared" si="14"/>
        <v>104.57950000000001</v>
      </c>
      <c r="E141" s="115">
        <f t="shared" si="10"/>
        <v>0.76049999999999329</v>
      </c>
      <c r="F141" s="115">
        <f t="shared" si="11"/>
        <v>0.76049999999999329</v>
      </c>
      <c r="G141" s="115">
        <f t="shared" si="12"/>
        <v>0.57836024999998981</v>
      </c>
      <c r="H141" s="115">
        <f t="shared" si="13"/>
        <v>7.2194797797607109E-3</v>
      </c>
      <c r="I141" s="116">
        <f t="shared" si="16"/>
        <v>104.22239999999996</v>
      </c>
      <c r="J141" s="116">
        <f t="shared" si="17"/>
        <v>1.1176000000000386</v>
      </c>
      <c r="K141" s="116">
        <f t="shared" si="18"/>
        <v>1.1176000000000386</v>
      </c>
      <c r="L141" s="116">
        <f t="shared" si="19"/>
        <v>1.2490297600000861</v>
      </c>
      <c r="M141" s="117">
        <f t="shared" si="15"/>
        <v>1.0609455097778987E-2</v>
      </c>
    </row>
    <row r="142" spans="1:13">
      <c r="A142" s="112">
        <v>139</v>
      </c>
      <c r="B142" s="107">
        <v>41842</v>
      </c>
      <c r="C142" s="108">
        <v>104.59</v>
      </c>
      <c r="D142" s="115">
        <f t="shared" si="14"/>
        <v>104.44899999999998</v>
      </c>
      <c r="E142" s="115">
        <f t="shared" si="10"/>
        <v>0.14100000000001955</v>
      </c>
      <c r="F142" s="115">
        <f t="shared" si="11"/>
        <v>0.14100000000001955</v>
      </c>
      <c r="G142" s="115">
        <f t="shared" si="12"/>
        <v>1.9881000000005516E-2</v>
      </c>
      <c r="H142" s="115">
        <f t="shared" si="13"/>
        <v>1.3481212352999287E-3</v>
      </c>
      <c r="I142" s="116">
        <f t="shared" si="16"/>
        <v>104.31879999999997</v>
      </c>
      <c r="J142" s="116">
        <f t="shared" si="17"/>
        <v>0.27120000000003586</v>
      </c>
      <c r="K142" s="116">
        <f t="shared" si="18"/>
        <v>0.27120000000003586</v>
      </c>
      <c r="L142" s="116">
        <f t="shared" si="19"/>
        <v>7.354944000001945E-2</v>
      </c>
      <c r="M142" s="117">
        <f t="shared" si="15"/>
        <v>2.5929821206619741E-3</v>
      </c>
    </row>
    <row r="143" spans="1:13">
      <c r="A143" s="112">
        <v>140</v>
      </c>
      <c r="B143" s="113">
        <v>41843</v>
      </c>
      <c r="C143" s="114">
        <v>103.81</v>
      </c>
      <c r="D143" s="115">
        <f t="shared" si="14"/>
        <v>104.33699999999999</v>
      </c>
      <c r="E143" s="115">
        <f t="shared" si="10"/>
        <v>-0.52699999999998681</v>
      </c>
      <c r="F143" s="115">
        <f t="shared" si="11"/>
        <v>0.52699999999998681</v>
      </c>
      <c r="G143" s="115">
        <f t="shared" si="12"/>
        <v>0.27772899999998613</v>
      </c>
      <c r="H143" s="115">
        <f t="shared" si="13"/>
        <v>5.0765822175126369E-3</v>
      </c>
      <c r="I143" s="116">
        <f t="shared" si="16"/>
        <v>104.40419999999999</v>
      </c>
      <c r="J143" s="116">
        <f t="shared" si="17"/>
        <v>-0.59419999999998652</v>
      </c>
      <c r="K143" s="116">
        <f t="shared" si="18"/>
        <v>0.59419999999998652</v>
      </c>
      <c r="L143" s="116">
        <f t="shared" si="19"/>
        <v>0.35307363999998398</v>
      </c>
      <c r="M143" s="117">
        <f t="shared" si="15"/>
        <v>-5.7239186976205227E-3</v>
      </c>
    </row>
    <row r="144" spans="1:13">
      <c r="A144" s="112">
        <v>141</v>
      </c>
      <c r="B144" s="107">
        <v>41844</v>
      </c>
      <c r="C144" s="108">
        <v>102.76</v>
      </c>
      <c r="D144" s="115">
        <f t="shared" si="14"/>
        <v>104.1955</v>
      </c>
      <c r="E144" s="115">
        <f t="shared" si="10"/>
        <v>-1.4354999999999905</v>
      </c>
      <c r="F144" s="115">
        <f t="shared" si="11"/>
        <v>1.4354999999999905</v>
      </c>
      <c r="G144" s="115">
        <f t="shared" si="12"/>
        <v>2.0606602499999727</v>
      </c>
      <c r="H144" s="115">
        <f t="shared" si="13"/>
        <v>1.3969443363176239E-2</v>
      </c>
      <c r="I144" s="116">
        <f t="shared" si="16"/>
        <v>104.46259999999998</v>
      </c>
      <c r="J144" s="116">
        <f t="shared" si="17"/>
        <v>-1.7025999999999755</v>
      </c>
      <c r="K144" s="116">
        <f t="shared" si="18"/>
        <v>1.7025999999999755</v>
      </c>
      <c r="L144" s="116">
        <f t="shared" si="19"/>
        <v>2.8988467599999166</v>
      </c>
      <c r="M144" s="117">
        <f t="shared" si="15"/>
        <v>-1.6568703775788004E-2</v>
      </c>
    </row>
    <row r="145" spans="1:13">
      <c r="A145" s="112">
        <v>142</v>
      </c>
      <c r="B145" s="113">
        <v>41845</v>
      </c>
      <c r="C145" s="114">
        <v>105.23</v>
      </c>
      <c r="D145" s="115">
        <f t="shared" si="14"/>
        <v>103.98149999999998</v>
      </c>
      <c r="E145" s="115">
        <f t="shared" si="10"/>
        <v>1.2485000000000213</v>
      </c>
      <c r="F145" s="115">
        <f t="shared" si="11"/>
        <v>1.2485000000000213</v>
      </c>
      <c r="G145" s="115">
        <f t="shared" si="12"/>
        <v>1.558752250000053</v>
      </c>
      <c r="H145" s="115">
        <f t="shared" si="13"/>
        <v>1.1864487313503955E-2</v>
      </c>
      <c r="I145" s="116">
        <f t="shared" si="16"/>
        <v>104.47759999999998</v>
      </c>
      <c r="J145" s="116">
        <f t="shared" si="17"/>
        <v>0.75240000000002283</v>
      </c>
      <c r="K145" s="116">
        <f t="shared" si="18"/>
        <v>0.75240000000002283</v>
      </c>
      <c r="L145" s="116">
        <f t="shared" si="19"/>
        <v>0.56610576000003432</v>
      </c>
      <c r="M145" s="117">
        <f t="shared" si="15"/>
        <v>7.1500522664641524E-3</v>
      </c>
    </row>
    <row r="146" spans="1:13">
      <c r="A146" s="112">
        <v>143</v>
      </c>
      <c r="B146" s="107">
        <v>41848</v>
      </c>
      <c r="C146" s="108">
        <v>105.68</v>
      </c>
      <c r="D146" s="115">
        <f t="shared" si="14"/>
        <v>103.91849999999997</v>
      </c>
      <c r="E146" s="115">
        <f t="shared" si="10"/>
        <v>1.7615000000000407</v>
      </c>
      <c r="F146" s="115">
        <f t="shared" si="11"/>
        <v>1.7615000000000407</v>
      </c>
      <c r="G146" s="115">
        <f t="shared" si="12"/>
        <v>3.1028822500001434</v>
      </c>
      <c r="H146" s="115">
        <f t="shared" si="13"/>
        <v>1.6668243754731648E-2</v>
      </c>
      <c r="I146" s="116">
        <f t="shared" si="16"/>
        <v>104.52959999999997</v>
      </c>
      <c r="J146" s="116">
        <f t="shared" si="17"/>
        <v>1.1504000000000332</v>
      </c>
      <c r="K146" s="116">
        <f t="shared" si="18"/>
        <v>1.1504000000000332</v>
      </c>
      <c r="L146" s="116">
        <f t="shared" si="19"/>
        <v>1.3234201600000763</v>
      </c>
      <c r="M146" s="117">
        <f t="shared" si="15"/>
        <v>1.0885692657078285E-2</v>
      </c>
    </row>
    <row r="147" spans="1:13">
      <c r="A147" s="112">
        <v>144</v>
      </c>
      <c r="B147" s="113">
        <v>41849</v>
      </c>
      <c r="C147" s="114">
        <v>104.91</v>
      </c>
      <c r="D147" s="115">
        <f t="shared" si="14"/>
        <v>103.87949999999996</v>
      </c>
      <c r="E147" s="115">
        <f t="shared" si="10"/>
        <v>1.0305000000000319</v>
      </c>
      <c r="F147" s="115">
        <f t="shared" si="11"/>
        <v>1.0305000000000319</v>
      </c>
      <c r="G147" s="115">
        <f t="shared" si="12"/>
        <v>1.0619302500000658</v>
      </c>
      <c r="H147" s="115">
        <f t="shared" si="13"/>
        <v>9.822705175865332E-3</v>
      </c>
      <c r="I147" s="116">
        <f t="shared" si="16"/>
        <v>104.6084</v>
      </c>
      <c r="J147" s="116">
        <f t="shared" si="17"/>
        <v>0.30159999999999343</v>
      </c>
      <c r="K147" s="116">
        <f t="shared" si="18"/>
        <v>0.30159999999999343</v>
      </c>
      <c r="L147" s="116">
        <f t="shared" si="19"/>
        <v>9.0962559999996043E-2</v>
      </c>
      <c r="M147" s="117">
        <f t="shared" si="15"/>
        <v>2.8748451053283142E-3</v>
      </c>
    </row>
    <row r="148" spans="1:13">
      <c r="A148" s="112">
        <v>145</v>
      </c>
      <c r="B148" s="107">
        <v>41850</v>
      </c>
      <c r="C148" s="108">
        <v>104.29</v>
      </c>
      <c r="D148" s="115">
        <f t="shared" si="14"/>
        <v>103.82149999999999</v>
      </c>
      <c r="E148" s="115">
        <f t="shared" si="10"/>
        <v>0.46850000000002012</v>
      </c>
      <c r="F148" s="115">
        <f t="shared" si="11"/>
        <v>0.46850000000002012</v>
      </c>
      <c r="G148" s="115">
        <f t="shared" si="12"/>
        <v>0.21949225000001885</v>
      </c>
      <c r="H148" s="115">
        <f t="shared" si="13"/>
        <v>4.4922811391314614E-3</v>
      </c>
      <c r="I148" s="116">
        <f t="shared" si="16"/>
        <v>104.66040000000001</v>
      </c>
      <c r="J148" s="116">
        <f t="shared" si="17"/>
        <v>-0.37040000000000362</v>
      </c>
      <c r="K148" s="116">
        <f t="shared" si="18"/>
        <v>0.37040000000000362</v>
      </c>
      <c r="L148" s="116">
        <f t="shared" si="19"/>
        <v>0.13719616000000268</v>
      </c>
      <c r="M148" s="117">
        <f t="shared" si="15"/>
        <v>-3.551634864320679E-3</v>
      </c>
    </row>
    <row r="149" spans="1:13">
      <c r="A149" s="112">
        <v>146</v>
      </c>
      <c r="B149" s="113">
        <v>41851</v>
      </c>
      <c r="C149" s="114">
        <v>98.23</v>
      </c>
      <c r="D149" s="115">
        <f t="shared" si="14"/>
        <v>103.73299999999999</v>
      </c>
      <c r="E149" s="115">
        <f t="shared" si="10"/>
        <v>-5.5029999999999859</v>
      </c>
      <c r="F149" s="115">
        <f t="shared" si="11"/>
        <v>5.5029999999999859</v>
      </c>
      <c r="G149" s="115">
        <f t="shared" si="12"/>
        <v>30.283008999999844</v>
      </c>
      <c r="H149" s="115">
        <f t="shared" si="13"/>
        <v>5.6021582001425083E-2</v>
      </c>
      <c r="I149" s="116">
        <f t="shared" si="16"/>
        <v>104.68719999999999</v>
      </c>
      <c r="J149" s="116">
        <f t="shared" si="17"/>
        <v>-6.4571999999999861</v>
      </c>
      <c r="K149" s="116">
        <f t="shared" si="18"/>
        <v>6.4571999999999861</v>
      </c>
      <c r="L149" s="116">
        <f t="shared" si="19"/>
        <v>41.69543183999982</v>
      </c>
      <c r="M149" s="117">
        <f t="shared" si="15"/>
        <v>-6.5735518680647309E-2</v>
      </c>
    </row>
    <row r="150" spans="1:13">
      <c r="A150" s="112">
        <v>147</v>
      </c>
      <c r="B150" s="107">
        <v>41852</v>
      </c>
      <c r="C150" s="108">
        <v>97.86</v>
      </c>
      <c r="D150" s="115">
        <f t="shared" si="14"/>
        <v>103.38549999999998</v>
      </c>
      <c r="E150" s="115">
        <f t="shared" si="10"/>
        <v>-5.5254999999999797</v>
      </c>
      <c r="F150" s="115">
        <f t="shared" si="11"/>
        <v>5.5254999999999797</v>
      </c>
      <c r="G150" s="115">
        <f t="shared" si="12"/>
        <v>30.531150249999776</v>
      </c>
      <c r="H150" s="115">
        <f t="shared" si="13"/>
        <v>5.6463314939709582E-2</v>
      </c>
      <c r="I150" s="116">
        <f t="shared" si="16"/>
        <v>104.5958</v>
      </c>
      <c r="J150" s="116">
        <f t="shared" si="17"/>
        <v>-6.7357999999999976</v>
      </c>
      <c r="K150" s="116">
        <f t="shared" si="18"/>
        <v>6.7357999999999976</v>
      </c>
      <c r="L150" s="116">
        <f t="shared" si="19"/>
        <v>45.371001639999967</v>
      </c>
      <c r="M150" s="117">
        <f t="shared" si="15"/>
        <v>-6.8830983036991603E-2</v>
      </c>
    </row>
    <row r="151" spans="1:13">
      <c r="A151" s="112">
        <v>148</v>
      </c>
      <c r="B151" s="113">
        <v>41855</v>
      </c>
      <c r="C151" s="114">
        <v>98.26</v>
      </c>
      <c r="D151" s="115">
        <f t="shared" si="14"/>
        <v>103.04049999999999</v>
      </c>
      <c r="E151" s="115">
        <f t="shared" si="10"/>
        <v>-4.7804999999999893</v>
      </c>
      <c r="F151" s="115">
        <f t="shared" si="11"/>
        <v>4.7804999999999893</v>
      </c>
      <c r="G151" s="115">
        <f t="shared" si="12"/>
        <v>22.853180249999898</v>
      </c>
      <c r="H151" s="115">
        <f t="shared" si="13"/>
        <v>4.865153673926307E-2</v>
      </c>
      <c r="I151" s="116">
        <f t="shared" si="16"/>
        <v>104.46680000000001</v>
      </c>
      <c r="J151" s="116">
        <f t="shared" si="17"/>
        <v>-6.2068000000000012</v>
      </c>
      <c r="K151" s="116">
        <f t="shared" si="18"/>
        <v>6.2068000000000012</v>
      </c>
      <c r="L151" s="116">
        <f t="shared" si="19"/>
        <v>38.524366240000013</v>
      </c>
      <c r="M151" s="117">
        <f t="shared" si="15"/>
        <v>-6.316710767351924E-2</v>
      </c>
    </row>
    <row r="152" spans="1:13">
      <c r="A152" s="112">
        <v>149</v>
      </c>
      <c r="B152" s="107">
        <v>41856</v>
      </c>
      <c r="C152" s="108">
        <v>97.34</v>
      </c>
      <c r="D152" s="115">
        <f t="shared" si="14"/>
        <v>102.744</v>
      </c>
      <c r="E152" s="115">
        <f t="shared" ref="E152:E215" si="20">C152-D152</f>
        <v>-5.4039999999999964</v>
      </c>
      <c r="F152" s="115">
        <f t="shared" ref="F152:F215" si="21">ABS(E152)</f>
        <v>5.4039999999999964</v>
      </c>
      <c r="G152" s="115">
        <f t="shared" ref="G152:G215" si="22">E152^2</f>
        <v>29.203215999999962</v>
      </c>
      <c r="H152" s="115">
        <f t="shared" ref="H152:H215" si="23">F152/C152</f>
        <v>5.5516745428395277E-2</v>
      </c>
      <c r="I152" s="116">
        <f t="shared" si="16"/>
        <v>104.3514</v>
      </c>
      <c r="J152" s="116">
        <f t="shared" si="17"/>
        <v>-7.0113999999999947</v>
      </c>
      <c r="K152" s="116">
        <f t="shared" si="18"/>
        <v>7.0113999999999947</v>
      </c>
      <c r="L152" s="116">
        <f t="shared" si="19"/>
        <v>49.159729959999929</v>
      </c>
      <c r="M152" s="117">
        <f t="shared" si="15"/>
        <v>-7.2029997945346147E-2</v>
      </c>
    </row>
    <row r="153" spans="1:13">
      <c r="A153" s="112">
        <v>150</v>
      </c>
      <c r="B153" s="113">
        <v>41857</v>
      </c>
      <c r="C153" s="114">
        <v>96.93</v>
      </c>
      <c r="D153" s="115">
        <f t="shared" si="14"/>
        <v>102.40800000000002</v>
      </c>
      <c r="E153" s="115">
        <f t="shared" si="20"/>
        <v>-5.4780000000000086</v>
      </c>
      <c r="F153" s="115">
        <f t="shared" si="21"/>
        <v>5.4780000000000086</v>
      </c>
      <c r="G153" s="115">
        <f t="shared" si="22"/>
        <v>30.008484000000095</v>
      </c>
      <c r="H153" s="115">
        <f t="shared" si="23"/>
        <v>5.6515010832559665E-2</v>
      </c>
      <c r="I153" s="116">
        <f t="shared" si="16"/>
        <v>104.19799999999999</v>
      </c>
      <c r="J153" s="116">
        <f t="shared" si="17"/>
        <v>-7.2679999999999865</v>
      </c>
      <c r="K153" s="116">
        <f t="shared" si="18"/>
        <v>7.2679999999999865</v>
      </c>
      <c r="L153" s="116">
        <f t="shared" si="19"/>
        <v>52.823823999999803</v>
      </c>
      <c r="M153" s="117">
        <f t="shared" si="15"/>
        <v>-7.498194573403473E-2</v>
      </c>
    </row>
    <row r="154" spans="1:13">
      <c r="A154" s="112">
        <v>151</v>
      </c>
      <c r="B154" s="107">
        <v>41858</v>
      </c>
      <c r="C154" s="108">
        <v>97.34</v>
      </c>
      <c r="D154" s="115">
        <f t="shared" ref="D154:D217" si="24">AVERAGE(C134:C153)</f>
        <v>102.108</v>
      </c>
      <c r="E154" s="115">
        <f t="shared" si="20"/>
        <v>-4.7680000000000007</v>
      </c>
      <c r="F154" s="115">
        <f t="shared" si="21"/>
        <v>4.7680000000000007</v>
      </c>
      <c r="G154" s="115">
        <f t="shared" si="22"/>
        <v>22.733824000000006</v>
      </c>
      <c r="H154" s="115">
        <f t="shared" si="23"/>
        <v>4.8982946373536063E-2</v>
      </c>
      <c r="I154" s="116">
        <f t="shared" si="16"/>
        <v>104.041</v>
      </c>
      <c r="J154" s="116">
        <f t="shared" si="17"/>
        <v>-6.7009999999999934</v>
      </c>
      <c r="K154" s="116">
        <f t="shared" si="18"/>
        <v>6.7009999999999934</v>
      </c>
      <c r="L154" s="116">
        <f t="shared" si="19"/>
        <v>44.90340099999991</v>
      </c>
      <c r="M154" s="117">
        <f t="shared" si="15"/>
        <v>-6.8841175261968285E-2</v>
      </c>
    </row>
    <row r="155" spans="1:13">
      <c r="A155" s="112">
        <v>152</v>
      </c>
      <c r="B155" s="113">
        <v>41859</v>
      </c>
      <c r="C155" s="114">
        <v>97.61</v>
      </c>
      <c r="D155" s="115">
        <f t="shared" si="24"/>
        <v>101.7945</v>
      </c>
      <c r="E155" s="115">
        <f t="shared" si="20"/>
        <v>-4.1844999999999999</v>
      </c>
      <c r="F155" s="115">
        <f t="shared" si="21"/>
        <v>4.1844999999999999</v>
      </c>
      <c r="G155" s="115">
        <f t="shared" si="22"/>
        <v>17.510040249999999</v>
      </c>
      <c r="H155" s="115">
        <f t="shared" si="23"/>
        <v>4.2869583034525149E-2</v>
      </c>
      <c r="I155" s="116">
        <f t="shared" si="16"/>
        <v>103.92040000000001</v>
      </c>
      <c r="J155" s="116">
        <f t="shared" si="17"/>
        <v>-6.3104000000000156</v>
      </c>
      <c r="K155" s="116">
        <f t="shared" si="18"/>
        <v>6.3104000000000156</v>
      </c>
      <c r="L155" s="116">
        <f t="shared" si="19"/>
        <v>39.821148160000199</v>
      </c>
      <c r="M155" s="117">
        <f t="shared" si="15"/>
        <v>-6.4649113820305457E-2</v>
      </c>
    </row>
    <row r="156" spans="1:13">
      <c r="A156" s="112">
        <v>153</v>
      </c>
      <c r="B156" s="107">
        <v>41862</v>
      </c>
      <c r="C156" s="108">
        <v>98.09</v>
      </c>
      <c r="D156" s="115">
        <f t="shared" si="24"/>
        <v>101.60099999999998</v>
      </c>
      <c r="E156" s="115">
        <f t="shared" si="20"/>
        <v>-3.5109999999999815</v>
      </c>
      <c r="F156" s="115">
        <f t="shared" si="21"/>
        <v>3.5109999999999815</v>
      </c>
      <c r="G156" s="115">
        <f t="shared" si="22"/>
        <v>12.32712099999987</v>
      </c>
      <c r="H156" s="115">
        <f t="shared" si="23"/>
        <v>3.5793658884697536E-2</v>
      </c>
      <c r="I156" s="116">
        <f t="shared" si="16"/>
        <v>103.78739999999999</v>
      </c>
      <c r="J156" s="116">
        <f t="shared" si="17"/>
        <v>-5.6973999999999876</v>
      </c>
      <c r="K156" s="116">
        <f t="shared" si="18"/>
        <v>5.6973999999999876</v>
      </c>
      <c r="L156" s="116">
        <f t="shared" si="19"/>
        <v>32.460366759999857</v>
      </c>
      <c r="M156" s="117">
        <f t="shared" si="15"/>
        <v>-5.808339280252816E-2</v>
      </c>
    </row>
    <row r="157" spans="1:13">
      <c r="A157" s="112">
        <v>154</v>
      </c>
      <c r="B157" s="113">
        <v>41863</v>
      </c>
      <c r="C157" s="114">
        <v>97.36</v>
      </c>
      <c r="D157" s="115">
        <f t="shared" si="24"/>
        <v>101.41899999999998</v>
      </c>
      <c r="E157" s="115">
        <f t="shared" si="20"/>
        <v>-4.0589999999999833</v>
      </c>
      <c r="F157" s="115">
        <f t="shared" si="21"/>
        <v>4.0589999999999833</v>
      </c>
      <c r="G157" s="115">
        <f t="shared" si="22"/>
        <v>16.475480999999863</v>
      </c>
      <c r="H157" s="115">
        <f t="shared" si="23"/>
        <v>4.1690632703368771E-2</v>
      </c>
      <c r="I157" s="116">
        <f t="shared" si="16"/>
        <v>103.6812</v>
      </c>
      <c r="J157" s="116">
        <f t="shared" si="17"/>
        <v>-6.3212000000000046</v>
      </c>
      <c r="K157" s="116">
        <f t="shared" si="18"/>
        <v>6.3212000000000046</v>
      </c>
      <c r="L157" s="116">
        <f t="shared" si="19"/>
        <v>39.957569440000057</v>
      </c>
      <c r="M157" s="117">
        <f t="shared" si="15"/>
        <v>-6.4926047658175889E-2</v>
      </c>
    </row>
    <row r="158" spans="1:13">
      <c r="A158" s="112">
        <v>155</v>
      </c>
      <c r="B158" s="107">
        <v>41864</v>
      </c>
      <c r="C158" s="108">
        <v>97.57</v>
      </c>
      <c r="D158" s="115">
        <f t="shared" si="24"/>
        <v>101.25899999999999</v>
      </c>
      <c r="E158" s="115">
        <f t="shared" si="20"/>
        <v>-3.688999999999993</v>
      </c>
      <c r="F158" s="115">
        <f t="shared" si="21"/>
        <v>3.688999999999993</v>
      </c>
      <c r="G158" s="115">
        <f t="shared" si="22"/>
        <v>13.608720999999948</v>
      </c>
      <c r="H158" s="115">
        <f t="shared" si="23"/>
        <v>3.780875269037607E-2</v>
      </c>
      <c r="I158" s="116">
        <f t="shared" si="16"/>
        <v>103.56700000000001</v>
      </c>
      <c r="J158" s="116">
        <f t="shared" si="17"/>
        <v>-5.9970000000000141</v>
      </c>
      <c r="K158" s="116">
        <f t="shared" si="18"/>
        <v>5.9970000000000141</v>
      </c>
      <c r="L158" s="116">
        <f t="shared" si="19"/>
        <v>35.964009000000168</v>
      </c>
      <c r="M158" s="117">
        <f t="shared" si="15"/>
        <v>-6.1463564620272776E-2</v>
      </c>
    </row>
    <row r="159" spans="1:13">
      <c r="A159" s="112">
        <v>156</v>
      </c>
      <c r="B159" s="113">
        <v>41865</v>
      </c>
      <c r="C159" s="114">
        <v>95.54</v>
      </c>
      <c r="D159" s="115">
        <f t="shared" si="24"/>
        <v>101.04349999999998</v>
      </c>
      <c r="E159" s="115">
        <f t="shared" si="20"/>
        <v>-5.5034999999999741</v>
      </c>
      <c r="F159" s="115">
        <f t="shared" si="21"/>
        <v>5.5034999999999741</v>
      </c>
      <c r="G159" s="115">
        <f t="shared" si="22"/>
        <v>30.288512249999716</v>
      </c>
      <c r="H159" s="115">
        <f t="shared" si="23"/>
        <v>5.7604144860791018E-2</v>
      </c>
      <c r="I159" s="116">
        <f t="shared" si="16"/>
        <v>103.4516</v>
      </c>
      <c r="J159" s="116">
        <f t="shared" si="17"/>
        <v>-7.9115999999999929</v>
      </c>
      <c r="K159" s="116">
        <f t="shared" si="18"/>
        <v>7.9115999999999929</v>
      </c>
      <c r="L159" s="116">
        <f t="shared" si="19"/>
        <v>62.593414559999886</v>
      </c>
      <c r="M159" s="117">
        <f t="shared" si="15"/>
        <v>-8.2809294536319786E-2</v>
      </c>
    </row>
    <row r="160" spans="1:13">
      <c r="A160" s="112">
        <v>157</v>
      </c>
      <c r="B160" s="107">
        <v>41866</v>
      </c>
      <c r="C160" s="108">
        <v>97.3</v>
      </c>
      <c r="D160" s="115">
        <f t="shared" si="24"/>
        <v>100.62849999999996</v>
      </c>
      <c r="E160" s="115">
        <f t="shared" si="20"/>
        <v>-3.3284999999999627</v>
      </c>
      <c r="F160" s="115">
        <f t="shared" si="21"/>
        <v>3.3284999999999627</v>
      </c>
      <c r="G160" s="115">
        <f t="shared" si="22"/>
        <v>11.078912249999751</v>
      </c>
      <c r="H160" s="115">
        <f t="shared" si="23"/>
        <v>3.4208633093524794E-2</v>
      </c>
      <c r="I160" s="116">
        <f t="shared" si="16"/>
        <v>103.29699999999998</v>
      </c>
      <c r="J160" s="116">
        <f t="shared" si="17"/>
        <v>-5.9969999999999857</v>
      </c>
      <c r="K160" s="116">
        <f t="shared" si="18"/>
        <v>5.9969999999999857</v>
      </c>
      <c r="L160" s="116">
        <f t="shared" si="19"/>
        <v>35.964008999999827</v>
      </c>
      <c r="M160" s="117">
        <f t="shared" si="15"/>
        <v>-6.1634121274408898E-2</v>
      </c>
    </row>
    <row r="161" spans="1:13">
      <c r="A161" s="112">
        <v>158</v>
      </c>
      <c r="B161" s="113">
        <v>41869</v>
      </c>
      <c r="C161" s="114">
        <v>96.44</v>
      </c>
      <c r="D161" s="115">
        <f t="shared" si="24"/>
        <v>100.30199999999998</v>
      </c>
      <c r="E161" s="115">
        <f t="shared" si="20"/>
        <v>-3.8619999999999806</v>
      </c>
      <c r="F161" s="115">
        <f t="shared" si="21"/>
        <v>3.8619999999999806</v>
      </c>
      <c r="G161" s="115">
        <f t="shared" si="22"/>
        <v>14.915043999999849</v>
      </c>
      <c r="H161" s="115">
        <f t="shared" si="23"/>
        <v>4.004562422231419E-2</v>
      </c>
      <c r="I161" s="116">
        <f t="shared" si="16"/>
        <v>103.17960000000001</v>
      </c>
      <c r="J161" s="116">
        <f t="shared" si="17"/>
        <v>-6.73960000000001</v>
      </c>
      <c r="K161" s="116">
        <f t="shared" si="18"/>
        <v>6.73960000000001</v>
      </c>
      <c r="L161" s="116">
        <f t="shared" si="19"/>
        <v>45.422208160000132</v>
      </c>
      <c r="M161" s="117">
        <f t="shared" si="15"/>
        <v>-6.9883865615927104E-2</v>
      </c>
    </row>
    <row r="162" spans="1:13">
      <c r="A162" s="112">
        <v>159</v>
      </c>
      <c r="B162" s="107">
        <v>41870</v>
      </c>
      <c r="C162" s="108">
        <v>94.35</v>
      </c>
      <c r="D162" s="115">
        <f t="shared" si="24"/>
        <v>99.856999999999985</v>
      </c>
      <c r="E162" s="115">
        <f t="shared" si="20"/>
        <v>-5.5069999999999908</v>
      </c>
      <c r="F162" s="115">
        <f t="shared" si="21"/>
        <v>5.5069999999999908</v>
      </c>
      <c r="G162" s="115">
        <f t="shared" si="22"/>
        <v>30.327048999999899</v>
      </c>
      <c r="H162" s="115">
        <f t="shared" si="23"/>
        <v>5.8367779544250036E-2</v>
      </c>
      <c r="I162" s="116">
        <f t="shared" si="16"/>
        <v>103.04199999999999</v>
      </c>
      <c r="J162" s="116">
        <f t="shared" si="17"/>
        <v>-8.6919999999999931</v>
      </c>
      <c r="K162" s="116">
        <f t="shared" si="18"/>
        <v>8.6919999999999931</v>
      </c>
      <c r="L162" s="116">
        <f t="shared" si="19"/>
        <v>75.550863999999876</v>
      </c>
      <c r="M162" s="117">
        <f t="shared" si="15"/>
        <v>-9.212506624271323E-2</v>
      </c>
    </row>
    <row r="163" spans="1:13">
      <c r="A163" s="112">
        <v>160</v>
      </c>
      <c r="B163" s="113">
        <v>41871</v>
      </c>
      <c r="C163" s="114">
        <v>96.4</v>
      </c>
      <c r="D163" s="115">
        <f t="shared" si="24"/>
        <v>99.34499999999997</v>
      </c>
      <c r="E163" s="115">
        <f t="shared" si="20"/>
        <v>-2.9449999999999648</v>
      </c>
      <c r="F163" s="115">
        <f t="shared" si="21"/>
        <v>2.9449999999999648</v>
      </c>
      <c r="G163" s="115">
        <f t="shared" si="22"/>
        <v>8.673024999999793</v>
      </c>
      <c r="H163" s="115">
        <f t="shared" si="23"/>
        <v>3.0549792531119963E-2</v>
      </c>
      <c r="I163" s="116">
        <f t="shared" si="16"/>
        <v>102.8272</v>
      </c>
      <c r="J163" s="116">
        <f t="shared" si="17"/>
        <v>-6.4271999999999991</v>
      </c>
      <c r="K163" s="116">
        <f t="shared" si="18"/>
        <v>6.4271999999999991</v>
      </c>
      <c r="L163" s="116">
        <f t="shared" si="19"/>
        <v>41.308899839999988</v>
      </c>
      <c r="M163" s="117">
        <f t="shared" si="15"/>
        <v>-6.6672199170124472E-2</v>
      </c>
    </row>
    <row r="164" spans="1:13">
      <c r="A164" s="112">
        <v>161</v>
      </c>
      <c r="B164" s="107">
        <v>41872</v>
      </c>
      <c r="C164" s="108">
        <v>93.97</v>
      </c>
      <c r="D164" s="115">
        <f t="shared" si="24"/>
        <v>98.974499999999978</v>
      </c>
      <c r="E164" s="115">
        <f t="shared" si="20"/>
        <v>-5.0044999999999789</v>
      </c>
      <c r="F164" s="115">
        <f t="shared" si="21"/>
        <v>5.0044999999999789</v>
      </c>
      <c r="G164" s="115">
        <f t="shared" si="22"/>
        <v>25.045020249999787</v>
      </c>
      <c r="H164" s="115">
        <f t="shared" si="23"/>
        <v>5.3256358412259008E-2</v>
      </c>
      <c r="I164" s="116">
        <f t="shared" si="16"/>
        <v>102.65479999999999</v>
      </c>
      <c r="J164" s="116">
        <f t="shared" si="17"/>
        <v>-8.6847999999999956</v>
      </c>
      <c r="K164" s="116">
        <f t="shared" si="18"/>
        <v>8.6847999999999956</v>
      </c>
      <c r="L164" s="116">
        <f t="shared" si="19"/>
        <v>75.425751039999923</v>
      </c>
      <c r="M164" s="117">
        <f t="shared" si="15"/>
        <v>-9.2420985420878954E-2</v>
      </c>
    </row>
    <row r="165" spans="1:13">
      <c r="A165" s="112">
        <v>162</v>
      </c>
      <c r="B165" s="113">
        <v>41873</v>
      </c>
      <c r="C165" s="114">
        <v>93.61</v>
      </c>
      <c r="D165" s="115">
        <f t="shared" si="24"/>
        <v>98.534999999999997</v>
      </c>
      <c r="E165" s="115">
        <f t="shared" si="20"/>
        <v>-4.9249999999999972</v>
      </c>
      <c r="F165" s="115">
        <f t="shared" si="21"/>
        <v>4.9249999999999972</v>
      </c>
      <c r="G165" s="115">
        <f t="shared" si="22"/>
        <v>24.255624999999974</v>
      </c>
      <c r="H165" s="115">
        <f t="shared" si="23"/>
        <v>5.2611900437987365E-2</v>
      </c>
      <c r="I165" s="116">
        <f t="shared" si="16"/>
        <v>102.43340000000001</v>
      </c>
      <c r="J165" s="116">
        <f t="shared" si="17"/>
        <v>-8.8234000000000066</v>
      </c>
      <c r="K165" s="116">
        <f t="shared" si="18"/>
        <v>8.8234000000000066</v>
      </c>
      <c r="L165" s="116">
        <f t="shared" si="19"/>
        <v>77.852387560000111</v>
      </c>
      <c r="M165" s="117">
        <f t="shared" si="15"/>
        <v>-9.4257023822241284E-2</v>
      </c>
    </row>
    <row r="166" spans="1:13">
      <c r="A166" s="112">
        <v>163</v>
      </c>
      <c r="B166" s="107">
        <v>41876</v>
      </c>
      <c r="C166" s="108">
        <v>95.39</v>
      </c>
      <c r="D166" s="115">
        <f t="shared" si="24"/>
        <v>97.953999999999979</v>
      </c>
      <c r="E166" s="115">
        <f t="shared" si="20"/>
        <v>-2.5639999999999787</v>
      </c>
      <c r="F166" s="115">
        <f t="shared" si="21"/>
        <v>2.5639999999999787</v>
      </c>
      <c r="G166" s="115">
        <f t="shared" si="22"/>
        <v>6.5740959999998907</v>
      </c>
      <c r="H166" s="115">
        <f t="shared" si="23"/>
        <v>2.6879127791172856E-2</v>
      </c>
      <c r="I166" s="116">
        <f t="shared" si="16"/>
        <v>102.16159999999999</v>
      </c>
      <c r="J166" s="116">
        <f t="shared" si="17"/>
        <v>-6.7715999999999923</v>
      </c>
      <c r="K166" s="116">
        <f t="shared" si="18"/>
        <v>6.7715999999999923</v>
      </c>
      <c r="L166" s="116">
        <f t="shared" si="19"/>
        <v>45.854566559999896</v>
      </c>
      <c r="M166" s="117">
        <f t="shared" si="15"/>
        <v>-7.0988573225704926E-2</v>
      </c>
    </row>
    <row r="167" spans="1:13">
      <c r="A167" s="112">
        <v>164</v>
      </c>
      <c r="B167" s="113">
        <v>41877</v>
      </c>
      <c r="C167" s="114">
        <v>95.78</v>
      </c>
      <c r="D167" s="115">
        <f t="shared" si="24"/>
        <v>97.439499999999995</v>
      </c>
      <c r="E167" s="115">
        <f t="shared" si="20"/>
        <v>-1.6594999999999942</v>
      </c>
      <c r="F167" s="115">
        <f t="shared" si="21"/>
        <v>1.6594999999999942</v>
      </c>
      <c r="G167" s="115">
        <f t="shared" si="22"/>
        <v>2.7539402499999808</v>
      </c>
      <c r="H167" s="115">
        <f t="shared" si="23"/>
        <v>1.7326164126122302E-2</v>
      </c>
      <c r="I167" s="116">
        <f t="shared" si="16"/>
        <v>101.91959999999999</v>
      </c>
      <c r="J167" s="116">
        <f t="shared" si="17"/>
        <v>-6.1395999999999873</v>
      </c>
      <c r="K167" s="116">
        <f t="shared" si="18"/>
        <v>6.1395999999999873</v>
      </c>
      <c r="L167" s="116">
        <f t="shared" si="19"/>
        <v>37.694688159999842</v>
      </c>
      <c r="M167" s="117">
        <f t="shared" si="15"/>
        <v>-6.4101064940488492E-2</v>
      </c>
    </row>
    <row r="168" spans="1:13">
      <c r="A168" s="112">
        <v>165</v>
      </c>
      <c r="B168" s="107">
        <v>41878</v>
      </c>
      <c r="C168" s="108">
        <v>95.82</v>
      </c>
      <c r="D168" s="115">
        <f t="shared" si="24"/>
        <v>96.983000000000004</v>
      </c>
      <c r="E168" s="115">
        <f t="shared" si="20"/>
        <v>-1.1630000000000109</v>
      </c>
      <c r="F168" s="115">
        <f t="shared" si="21"/>
        <v>1.1630000000000109</v>
      </c>
      <c r="G168" s="115">
        <f t="shared" si="22"/>
        <v>1.3525690000000254</v>
      </c>
      <c r="H168" s="115">
        <f t="shared" si="23"/>
        <v>1.2137340847422365E-2</v>
      </c>
      <c r="I168" s="116">
        <f t="shared" si="16"/>
        <v>101.68480000000001</v>
      </c>
      <c r="J168" s="116">
        <f t="shared" si="17"/>
        <v>-5.8648000000000167</v>
      </c>
      <c r="K168" s="116">
        <f t="shared" si="18"/>
        <v>5.8648000000000167</v>
      </c>
      <c r="L168" s="116">
        <f t="shared" si="19"/>
        <v>34.395879040000196</v>
      </c>
      <c r="M168" s="117">
        <f t="shared" si="15"/>
        <v>-6.1206428720517812E-2</v>
      </c>
    </row>
    <row r="169" spans="1:13">
      <c r="A169" s="112">
        <v>166</v>
      </c>
      <c r="B169" s="113">
        <v>41879</v>
      </c>
      <c r="C169" s="114">
        <v>96.44</v>
      </c>
      <c r="D169" s="115">
        <f t="shared" si="24"/>
        <v>96.5595</v>
      </c>
      <c r="E169" s="115">
        <f t="shared" si="20"/>
        <v>-0.11950000000000216</v>
      </c>
      <c r="F169" s="115">
        <f t="shared" si="21"/>
        <v>0.11950000000000216</v>
      </c>
      <c r="G169" s="115">
        <f t="shared" si="22"/>
        <v>1.4280250000000516E-2</v>
      </c>
      <c r="H169" s="115">
        <f t="shared" si="23"/>
        <v>1.2391124014931789E-3</v>
      </c>
      <c r="I169" s="116">
        <f t="shared" si="16"/>
        <v>101.46220000000001</v>
      </c>
      <c r="J169" s="116">
        <f t="shared" si="17"/>
        <v>-5.0222000000000122</v>
      </c>
      <c r="K169" s="116">
        <f t="shared" si="18"/>
        <v>5.0222000000000122</v>
      </c>
      <c r="L169" s="116">
        <f t="shared" si="19"/>
        <v>25.222492840000122</v>
      </c>
      <c r="M169" s="117">
        <f t="shared" si="15"/>
        <v>-5.2075902115304981E-2</v>
      </c>
    </row>
    <row r="170" spans="1:13">
      <c r="A170" s="112">
        <v>167</v>
      </c>
      <c r="B170" s="107">
        <v>41880</v>
      </c>
      <c r="C170" s="108">
        <v>97.86</v>
      </c>
      <c r="D170" s="115">
        <f t="shared" si="24"/>
        <v>96.47</v>
      </c>
      <c r="E170" s="115">
        <f t="shared" si="20"/>
        <v>1.3900000000000006</v>
      </c>
      <c r="F170" s="115">
        <f t="shared" si="21"/>
        <v>1.3900000000000006</v>
      </c>
      <c r="G170" s="115">
        <f t="shared" si="22"/>
        <v>1.9321000000000015</v>
      </c>
      <c r="H170" s="115">
        <f t="shared" si="23"/>
        <v>1.4203964847741678E-2</v>
      </c>
      <c r="I170" s="116">
        <f t="shared" si="16"/>
        <v>101.25820000000002</v>
      </c>
      <c r="J170" s="116">
        <f t="shared" si="17"/>
        <v>-3.398200000000017</v>
      </c>
      <c r="K170" s="116">
        <f t="shared" si="18"/>
        <v>3.398200000000017</v>
      </c>
      <c r="L170" s="116">
        <f t="shared" si="19"/>
        <v>11.547763240000116</v>
      </c>
      <c r="M170" s="117">
        <f t="shared" si="15"/>
        <v>-3.4725117514817258E-2</v>
      </c>
    </row>
    <row r="171" spans="1:13">
      <c r="A171" s="112">
        <v>168</v>
      </c>
      <c r="B171" s="113">
        <v>41884</v>
      </c>
      <c r="C171" s="114">
        <v>92.92</v>
      </c>
      <c r="D171" s="115">
        <f t="shared" si="24"/>
        <v>96.47</v>
      </c>
      <c r="E171" s="115">
        <f t="shared" si="20"/>
        <v>-3.5499999999999972</v>
      </c>
      <c r="F171" s="115">
        <f t="shared" si="21"/>
        <v>3.5499999999999972</v>
      </c>
      <c r="G171" s="115">
        <f t="shared" si="22"/>
        <v>12.60249999999998</v>
      </c>
      <c r="H171" s="115">
        <f t="shared" si="23"/>
        <v>3.8204907447266435E-2</v>
      </c>
      <c r="I171" s="116">
        <f t="shared" si="16"/>
        <v>101.07379999999999</v>
      </c>
      <c r="J171" s="116">
        <f t="shared" si="17"/>
        <v>-8.1537999999999897</v>
      </c>
      <c r="K171" s="116">
        <f t="shared" si="18"/>
        <v>8.1537999999999897</v>
      </c>
      <c r="L171" s="116">
        <f t="shared" si="19"/>
        <v>66.484454439999837</v>
      </c>
      <c r="M171" s="117">
        <f t="shared" si="15"/>
        <v>-8.775075333620308E-2</v>
      </c>
    </row>
    <row r="172" spans="1:13">
      <c r="A172" s="112">
        <v>169</v>
      </c>
      <c r="B172" s="107">
        <v>41885</v>
      </c>
      <c r="C172" s="108">
        <v>95.5</v>
      </c>
      <c r="D172" s="115">
        <f t="shared" si="24"/>
        <v>96.203000000000003</v>
      </c>
      <c r="E172" s="115">
        <f t="shared" si="20"/>
        <v>-0.70300000000000296</v>
      </c>
      <c r="F172" s="115">
        <f t="shared" si="21"/>
        <v>0.70300000000000296</v>
      </c>
      <c r="G172" s="115">
        <f t="shared" si="22"/>
        <v>0.49420900000000417</v>
      </c>
      <c r="H172" s="115">
        <f t="shared" si="23"/>
        <v>7.3612565445026487E-3</v>
      </c>
      <c r="I172" s="116">
        <f t="shared" si="16"/>
        <v>100.7732</v>
      </c>
      <c r="J172" s="116">
        <f t="shared" si="17"/>
        <v>-5.2732000000000028</v>
      </c>
      <c r="K172" s="116">
        <f t="shared" si="18"/>
        <v>5.2732000000000028</v>
      </c>
      <c r="L172" s="116">
        <f t="shared" si="19"/>
        <v>27.80663824000003</v>
      </c>
      <c r="M172" s="117">
        <f t="shared" si="15"/>
        <v>-5.5216753926701598E-2</v>
      </c>
    </row>
    <row r="173" spans="1:13">
      <c r="A173" s="112">
        <v>170</v>
      </c>
      <c r="B173" s="113">
        <v>41886</v>
      </c>
      <c r="C173" s="114">
        <v>94.51</v>
      </c>
      <c r="D173" s="115">
        <f t="shared" si="24"/>
        <v>96.111000000000004</v>
      </c>
      <c r="E173" s="115">
        <f t="shared" si="20"/>
        <v>-1.6009999999999991</v>
      </c>
      <c r="F173" s="115">
        <f t="shared" si="21"/>
        <v>1.6009999999999991</v>
      </c>
      <c r="G173" s="115">
        <f t="shared" si="22"/>
        <v>2.5632009999999972</v>
      </c>
      <c r="H173" s="115">
        <f t="shared" si="23"/>
        <v>1.6940006348534535E-2</v>
      </c>
      <c r="I173" s="116">
        <f t="shared" si="16"/>
        <v>100.5466</v>
      </c>
      <c r="J173" s="116">
        <f t="shared" si="17"/>
        <v>-6.0365999999999929</v>
      </c>
      <c r="K173" s="116">
        <f t="shared" si="18"/>
        <v>6.0365999999999929</v>
      </c>
      <c r="L173" s="116">
        <f t="shared" si="19"/>
        <v>36.440539559999912</v>
      </c>
      <c r="M173" s="117">
        <f t="shared" si="15"/>
        <v>-6.3872606073431301E-2</v>
      </c>
    </row>
    <row r="174" spans="1:13">
      <c r="A174" s="112">
        <v>171</v>
      </c>
      <c r="B174" s="107">
        <v>41887</v>
      </c>
      <c r="C174" s="108">
        <v>93.32</v>
      </c>
      <c r="D174" s="115">
        <f t="shared" si="24"/>
        <v>95.99</v>
      </c>
      <c r="E174" s="115">
        <f t="shared" si="20"/>
        <v>-2.6700000000000017</v>
      </c>
      <c r="F174" s="115">
        <f t="shared" si="21"/>
        <v>2.6700000000000017</v>
      </c>
      <c r="G174" s="115">
        <f t="shared" si="22"/>
        <v>7.1289000000000087</v>
      </c>
      <c r="H174" s="115">
        <f t="shared" si="23"/>
        <v>2.8611230175739411E-2</v>
      </c>
      <c r="I174" s="116">
        <f t="shared" si="16"/>
        <v>100.304</v>
      </c>
      <c r="J174" s="116">
        <f t="shared" si="17"/>
        <v>-6.9840000000000089</v>
      </c>
      <c r="K174" s="116">
        <f t="shared" si="18"/>
        <v>6.9840000000000089</v>
      </c>
      <c r="L174" s="116">
        <f t="shared" si="19"/>
        <v>48.776256000000124</v>
      </c>
      <c r="M174" s="117">
        <f t="shared" si="15"/>
        <v>-7.4839262751821789E-2</v>
      </c>
    </row>
    <row r="175" spans="1:13">
      <c r="A175" s="112">
        <v>172</v>
      </c>
      <c r="B175" s="113">
        <v>41890</v>
      </c>
      <c r="C175" s="114">
        <v>92.64</v>
      </c>
      <c r="D175" s="115">
        <f t="shared" si="24"/>
        <v>95.789000000000001</v>
      </c>
      <c r="E175" s="115">
        <f t="shared" si="20"/>
        <v>-3.1490000000000009</v>
      </c>
      <c r="F175" s="115">
        <f t="shared" si="21"/>
        <v>3.1490000000000009</v>
      </c>
      <c r="G175" s="115">
        <f t="shared" si="22"/>
        <v>9.9162010000000063</v>
      </c>
      <c r="H175" s="115">
        <f t="shared" si="23"/>
        <v>3.3991796200345432E-2</v>
      </c>
      <c r="I175" s="116">
        <f t="shared" si="16"/>
        <v>100.02959999999999</v>
      </c>
      <c r="J175" s="116">
        <f t="shared" si="17"/>
        <v>-7.3895999999999873</v>
      </c>
      <c r="K175" s="116">
        <f t="shared" si="18"/>
        <v>7.3895999999999873</v>
      </c>
      <c r="L175" s="116">
        <f t="shared" si="19"/>
        <v>54.60618815999981</v>
      </c>
      <c r="M175" s="117">
        <f t="shared" si="15"/>
        <v>-7.9766839378238211E-2</v>
      </c>
    </row>
    <row r="176" spans="1:13">
      <c r="A176" s="112">
        <v>173</v>
      </c>
      <c r="B176" s="107">
        <v>41891</v>
      </c>
      <c r="C176" s="108">
        <v>92.73</v>
      </c>
      <c r="D176" s="115">
        <f t="shared" si="24"/>
        <v>95.540499999999994</v>
      </c>
      <c r="E176" s="115">
        <f t="shared" si="20"/>
        <v>-2.8104999999999905</v>
      </c>
      <c r="F176" s="115">
        <f t="shared" si="21"/>
        <v>2.8104999999999905</v>
      </c>
      <c r="G176" s="115">
        <f t="shared" si="22"/>
        <v>7.898910249999946</v>
      </c>
      <c r="H176" s="115">
        <f t="shared" si="23"/>
        <v>3.030842230130476E-2</v>
      </c>
      <c r="I176" s="116">
        <f t="shared" si="16"/>
        <v>99.752599999999987</v>
      </c>
      <c r="J176" s="116">
        <f t="shared" si="17"/>
        <v>-7.0225999999999829</v>
      </c>
      <c r="K176" s="116">
        <f t="shared" si="18"/>
        <v>7.0225999999999829</v>
      </c>
      <c r="L176" s="116">
        <f t="shared" si="19"/>
        <v>49.316910759999757</v>
      </c>
      <c r="M176" s="117">
        <f t="shared" si="15"/>
        <v>-7.5731694165857677E-2</v>
      </c>
    </row>
    <row r="177" spans="1:13">
      <c r="A177" s="112">
        <v>174</v>
      </c>
      <c r="B177" s="113">
        <v>41892</v>
      </c>
      <c r="C177" s="114">
        <v>91.71</v>
      </c>
      <c r="D177" s="115">
        <f t="shared" si="24"/>
        <v>95.272500000000008</v>
      </c>
      <c r="E177" s="115">
        <f t="shared" si="20"/>
        <v>-3.5625000000000142</v>
      </c>
      <c r="F177" s="115">
        <f t="shared" si="21"/>
        <v>3.5625000000000142</v>
      </c>
      <c r="G177" s="115">
        <f t="shared" si="22"/>
        <v>12.691406250000101</v>
      </c>
      <c r="H177" s="115">
        <f t="shared" si="23"/>
        <v>3.8845273143604996E-2</v>
      </c>
      <c r="I177" s="116">
        <f t="shared" si="16"/>
        <v>99.47799999999998</v>
      </c>
      <c r="J177" s="116">
        <f t="shared" si="17"/>
        <v>-7.7679999999999865</v>
      </c>
      <c r="K177" s="116">
        <f t="shared" si="18"/>
        <v>7.7679999999999865</v>
      </c>
      <c r="L177" s="116">
        <f t="shared" si="19"/>
        <v>60.341823999999789</v>
      </c>
      <c r="M177" s="117">
        <f t="shared" si="15"/>
        <v>-8.4701777341620182E-2</v>
      </c>
    </row>
    <row r="178" spans="1:13">
      <c r="A178" s="112">
        <v>175</v>
      </c>
      <c r="B178" s="107">
        <v>41893</v>
      </c>
      <c r="C178" s="108">
        <v>92.89</v>
      </c>
      <c r="D178" s="115">
        <f t="shared" si="24"/>
        <v>94.990000000000009</v>
      </c>
      <c r="E178" s="115">
        <f t="shared" si="20"/>
        <v>-2.1000000000000085</v>
      </c>
      <c r="F178" s="115">
        <f t="shared" si="21"/>
        <v>2.1000000000000085</v>
      </c>
      <c r="G178" s="115">
        <f t="shared" si="22"/>
        <v>4.4100000000000357</v>
      </c>
      <c r="H178" s="115">
        <f t="shared" si="23"/>
        <v>2.2607385079125939E-2</v>
      </c>
      <c r="I178" s="116">
        <f t="shared" si="16"/>
        <v>99.190799999999996</v>
      </c>
      <c r="J178" s="116">
        <f t="shared" si="17"/>
        <v>-6.3007999999999953</v>
      </c>
      <c r="K178" s="116">
        <f t="shared" si="18"/>
        <v>6.3007999999999953</v>
      </c>
      <c r="L178" s="116">
        <f t="shared" si="19"/>
        <v>39.700080639999939</v>
      </c>
      <c r="M178" s="117">
        <f t="shared" si="15"/>
        <v>-6.7830767574550491E-2</v>
      </c>
    </row>
    <row r="179" spans="1:13">
      <c r="A179" s="112">
        <v>176</v>
      </c>
      <c r="B179" s="113">
        <v>41894</v>
      </c>
      <c r="C179" s="114">
        <v>92.18</v>
      </c>
      <c r="D179" s="115">
        <f t="shared" si="24"/>
        <v>94.756</v>
      </c>
      <c r="E179" s="115">
        <f t="shared" si="20"/>
        <v>-2.5759999999999934</v>
      </c>
      <c r="F179" s="115">
        <f t="shared" si="21"/>
        <v>2.5759999999999934</v>
      </c>
      <c r="G179" s="115">
        <f t="shared" si="22"/>
        <v>6.6357759999999661</v>
      </c>
      <c r="H179" s="115">
        <f t="shared" si="23"/>
        <v>2.7945324365372025E-2</v>
      </c>
      <c r="I179" s="116">
        <f t="shared" si="16"/>
        <v>98.92740000000002</v>
      </c>
      <c r="J179" s="116">
        <f t="shared" si="17"/>
        <v>-6.7474000000000132</v>
      </c>
      <c r="K179" s="116">
        <f t="shared" si="18"/>
        <v>6.7474000000000132</v>
      </c>
      <c r="L179" s="116">
        <f t="shared" si="19"/>
        <v>45.527406760000176</v>
      </c>
      <c r="M179" s="117">
        <f t="shared" si="15"/>
        <v>-7.319809069212424E-2</v>
      </c>
    </row>
    <row r="180" spans="1:13">
      <c r="A180" s="112">
        <v>177</v>
      </c>
      <c r="B180" s="107">
        <v>41897</v>
      </c>
      <c r="C180" s="108">
        <v>92.86</v>
      </c>
      <c r="D180" s="115">
        <f t="shared" si="24"/>
        <v>94.588000000000008</v>
      </c>
      <c r="E180" s="115">
        <f t="shared" si="20"/>
        <v>-1.7280000000000086</v>
      </c>
      <c r="F180" s="115">
        <f t="shared" si="21"/>
        <v>1.7280000000000086</v>
      </c>
      <c r="G180" s="115">
        <f t="shared" si="22"/>
        <v>2.9859840000000299</v>
      </c>
      <c r="H180" s="115">
        <f t="shared" si="23"/>
        <v>1.8608658195132549E-2</v>
      </c>
      <c r="I180" s="116">
        <f t="shared" si="16"/>
        <v>98.667400000000029</v>
      </c>
      <c r="J180" s="116">
        <f t="shared" si="17"/>
        <v>-5.8074000000000296</v>
      </c>
      <c r="K180" s="116">
        <f t="shared" si="18"/>
        <v>5.8074000000000296</v>
      </c>
      <c r="L180" s="116">
        <f t="shared" si="19"/>
        <v>33.725894760000344</v>
      </c>
      <c r="M180" s="117">
        <f t="shared" si="15"/>
        <v>-6.2539306482877768E-2</v>
      </c>
    </row>
    <row r="181" spans="1:13">
      <c r="A181" s="112">
        <v>178</v>
      </c>
      <c r="B181" s="113">
        <v>41898</v>
      </c>
      <c r="C181" s="114">
        <v>94.91</v>
      </c>
      <c r="D181" s="115">
        <f t="shared" si="24"/>
        <v>94.366000000000014</v>
      </c>
      <c r="E181" s="115">
        <f t="shared" si="20"/>
        <v>0.54399999999998272</v>
      </c>
      <c r="F181" s="115">
        <f t="shared" si="21"/>
        <v>0.54399999999998272</v>
      </c>
      <c r="G181" s="115">
        <f t="shared" si="22"/>
        <v>0.29593599999998121</v>
      </c>
      <c r="H181" s="115">
        <f t="shared" si="23"/>
        <v>5.7317458645030316E-3</v>
      </c>
      <c r="I181" s="116">
        <f t="shared" si="16"/>
        <v>98.42940000000003</v>
      </c>
      <c r="J181" s="116">
        <f t="shared" si="17"/>
        <v>-3.5194000000000329</v>
      </c>
      <c r="K181" s="116">
        <f t="shared" si="18"/>
        <v>3.5194000000000329</v>
      </c>
      <c r="L181" s="116">
        <f t="shared" si="19"/>
        <v>12.386176360000231</v>
      </c>
      <c r="M181" s="117">
        <f t="shared" si="15"/>
        <v>-3.7081445580023527E-2</v>
      </c>
    </row>
    <row r="182" spans="1:13">
      <c r="A182" s="112">
        <v>179</v>
      </c>
      <c r="B182" s="107">
        <v>41899</v>
      </c>
      <c r="C182" s="108">
        <v>94.33</v>
      </c>
      <c r="D182" s="115">
        <f t="shared" si="24"/>
        <v>94.289500000000004</v>
      </c>
      <c r="E182" s="115">
        <f t="shared" si="20"/>
        <v>4.0499999999994429E-2</v>
      </c>
      <c r="F182" s="115">
        <f t="shared" si="21"/>
        <v>4.0499999999994429E-2</v>
      </c>
      <c r="G182" s="115">
        <f t="shared" si="22"/>
        <v>1.6402499999995488E-3</v>
      </c>
      <c r="H182" s="115">
        <f t="shared" si="23"/>
        <v>4.2934379306683377E-4</v>
      </c>
      <c r="I182" s="116">
        <f t="shared" si="16"/>
        <v>98.243800000000022</v>
      </c>
      <c r="J182" s="116">
        <f t="shared" si="17"/>
        <v>-3.9138000000000233</v>
      </c>
      <c r="K182" s="116">
        <f t="shared" si="18"/>
        <v>3.9138000000000233</v>
      </c>
      <c r="L182" s="116">
        <f t="shared" si="19"/>
        <v>15.317830440000183</v>
      </c>
      <c r="M182" s="117">
        <f t="shared" si="15"/>
        <v>-4.1490512032227533E-2</v>
      </c>
    </row>
    <row r="183" spans="1:13">
      <c r="A183" s="112">
        <v>180</v>
      </c>
      <c r="B183" s="113">
        <v>41900</v>
      </c>
      <c r="C183" s="114">
        <v>93.07</v>
      </c>
      <c r="D183" s="115">
        <f t="shared" si="24"/>
        <v>94.288500000000013</v>
      </c>
      <c r="E183" s="115">
        <f t="shared" si="20"/>
        <v>-1.2185000000000201</v>
      </c>
      <c r="F183" s="115">
        <f t="shared" si="21"/>
        <v>1.2185000000000201</v>
      </c>
      <c r="G183" s="115">
        <f t="shared" si="22"/>
        <v>1.4847422500000491</v>
      </c>
      <c r="H183" s="115">
        <f t="shared" si="23"/>
        <v>1.3092296121199314E-2</v>
      </c>
      <c r="I183" s="116">
        <f t="shared" si="16"/>
        <v>98.049200000000042</v>
      </c>
      <c r="J183" s="116">
        <f t="shared" si="17"/>
        <v>-4.9792000000000485</v>
      </c>
      <c r="K183" s="116">
        <f t="shared" si="18"/>
        <v>4.9792000000000485</v>
      </c>
      <c r="L183" s="116">
        <f t="shared" si="19"/>
        <v>24.792432640000484</v>
      </c>
      <c r="M183" s="117">
        <f t="shared" ref="M183:M246" si="25">J183/C183</f>
        <v>-5.3499516492962813E-2</v>
      </c>
    </row>
    <row r="184" spans="1:13">
      <c r="A184" s="112">
        <v>181</v>
      </c>
      <c r="B184" s="107">
        <v>41901</v>
      </c>
      <c r="C184" s="108">
        <v>92.43</v>
      </c>
      <c r="D184" s="115">
        <f t="shared" si="24"/>
        <v>94.122</v>
      </c>
      <c r="E184" s="115">
        <f t="shared" si="20"/>
        <v>-1.6919999999999931</v>
      </c>
      <c r="F184" s="115">
        <f t="shared" si="21"/>
        <v>1.6919999999999931</v>
      </c>
      <c r="G184" s="115">
        <f t="shared" si="22"/>
        <v>2.8628639999999765</v>
      </c>
      <c r="H184" s="115">
        <f t="shared" si="23"/>
        <v>1.8305744888023293E-2</v>
      </c>
      <c r="I184" s="116">
        <f t="shared" ref="I184:I247" si="26">AVERAGE(C134:C183)</f>
        <v>97.852000000000032</v>
      </c>
      <c r="J184" s="116">
        <f t="shared" ref="J184:J247" si="27">C184-I184</f>
        <v>-5.4220000000000255</v>
      </c>
      <c r="K184" s="116">
        <f t="shared" ref="K184:K247" si="28">ABS(J184)</f>
        <v>5.4220000000000255</v>
      </c>
      <c r="L184" s="116">
        <f t="shared" ref="L184:L247" si="29">J184^2</f>
        <v>29.398084000000278</v>
      </c>
      <c r="M184" s="117">
        <f t="shared" si="25"/>
        <v>-5.8660608027696903E-2</v>
      </c>
    </row>
    <row r="185" spans="1:13">
      <c r="A185" s="112">
        <v>182</v>
      </c>
      <c r="B185" s="113">
        <v>41904</v>
      </c>
      <c r="C185" s="114">
        <v>91.46</v>
      </c>
      <c r="D185" s="115">
        <f t="shared" si="24"/>
        <v>94.045000000000002</v>
      </c>
      <c r="E185" s="115">
        <f t="shared" si="20"/>
        <v>-2.585000000000008</v>
      </c>
      <c r="F185" s="115">
        <f t="shared" si="21"/>
        <v>2.585000000000008</v>
      </c>
      <c r="G185" s="115">
        <f t="shared" si="22"/>
        <v>6.6822250000000407</v>
      </c>
      <c r="H185" s="115">
        <f t="shared" si="23"/>
        <v>2.8263721845615659E-2</v>
      </c>
      <c r="I185" s="116">
        <f t="shared" si="26"/>
        <v>97.628400000000013</v>
      </c>
      <c r="J185" s="116">
        <f t="shared" si="27"/>
        <v>-6.1684000000000196</v>
      </c>
      <c r="K185" s="116">
        <f t="shared" si="28"/>
        <v>6.1684000000000196</v>
      </c>
      <c r="L185" s="116">
        <f t="shared" si="29"/>
        <v>38.049158560000244</v>
      </c>
      <c r="M185" s="117">
        <f t="shared" si="25"/>
        <v>-6.744369123113951E-2</v>
      </c>
    </row>
    <row r="186" spans="1:13">
      <c r="A186" s="112">
        <v>183</v>
      </c>
      <c r="B186" s="107">
        <v>41905</v>
      </c>
      <c r="C186" s="108">
        <v>91.55</v>
      </c>
      <c r="D186" s="115">
        <f t="shared" si="24"/>
        <v>93.9375</v>
      </c>
      <c r="E186" s="115">
        <f t="shared" si="20"/>
        <v>-2.3875000000000028</v>
      </c>
      <c r="F186" s="115">
        <f t="shared" si="21"/>
        <v>2.3875000000000028</v>
      </c>
      <c r="G186" s="115">
        <f t="shared" si="22"/>
        <v>5.7001562500000134</v>
      </c>
      <c r="H186" s="115">
        <f t="shared" si="23"/>
        <v>2.6078645548880425E-2</v>
      </c>
      <c r="I186" s="116">
        <f t="shared" si="26"/>
        <v>97.428000000000011</v>
      </c>
      <c r="J186" s="116">
        <f t="shared" si="27"/>
        <v>-5.8780000000000143</v>
      </c>
      <c r="K186" s="116">
        <f t="shared" si="28"/>
        <v>5.8780000000000143</v>
      </c>
      <c r="L186" s="116">
        <f t="shared" si="29"/>
        <v>34.550884000000167</v>
      </c>
      <c r="M186" s="117">
        <f t="shared" si="25"/>
        <v>-6.4205352266521187E-2</v>
      </c>
    </row>
    <row r="187" spans="1:13">
      <c r="A187" s="112">
        <v>184</v>
      </c>
      <c r="B187" s="113">
        <v>41906</v>
      </c>
      <c r="C187" s="114">
        <v>93.6</v>
      </c>
      <c r="D187" s="115">
        <f t="shared" si="24"/>
        <v>93.745499999999993</v>
      </c>
      <c r="E187" s="115">
        <f t="shared" si="20"/>
        <v>-0.14549999999999841</v>
      </c>
      <c r="F187" s="115">
        <f t="shared" si="21"/>
        <v>0.14549999999999841</v>
      </c>
      <c r="G187" s="115">
        <f t="shared" si="22"/>
        <v>2.1170249999999537E-2</v>
      </c>
      <c r="H187" s="115">
        <f t="shared" si="23"/>
        <v>1.5544871794871626E-3</v>
      </c>
      <c r="I187" s="116">
        <f t="shared" si="26"/>
        <v>97.224400000000017</v>
      </c>
      <c r="J187" s="116">
        <f t="shared" si="27"/>
        <v>-3.6244000000000227</v>
      </c>
      <c r="K187" s="116">
        <f t="shared" si="28"/>
        <v>3.6244000000000227</v>
      </c>
      <c r="L187" s="116">
        <f t="shared" si="29"/>
        <v>13.136275360000164</v>
      </c>
      <c r="M187" s="117">
        <f t="shared" si="25"/>
        <v>-3.872222222222247E-2</v>
      </c>
    </row>
    <row r="188" spans="1:13">
      <c r="A188" s="112">
        <v>185</v>
      </c>
      <c r="B188" s="107">
        <v>41907</v>
      </c>
      <c r="C188" s="108">
        <v>93.59</v>
      </c>
      <c r="D188" s="115">
        <f t="shared" si="24"/>
        <v>93.636499999999998</v>
      </c>
      <c r="E188" s="115">
        <f t="shared" si="20"/>
        <v>-4.6499999999994657E-2</v>
      </c>
      <c r="F188" s="115">
        <f t="shared" si="21"/>
        <v>4.6499999999994657E-2</v>
      </c>
      <c r="G188" s="115">
        <f t="shared" si="22"/>
        <v>2.1622499999995031E-3</v>
      </c>
      <c r="H188" s="115">
        <f t="shared" si="23"/>
        <v>4.9684795384116525E-4</v>
      </c>
      <c r="I188" s="116">
        <f t="shared" si="26"/>
        <v>97.0852</v>
      </c>
      <c r="J188" s="116">
        <f t="shared" si="27"/>
        <v>-3.495199999999997</v>
      </c>
      <c r="K188" s="116">
        <f t="shared" si="28"/>
        <v>3.495199999999997</v>
      </c>
      <c r="L188" s="116">
        <f t="shared" si="29"/>
        <v>12.216423039999979</v>
      </c>
      <c r="M188" s="117">
        <f t="shared" si="25"/>
        <v>-3.7345870285286853E-2</v>
      </c>
    </row>
    <row r="189" spans="1:13">
      <c r="A189" s="112">
        <v>186</v>
      </c>
      <c r="B189" s="113">
        <v>41908</v>
      </c>
      <c r="C189" s="114">
        <v>95.55</v>
      </c>
      <c r="D189" s="115">
        <f t="shared" si="24"/>
        <v>93.524999999999991</v>
      </c>
      <c r="E189" s="115">
        <f t="shared" si="20"/>
        <v>2.0250000000000057</v>
      </c>
      <c r="F189" s="115">
        <f t="shared" si="21"/>
        <v>2.0250000000000057</v>
      </c>
      <c r="G189" s="115">
        <f t="shared" si="22"/>
        <v>4.1006250000000231</v>
      </c>
      <c r="H189" s="115">
        <f t="shared" si="23"/>
        <v>2.1193092621664109E-2</v>
      </c>
      <c r="I189" s="116">
        <f t="shared" si="26"/>
        <v>96.919400000000024</v>
      </c>
      <c r="J189" s="116">
        <f t="shared" si="27"/>
        <v>-1.3694000000000273</v>
      </c>
      <c r="K189" s="116">
        <f t="shared" si="28"/>
        <v>1.3694000000000273</v>
      </c>
      <c r="L189" s="116">
        <f t="shared" si="29"/>
        <v>1.8752563600000747</v>
      </c>
      <c r="M189" s="117">
        <f t="shared" si="25"/>
        <v>-1.4331763474620902E-2</v>
      </c>
    </row>
    <row r="190" spans="1:13">
      <c r="A190" s="112">
        <v>187</v>
      </c>
      <c r="B190" s="107">
        <v>41911</v>
      </c>
      <c r="C190" s="108">
        <v>94.53</v>
      </c>
      <c r="D190" s="115">
        <f t="shared" si="24"/>
        <v>93.480499999999978</v>
      </c>
      <c r="E190" s="115">
        <f t="shared" si="20"/>
        <v>1.0495000000000232</v>
      </c>
      <c r="F190" s="115">
        <f t="shared" si="21"/>
        <v>1.0495000000000232</v>
      </c>
      <c r="G190" s="115">
        <f t="shared" si="22"/>
        <v>1.1014502500000487</v>
      </c>
      <c r="H190" s="115">
        <f t="shared" si="23"/>
        <v>1.110229556754494E-2</v>
      </c>
      <c r="I190" s="116">
        <f t="shared" si="26"/>
        <v>96.75360000000002</v>
      </c>
      <c r="J190" s="116">
        <f t="shared" si="27"/>
        <v>-2.2236000000000189</v>
      </c>
      <c r="K190" s="116">
        <f t="shared" si="28"/>
        <v>2.2236000000000189</v>
      </c>
      <c r="L190" s="116">
        <f t="shared" si="29"/>
        <v>4.9443969600000841</v>
      </c>
      <c r="M190" s="117">
        <f t="shared" si="25"/>
        <v>-2.3522691209140155E-2</v>
      </c>
    </row>
    <row r="191" spans="1:13">
      <c r="A191" s="112">
        <v>188</v>
      </c>
      <c r="B191" s="113">
        <v>41912</v>
      </c>
      <c r="C191" s="114">
        <v>91.17</v>
      </c>
      <c r="D191" s="115">
        <f t="shared" si="24"/>
        <v>93.313999999999993</v>
      </c>
      <c r="E191" s="115">
        <f t="shared" si="20"/>
        <v>-2.1439999999999912</v>
      </c>
      <c r="F191" s="115">
        <f t="shared" si="21"/>
        <v>2.1439999999999912</v>
      </c>
      <c r="G191" s="115">
        <f t="shared" si="22"/>
        <v>4.5967359999999626</v>
      </c>
      <c r="H191" s="115">
        <f t="shared" si="23"/>
        <v>2.3516507623121543E-2</v>
      </c>
      <c r="I191" s="116">
        <f t="shared" si="26"/>
        <v>96.567600000000027</v>
      </c>
      <c r="J191" s="116">
        <f t="shared" si="27"/>
        <v>-5.3976000000000255</v>
      </c>
      <c r="K191" s="116">
        <f t="shared" si="28"/>
        <v>5.3976000000000255</v>
      </c>
      <c r="L191" s="116">
        <f t="shared" si="29"/>
        <v>29.134085760000275</v>
      </c>
      <c r="M191" s="117">
        <f t="shared" si="25"/>
        <v>-5.9203685422836737E-2</v>
      </c>
    </row>
    <row r="192" spans="1:13">
      <c r="A192" s="112">
        <v>189</v>
      </c>
      <c r="B192" s="107">
        <v>41913</v>
      </c>
      <c r="C192" s="108">
        <v>90.74</v>
      </c>
      <c r="D192" s="115">
        <f t="shared" si="24"/>
        <v>93.226499999999987</v>
      </c>
      <c r="E192" s="115">
        <f t="shared" si="20"/>
        <v>-2.4864999999999924</v>
      </c>
      <c r="F192" s="115">
        <f t="shared" si="21"/>
        <v>2.4864999999999924</v>
      </c>
      <c r="G192" s="115">
        <f t="shared" si="22"/>
        <v>6.1826822499999619</v>
      </c>
      <c r="H192" s="115">
        <f t="shared" si="23"/>
        <v>2.7402468591580256E-2</v>
      </c>
      <c r="I192" s="116">
        <f t="shared" si="26"/>
        <v>96.284200000000013</v>
      </c>
      <c r="J192" s="116">
        <f t="shared" si="27"/>
        <v>-5.5442000000000178</v>
      </c>
      <c r="K192" s="116">
        <f t="shared" si="28"/>
        <v>5.5442000000000178</v>
      </c>
      <c r="L192" s="116">
        <f t="shared" si="29"/>
        <v>30.738153640000196</v>
      </c>
      <c r="M192" s="117">
        <f t="shared" si="25"/>
        <v>-6.1099845713026429E-2</v>
      </c>
    </row>
    <row r="193" spans="1:13">
      <c r="A193" s="112">
        <v>190</v>
      </c>
      <c r="B193" s="113">
        <v>41914</v>
      </c>
      <c r="C193" s="114">
        <v>91.02</v>
      </c>
      <c r="D193" s="115">
        <f t="shared" si="24"/>
        <v>92.988500000000002</v>
      </c>
      <c r="E193" s="115">
        <f t="shared" si="20"/>
        <v>-1.9685000000000059</v>
      </c>
      <c r="F193" s="115">
        <f t="shared" si="21"/>
        <v>1.9685000000000059</v>
      </c>
      <c r="G193" s="115">
        <f t="shared" si="22"/>
        <v>3.8749922500000231</v>
      </c>
      <c r="H193" s="115">
        <f t="shared" si="23"/>
        <v>2.1627114919797911E-2</v>
      </c>
      <c r="I193" s="116">
        <f t="shared" si="26"/>
        <v>96.007199999999997</v>
      </c>
      <c r="J193" s="116">
        <f t="shared" si="27"/>
        <v>-4.9872000000000014</v>
      </c>
      <c r="K193" s="116">
        <f t="shared" si="28"/>
        <v>4.9872000000000014</v>
      </c>
      <c r="L193" s="116">
        <f t="shared" si="29"/>
        <v>24.872163840000013</v>
      </c>
      <c r="M193" s="117">
        <f t="shared" si="25"/>
        <v>-5.4792353328938712E-2</v>
      </c>
    </row>
    <row r="194" spans="1:13">
      <c r="A194" s="112">
        <v>191</v>
      </c>
      <c r="B194" s="107">
        <v>41915</v>
      </c>
      <c r="C194" s="108">
        <v>89.76</v>
      </c>
      <c r="D194" s="115">
        <f t="shared" si="24"/>
        <v>92.813999999999993</v>
      </c>
      <c r="E194" s="115">
        <f t="shared" si="20"/>
        <v>-3.0539999999999878</v>
      </c>
      <c r="F194" s="115">
        <f t="shared" si="21"/>
        <v>3.0539999999999878</v>
      </c>
      <c r="G194" s="115">
        <f t="shared" si="22"/>
        <v>9.326915999999926</v>
      </c>
      <c r="H194" s="115">
        <f t="shared" si="23"/>
        <v>3.4024064171122859E-2</v>
      </c>
      <c r="I194" s="116">
        <f t="shared" si="26"/>
        <v>95.751400000000018</v>
      </c>
      <c r="J194" s="116">
        <f t="shared" si="27"/>
        <v>-5.9914000000000129</v>
      </c>
      <c r="K194" s="116">
        <f t="shared" si="28"/>
        <v>5.9914000000000129</v>
      </c>
      <c r="L194" s="116">
        <f t="shared" si="29"/>
        <v>35.896873960000157</v>
      </c>
      <c r="M194" s="117">
        <f t="shared" si="25"/>
        <v>-6.6749108734402998E-2</v>
      </c>
    </row>
    <row r="195" spans="1:13">
      <c r="A195" s="112">
        <v>192</v>
      </c>
      <c r="B195" s="113">
        <v>41918</v>
      </c>
      <c r="C195" s="114">
        <v>90.33</v>
      </c>
      <c r="D195" s="115">
        <f t="shared" si="24"/>
        <v>92.635999999999996</v>
      </c>
      <c r="E195" s="115">
        <f t="shared" si="20"/>
        <v>-2.3059999999999974</v>
      </c>
      <c r="F195" s="115">
        <f t="shared" si="21"/>
        <v>2.3059999999999974</v>
      </c>
      <c r="G195" s="115">
        <f t="shared" si="22"/>
        <v>5.3176359999999878</v>
      </c>
      <c r="H195" s="115">
        <f t="shared" si="23"/>
        <v>2.5528617292150974E-2</v>
      </c>
      <c r="I195" s="116">
        <f t="shared" si="26"/>
        <v>95.491400000000027</v>
      </c>
      <c r="J195" s="116">
        <f t="shared" si="27"/>
        <v>-5.1614000000000289</v>
      </c>
      <c r="K195" s="116">
        <f t="shared" si="28"/>
        <v>5.1614000000000289</v>
      </c>
      <c r="L195" s="116">
        <f t="shared" si="29"/>
        <v>26.640049960000297</v>
      </c>
      <c r="M195" s="117">
        <f t="shared" si="25"/>
        <v>-5.7139377836820868E-2</v>
      </c>
    </row>
    <row r="196" spans="1:13">
      <c r="A196" s="112">
        <v>193</v>
      </c>
      <c r="B196" s="107">
        <v>41919</v>
      </c>
      <c r="C196" s="108">
        <v>88.89</v>
      </c>
      <c r="D196" s="115">
        <f t="shared" si="24"/>
        <v>92.520499999999998</v>
      </c>
      <c r="E196" s="115">
        <f t="shared" si="20"/>
        <v>-3.6304999999999978</v>
      </c>
      <c r="F196" s="115">
        <f t="shared" si="21"/>
        <v>3.6304999999999978</v>
      </c>
      <c r="G196" s="115">
        <f t="shared" si="22"/>
        <v>13.180530249999984</v>
      </c>
      <c r="H196" s="115">
        <f t="shared" si="23"/>
        <v>4.0842614467319134E-2</v>
      </c>
      <c r="I196" s="116">
        <f t="shared" si="26"/>
        <v>95.193400000000025</v>
      </c>
      <c r="J196" s="116">
        <f t="shared" si="27"/>
        <v>-6.3034000000000248</v>
      </c>
      <c r="K196" s="116">
        <f t="shared" si="28"/>
        <v>6.3034000000000248</v>
      </c>
      <c r="L196" s="116">
        <f t="shared" si="29"/>
        <v>39.732851560000313</v>
      </c>
      <c r="M196" s="117">
        <f t="shared" si="25"/>
        <v>-7.091236359545533E-2</v>
      </c>
    </row>
    <row r="197" spans="1:13">
      <c r="A197" s="112">
        <v>194</v>
      </c>
      <c r="B197" s="113">
        <v>41920</v>
      </c>
      <c r="C197" s="114">
        <v>87.29</v>
      </c>
      <c r="D197" s="115">
        <f t="shared" si="24"/>
        <v>92.328500000000005</v>
      </c>
      <c r="E197" s="115">
        <f t="shared" si="20"/>
        <v>-5.0384999999999991</v>
      </c>
      <c r="F197" s="115">
        <f t="shared" si="21"/>
        <v>5.0384999999999991</v>
      </c>
      <c r="G197" s="115">
        <f t="shared" si="22"/>
        <v>25.38648224999999</v>
      </c>
      <c r="H197" s="115">
        <f t="shared" si="23"/>
        <v>5.7721388475197602E-2</v>
      </c>
      <c r="I197" s="116">
        <f t="shared" si="26"/>
        <v>94.857600000000019</v>
      </c>
      <c r="J197" s="116">
        <f t="shared" si="27"/>
        <v>-7.567600000000013</v>
      </c>
      <c r="K197" s="116">
        <f t="shared" si="28"/>
        <v>7.567600000000013</v>
      </c>
      <c r="L197" s="116">
        <f t="shared" si="29"/>
        <v>57.268569760000197</v>
      </c>
      <c r="M197" s="117">
        <f t="shared" si="25"/>
        <v>-8.6694924962767927E-2</v>
      </c>
    </row>
    <row r="198" spans="1:13">
      <c r="A198" s="112">
        <v>195</v>
      </c>
      <c r="B198" s="107">
        <v>41921</v>
      </c>
      <c r="C198" s="108">
        <v>85.76</v>
      </c>
      <c r="D198" s="115">
        <f t="shared" si="24"/>
        <v>92.107500000000002</v>
      </c>
      <c r="E198" s="115">
        <f t="shared" si="20"/>
        <v>-6.3474999999999966</v>
      </c>
      <c r="F198" s="115">
        <f t="shared" si="21"/>
        <v>6.3474999999999966</v>
      </c>
      <c r="G198" s="115">
        <f t="shared" si="22"/>
        <v>40.290756249999959</v>
      </c>
      <c r="H198" s="115">
        <f t="shared" si="23"/>
        <v>7.4014692164179066E-2</v>
      </c>
      <c r="I198" s="116">
        <f t="shared" si="26"/>
        <v>94.505200000000016</v>
      </c>
      <c r="J198" s="116">
        <f t="shared" si="27"/>
        <v>-8.7452000000000112</v>
      </c>
      <c r="K198" s="116">
        <f t="shared" si="28"/>
        <v>8.7452000000000112</v>
      </c>
      <c r="L198" s="116">
        <f t="shared" si="29"/>
        <v>76.478523040000198</v>
      </c>
      <c r="M198" s="117">
        <f t="shared" si="25"/>
        <v>-0.10197294776119416</v>
      </c>
    </row>
    <row r="199" spans="1:13">
      <c r="A199" s="112">
        <v>196</v>
      </c>
      <c r="B199" s="113">
        <v>41922</v>
      </c>
      <c r="C199" s="114">
        <v>85.87</v>
      </c>
      <c r="D199" s="115">
        <f t="shared" si="24"/>
        <v>91.751000000000005</v>
      </c>
      <c r="E199" s="115">
        <f t="shared" si="20"/>
        <v>-5.8810000000000002</v>
      </c>
      <c r="F199" s="115">
        <f t="shared" si="21"/>
        <v>5.8810000000000002</v>
      </c>
      <c r="G199" s="115">
        <f t="shared" si="22"/>
        <v>34.586161000000004</v>
      </c>
      <c r="H199" s="115">
        <f t="shared" si="23"/>
        <v>6.8487248165832071E-2</v>
      </c>
      <c r="I199" s="116">
        <f t="shared" si="26"/>
        <v>94.134600000000049</v>
      </c>
      <c r="J199" s="116">
        <f t="shared" si="27"/>
        <v>-8.2646000000000441</v>
      </c>
      <c r="K199" s="116">
        <f t="shared" si="28"/>
        <v>8.2646000000000441</v>
      </c>
      <c r="L199" s="116">
        <f t="shared" si="29"/>
        <v>68.303613160000737</v>
      </c>
      <c r="M199" s="117">
        <f t="shared" si="25"/>
        <v>-9.6245487364621449E-2</v>
      </c>
    </row>
    <row r="200" spans="1:13">
      <c r="A200" s="112">
        <v>197</v>
      </c>
      <c r="B200" s="107">
        <v>41925</v>
      </c>
      <c r="C200" s="108">
        <v>85.73</v>
      </c>
      <c r="D200" s="115">
        <f t="shared" si="24"/>
        <v>91.435500000000005</v>
      </c>
      <c r="E200" s="115">
        <f t="shared" si="20"/>
        <v>-5.7055000000000007</v>
      </c>
      <c r="F200" s="115">
        <f t="shared" si="21"/>
        <v>5.7055000000000007</v>
      </c>
      <c r="G200" s="115">
        <f t="shared" si="22"/>
        <v>32.55273025000001</v>
      </c>
      <c r="H200" s="115">
        <f t="shared" si="23"/>
        <v>6.6551965472996619E-2</v>
      </c>
      <c r="I200" s="116">
        <f t="shared" si="26"/>
        <v>93.887400000000014</v>
      </c>
      <c r="J200" s="116">
        <f t="shared" si="27"/>
        <v>-8.1574000000000098</v>
      </c>
      <c r="K200" s="116">
        <f t="shared" si="28"/>
        <v>8.1574000000000098</v>
      </c>
      <c r="L200" s="116">
        <f t="shared" si="29"/>
        <v>66.543174760000156</v>
      </c>
      <c r="M200" s="117">
        <f t="shared" si="25"/>
        <v>-9.5152222092616465E-2</v>
      </c>
    </row>
    <row r="201" spans="1:13">
      <c r="A201" s="112">
        <v>198</v>
      </c>
      <c r="B201" s="113">
        <v>41926</v>
      </c>
      <c r="C201" s="114">
        <v>81.72</v>
      </c>
      <c r="D201" s="115">
        <f t="shared" si="24"/>
        <v>91.078999999999994</v>
      </c>
      <c r="E201" s="115">
        <f t="shared" si="20"/>
        <v>-9.3589999999999947</v>
      </c>
      <c r="F201" s="115">
        <f t="shared" si="21"/>
        <v>9.3589999999999947</v>
      </c>
      <c r="G201" s="115">
        <f t="shared" si="22"/>
        <v>87.590880999999897</v>
      </c>
      <c r="H201" s="115">
        <f t="shared" si="23"/>
        <v>0.1145252080274106</v>
      </c>
      <c r="I201" s="116">
        <f t="shared" si="26"/>
        <v>93.644799999999989</v>
      </c>
      <c r="J201" s="116">
        <f t="shared" si="27"/>
        <v>-11.924799999999991</v>
      </c>
      <c r="K201" s="116">
        <f t="shared" si="28"/>
        <v>11.924799999999991</v>
      </c>
      <c r="L201" s="116">
        <f t="shared" si="29"/>
        <v>142.20085503999977</v>
      </c>
      <c r="M201" s="117">
        <f t="shared" si="25"/>
        <v>-0.14592266275085647</v>
      </c>
    </row>
    <row r="202" spans="1:13">
      <c r="A202" s="112">
        <v>199</v>
      </c>
      <c r="B202" s="107">
        <v>41927</v>
      </c>
      <c r="C202" s="108">
        <v>81.819999999999993</v>
      </c>
      <c r="D202" s="115">
        <f t="shared" si="24"/>
        <v>90.419499999999999</v>
      </c>
      <c r="E202" s="115">
        <f t="shared" si="20"/>
        <v>-8.5995000000000061</v>
      </c>
      <c r="F202" s="115">
        <f t="shared" si="21"/>
        <v>8.5995000000000061</v>
      </c>
      <c r="G202" s="115">
        <f t="shared" si="22"/>
        <v>73.951400250000106</v>
      </c>
      <c r="H202" s="115">
        <f t="shared" si="23"/>
        <v>0.10510266438523597</v>
      </c>
      <c r="I202" s="116">
        <f t="shared" si="26"/>
        <v>93.314000000000021</v>
      </c>
      <c r="J202" s="116">
        <f t="shared" si="27"/>
        <v>-11.494000000000028</v>
      </c>
      <c r="K202" s="116">
        <f t="shared" si="28"/>
        <v>11.494000000000028</v>
      </c>
      <c r="L202" s="116">
        <f t="shared" si="29"/>
        <v>132.11203600000064</v>
      </c>
      <c r="M202" s="117">
        <f t="shared" si="25"/>
        <v>-0.14047910046443449</v>
      </c>
    </row>
    <row r="203" spans="1:13">
      <c r="A203" s="112">
        <v>200</v>
      </c>
      <c r="B203" s="113">
        <v>41928</v>
      </c>
      <c r="C203" s="114">
        <v>82.33</v>
      </c>
      <c r="D203" s="115">
        <f t="shared" si="24"/>
        <v>89.794000000000011</v>
      </c>
      <c r="E203" s="115">
        <f t="shared" si="20"/>
        <v>-7.4640000000000128</v>
      </c>
      <c r="F203" s="115">
        <f t="shared" si="21"/>
        <v>7.4640000000000128</v>
      </c>
      <c r="G203" s="115">
        <f t="shared" si="22"/>
        <v>55.711296000000189</v>
      </c>
      <c r="H203" s="115">
        <f t="shared" si="23"/>
        <v>9.0659540872100236E-2</v>
      </c>
      <c r="I203" s="116">
        <f t="shared" si="26"/>
        <v>93.003600000000006</v>
      </c>
      <c r="J203" s="116">
        <f t="shared" si="27"/>
        <v>-10.673600000000008</v>
      </c>
      <c r="K203" s="116">
        <f t="shared" si="28"/>
        <v>10.673600000000008</v>
      </c>
      <c r="L203" s="116">
        <f t="shared" si="29"/>
        <v>113.92573696000017</v>
      </c>
      <c r="M203" s="117">
        <f t="shared" si="25"/>
        <v>-0.12964411514636229</v>
      </c>
    </row>
    <row r="204" spans="1:13">
      <c r="A204" s="112">
        <v>201</v>
      </c>
      <c r="B204" s="107">
        <v>41929</v>
      </c>
      <c r="C204" s="108">
        <v>82.8</v>
      </c>
      <c r="D204" s="115">
        <f t="shared" si="24"/>
        <v>89.256999999999991</v>
      </c>
      <c r="E204" s="115">
        <f t="shared" si="20"/>
        <v>-6.4569999999999936</v>
      </c>
      <c r="F204" s="115">
        <f t="shared" si="21"/>
        <v>6.4569999999999936</v>
      </c>
      <c r="G204" s="115">
        <f t="shared" si="22"/>
        <v>41.692848999999917</v>
      </c>
      <c r="H204" s="115">
        <f t="shared" si="23"/>
        <v>7.7983091787439535E-2</v>
      </c>
      <c r="I204" s="116">
        <f t="shared" si="26"/>
        <v>92.711600000000004</v>
      </c>
      <c r="J204" s="116">
        <f t="shared" si="27"/>
        <v>-9.9116000000000071</v>
      </c>
      <c r="K204" s="116">
        <f t="shared" si="28"/>
        <v>9.9116000000000071</v>
      </c>
      <c r="L204" s="116">
        <f t="shared" si="29"/>
        <v>98.239814560000141</v>
      </c>
      <c r="M204" s="117">
        <f t="shared" si="25"/>
        <v>-0.11970531400966193</v>
      </c>
    </row>
    <row r="205" spans="1:13">
      <c r="A205" s="112">
        <v>202</v>
      </c>
      <c r="B205" s="113">
        <v>41932</v>
      </c>
      <c r="C205" s="114">
        <v>82.76</v>
      </c>
      <c r="D205" s="115">
        <f t="shared" si="24"/>
        <v>88.775499999999994</v>
      </c>
      <c r="E205" s="115">
        <f t="shared" si="20"/>
        <v>-6.0154999999999887</v>
      </c>
      <c r="F205" s="115">
        <f t="shared" si="21"/>
        <v>6.0154999999999887</v>
      </c>
      <c r="G205" s="115">
        <f t="shared" si="22"/>
        <v>36.186240249999862</v>
      </c>
      <c r="H205" s="115">
        <f t="shared" si="23"/>
        <v>7.2686080231995992E-2</v>
      </c>
      <c r="I205" s="116">
        <f t="shared" si="26"/>
        <v>92.4208</v>
      </c>
      <c r="J205" s="116">
        <f t="shared" si="27"/>
        <v>-9.6607999999999947</v>
      </c>
      <c r="K205" s="116">
        <f t="shared" si="28"/>
        <v>9.6607999999999947</v>
      </c>
      <c r="L205" s="116">
        <f t="shared" si="29"/>
        <v>93.3310566399999</v>
      </c>
      <c r="M205" s="117">
        <f t="shared" si="25"/>
        <v>-0.11673272112131457</v>
      </c>
    </row>
    <row r="206" spans="1:13">
      <c r="A206" s="112">
        <v>203</v>
      </c>
      <c r="B206" s="107">
        <v>41933</v>
      </c>
      <c r="C206" s="108">
        <v>83.25</v>
      </c>
      <c r="D206" s="115">
        <f t="shared" si="24"/>
        <v>88.340499999999992</v>
      </c>
      <c r="E206" s="115">
        <f t="shared" si="20"/>
        <v>-5.0904999999999916</v>
      </c>
      <c r="F206" s="115">
        <f t="shared" si="21"/>
        <v>5.0904999999999916</v>
      </c>
      <c r="G206" s="115">
        <f t="shared" si="22"/>
        <v>25.913190249999914</v>
      </c>
      <c r="H206" s="115">
        <f t="shared" si="23"/>
        <v>6.1147147147147043E-2</v>
      </c>
      <c r="I206" s="116">
        <f t="shared" si="26"/>
        <v>92.123800000000017</v>
      </c>
      <c r="J206" s="116">
        <f t="shared" si="27"/>
        <v>-8.873800000000017</v>
      </c>
      <c r="K206" s="116">
        <f t="shared" si="28"/>
        <v>8.873800000000017</v>
      </c>
      <c r="L206" s="116">
        <f t="shared" si="29"/>
        <v>78.744326440000307</v>
      </c>
      <c r="M206" s="117">
        <f t="shared" si="25"/>
        <v>-0.1065921921921924</v>
      </c>
    </row>
    <row r="207" spans="1:13">
      <c r="A207" s="112">
        <v>204</v>
      </c>
      <c r="B207" s="113">
        <v>41934</v>
      </c>
      <c r="C207" s="114">
        <v>80.52</v>
      </c>
      <c r="D207" s="115">
        <f t="shared" si="24"/>
        <v>87.925499999999985</v>
      </c>
      <c r="E207" s="115">
        <f t="shared" si="20"/>
        <v>-7.4054999999999893</v>
      </c>
      <c r="F207" s="115">
        <f t="shared" si="21"/>
        <v>7.4054999999999893</v>
      </c>
      <c r="G207" s="115">
        <f t="shared" si="22"/>
        <v>54.841430249999839</v>
      </c>
      <c r="H207" s="115">
        <f t="shared" si="23"/>
        <v>9.1970938897168272E-2</v>
      </c>
      <c r="I207" s="116">
        <f t="shared" si="26"/>
        <v>91.827000000000012</v>
      </c>
      <c r="J207" s="116">
        <f t="shared" si="27"/>
        <v>-11.307000000000016</v>
      </c>
      <c r="K207" s="116">
        <f t="shared" si="28"/>
        <v>11.307000000000016</v>
      </c>
      <c r="L207" s="116">
        <f t="shared" si="29"/>
        <v>127.84824900000037</v>
      </c>
      <c r="M207" s="117">
        <f t="shared" si="25"/>
        <v>-0.14042473919523121</v>
      </c>
    </row>
    <row r="208" spans="1:13">
      <c r="A208" s="112">
        <v>205</v>
      </c>
      <c r="B208" s="107">
        <v>41935</v>
      </c>
      <c r="C208" s="108">
        <v>82.81</v>
      </c>
      <c r="D208" s="115">
        <f t="shared" si="24"/>
        <v>87.271499999999989</v>
      </c>
      <c r="E208" s="115">
        <f t="shared" si="20"/>
        <v>-4.4614999999999867</v>
      </c>
      <c r="F208" s="115">
        <f t="shared" si="21"/>
        <v>4.4614999999999867</v>
      </c>
      <c r="G208" s="115">
        <f t="shared" si="22"/>
        <v>19.904982249999883</v>
      </c>
      <c r="H208" s="115">
        <f t="shared" si="23"/>
        <v>5.3876343436782832E-2</v>
      </c>
      <c r="I208" s="116">
        <f t="shared" si="26"/>
        <v>91.490200000000016</v>
      </c>
      <c r="J208" s="116">
        <f t="shared" si="27"/>
        <v>-8.6802000000000135</v>
      </c>
      <c r="K208" s="116">
        <f t="shared" si="28"/>
        <v>8.6802000000000135</v>
      </c>
      <c r="L208" s="116">
        <f t="shared" si="29"/>
        <v>75.345872040000231</v>
      </c>
      <c r="M208" s="117">
        <f t="shared" si="25"/>
        <v>-0.10482067383166301</v>
      </c>
    </row>
    <row r="209" spans="1:13">
      <c r="A209" s="112">
        <v>206</v>
      </c>
      <c r="B209" s="113">
        <v>41936</v>
      </c>
      <c r="C209" s="114">
        <v>81.27</v>
      </c>
      <c r="D209" s="115">
        <f t="shared" si="24"/>
        <v>86.732499999999987</v>
      </c>
      <c r="E209" s="115">
        <f t="shared" si="20"/>
        <v>-5.4624999999999915</v>
      </c>
      <c r="F209" s="115">
        <f t="shared" si="21"/>
        <v>5.4624999999999915</v>
      </c>
      <c r="G209" s="115">
        <f t="shared" si="22"/>
        <v>29.838906249999908</v>
      </c>
      <c r="H209" s="115">
        <f t="shared" si="23"/>
        <v>6.7214224190968272E-2</v>
      </c>
      <c r="I209" s="116">
        <f t="shared" si="26"/>
        <v>91.195000000000036</v>
      </c>
      <c r="J209" s="116">
        <f t="shared" si="27"/>
        <v>-9.9250000000000398</v>
      </c>
      <c r="K209" s="116">
        <f t="shared" si="28"/>
        <v>9.9250000000000398</v>
      </c>
      <c r="L209" s="116">
        <f t="shared" si="29"/>
        <v>98.505625000000791</v>
      </c>
      <c r="M209" s="117">
        <f t="shared" si="25"/>
        <v>-0.12212378491448309</v>
      </c>
    </row>
    <row r="210" spans="1:13">
      <c r="A210" s="112">
        <v>207</v>
      </c>
      <c r="B210" s="107">
        <v>41939</v>
      </c>
      <c r="C210" s="108">
        <v>81.260000000000005</v>
      </c>
      <c r="D210" s="115">
        <f t="shared" si="24"/>
        <v>86.018499999999989</v>
      </c>
      <c r="E210" s="115">
        <f t="shared" si="20"/>
        <v>-4.7584999999999837</v>
      </c>
      <c r="F210" s="115">
        <f t="shared" si="21"/>
        <v>4.7584999999999837</v>
      </c>
      <c r="G210" s="115">
        <f t="shared" si="22"/>
        <v>22.643322249999844</v>
      </c>
      <c r="H210" s="115">
        <f t="shared" si="23"/>
        <v>5.8558946591188571E-2</v>
      </c>
      <c r="I210" s="116">
        <f t="shared" si="26"/>
        <v>90.90960000000004</v>
      </c>
      <c r="J210" s="116">
        <f t="shared" si="27"/>
        <v>-9.649600000000035</v>
      </c>
      <c r="K210" s="116">
        <f t="shared" si="28"/>
        <v>9.649600000000035</v>
      </c>
      <c r="L210" s="116">
        <f t="shared" si="29"/>
        <v>93.114780160000677</v>
      </c>
      <c r="M210" s="117">
        <f t="shared" si="25"/>
        <v>-0.11874969234555789</v>
      </c>
    </row>
    <row r="211" spans="1:13">
      <c r="A211" s="112">
        <v>208</v>
      </c>
      <c r="B211" s="113">
        <v>41940</v>
      </c>
      <c r="C211" s="114">
        <v>81.36</v>
      </c>
      <c r="D211" s="115">
        <f t="shared" si="24"/>
        <v>85.35499999999999</v>
      </c>
      <c r="E211" s="115">
        <f t="shared" si="20"/>
        <v>-3.9949999999999903</v>
      </c>
      <c r="F211" s="115">
        <f t="shared" si="21"/>
        <v>3.9949999999999903</v>
      </c>
      <c r="G211" s="115">
        <f t="shared" si="22"/>
        <v>15.960024999999924</v>
      </c>
      <c r="H211" s="115">
        <f t="shared" si="23"/>
        <v>4.9102753195673428E-2</v>
      </c>
      <c r="I211" s="116">
        <f t="shared" si="26"/>
        <v>90.588800000000049</v>
      </c>
      <c r="J211" s="116">
        <f t="shared" si="27"/>
        <v>-9.2288000000000494</v>
      </c>
      <c r="K211" s="116">
        <f t="shared" si="28"/>
        <v>9.2288000000000494</v>
      </c>
      <c r="L211" s="116">
        <f t="shared" si="29"/>
        <v>85.170749440000918</v>
      </c>
      <c r="M211" s="117">
        <f t="shared" si="25"/>
        <v>-0.11343166175024642</v>
      </c>
    </row>
    <row r="212" spans="1:13">
      <c r="A212" s="112">
        <v>209</v>
      </c>
      <c r="B212" s="107">
        <v>41941</v>
      </c>
      <c r="C212" s="108">
        <v>82.25</v>
      </c>
      <c r="D212" s="115">
        <f t="shared" si="24"/>
        <v>84.864499999999992</v>
      </c>
      <c r="E212" s="115">
        <f t="shared" si="20"/>
        <v>-2.6144999999999925</v>
      </c>
      <c r="F212" s="115">
        <f t="shared" si="21"/>
        <v>2.6144999999999925</v>
      </c>
      <c r="G212" s="115">
        <f t="shared" si="22"/>
        <v>6.8356102499999611</v>
      </c>
      <c r="H212" s="115">
        <f t="shared" si="23"/>
        <v>3.1787234042553097E-2</v>
      </c>
      <c r="I212" s="116">
        <f t="shared" si="26"/>
        <v>90.287200000000041</v>
      </c>
      <c r="J212" s="116">
        <f t="shared" si="27"/>
        <v>-8.0372000000000412</v>
      </c>
      <c r="K212" s="116">
        <f t="shared" si="28"/>
        <v>8.0372000000000412</v>
      </c>
      <c r="L212" s="116">
        <f t="shared" si="29"/>
        <v>64.596583840000662</v>
      </c>
      <c r="M212" s="117">
        <f t="shared" si="25"/>
        <v>-9.7716717325228464E-2</v>
      </c>
    </row>
    <row r="213" spans="1:13">
      <c r="A213" s="112">
        <v>210</v>
      </c>
      <c r="B213" s="113">
        <v>41942</v>
      </c>
      <c r="C213" s="114">
        <v>81.06</v>
      </c>
      <c r="D213" s="115">
        <f t="shared" si="24"/>
        <v>84.44</v>
      </c>
      <c r="E213" s="115">
        <f t="shared" si="20"/>
        <v>-3.3799999999999955</v>
      </c>
      <c r="F213" s="115">
        <f t="shared" si="21"/>
        <v>3.3799999999999955</v>
      </c>
      <c r="G213" s="115">
        <f t="shared" si="22"/>
        <v>11.42439999999997</v>
      </c>
      <c r="H213" s="115">
        <f t="shared" si="23"/>
        <v>4.1697508018751488E-2</v>
      </c>
      <c r="I213" s="116">
        <f t="shared" si="26"/>
        <v>90.045200000000023</v>
      </c>
      <c r="J213" s="116">
        <f t="shared" si="27"/>
        <v>-8.9852000000000203</v>
      </c>
      <c r="K213" s="116">
        <f t="shared" si="28"/>
        <v>8.9852000000000203</v>
      </c>
      <c r="L213" s="116">
        <f t="shared" si="29"/>
        <v>80.73381904000037</v>
      </c>
      <c r="M213" s="117">
        <f t="shared" si="25"/>
        <v>-0.11084628670120923</v>
      </c>
    </row>
    <row r="214" spans="1:13">
      <c r="A214" s="112">
        <v>211</v>
      </c>
      <c r="B214" s="107">
        <v>41943</v>
      </c>
      <c r="C214" s="108">
        <v>80.53</v>
      </c>
      <c r="D214" s="115">
        <f t="shared" si="24"/>
        <v>83.941999999999993</v>
      </c>
      <c r="E214" s="115">
        <f t="shared" si="20"/>
        <v>-3.4119999999999919</v>
      </c>
      <c r="F214" s="115">
        <f t="shared" si="21"/>
        <v>3.4119999999999919</v>
      </c>
      <c r="G214" s="115">
        <f t="shared" si="22"/>
        <v>11.641743999999944</v>
      </c>
      <c r="H214" s="115">
        <f t="shared" si="23"/>
        <v>4.2369303365205412E-2</v>
      </c>
      <c r="I214" s="116">
        <f t="shared" si="26"/>
        <v>89.738400000000013</v>
      </c>
      <c r="J214" s="116">
        <f t="shared" si="27"/>
        <v>-9.2084000000000117</v>
      </c>
      <c r="K214" s="116">
        <f t="shared" si="28"/>
        <v>9.2084000000000117</v>
      </c>
      <c r="L214" s="116">
        <f t="shared" si="29"/>
        <v>84.794630560000215</v>
      </c>
      <c r="M214" s="117">
        <f t="shared" si="25"/>
        <v>-0.11434744815596687</v>
      </c>
    </row>
    <row r="215" spans="1:13">
      <c r="A215" s="112">
        <v>212</v>
      </c>
      <c r="B215" s="113">
        <v>41946</v>
      </c>
      <c r="C215" s="114">
        <v>78.77</v>
      </c>
      <c r="D215" s="115">
        <f t="shared" si="24"/>
        <v>83.480499999999992</v>
      </c>
      <c r="E215" s="115">
        <f t="shared" si="20"/>
        <v>-4.7104999999999961</v>
      </c>
      <c r="F215" s="115">
        <f t="shared" si="21"/>
        <v>4.7104999999999961</v>
      </c>
      <c r="G215" s="115">
        <f t="shared" si="22"/>
        <v>22.188810249999964</v>
      </c>
      <c r="H215" s="115">
        <f t="shared" si="23"/>
        <v>5.9800685540180226E-2</v>
      </c>
      <c r="I215" s="116">
        <f t="shared" si="26"/>
        <v>89.469600000000014</v>
      </c>
      <c r="J215" s="116">
        <f t="shared" si="27"/>
        <v>-10.699600000000018</v>
      </c>
      <c r="K215" s="116">
        <f t="shared" si="28"/>
        <v>10.699600000000018</v>
      </c>
      <c r="L215" s="116">
        <f t="shared" si="29"/>
        <v>114.48144016000039</v>
      </c>
      <c r="M215" s="117">
        <f t="shared" si="25"/>
        <v>-0.13583343912657125</v>
      </c>
    </row>
    <row r="216" spans="1:13">
      <c r="A216" s="112">
        <v>213</v>
      </c>
      <c r="B216" s="107">
        <v>41947</v>
      </c>
      <c r="C216" s="108">
        <v>77.150000000000006</v>
      </c>
      <c r="D216" s="115">
        <f t="shared" si="24"/>
        <v>82.902499999999989</v>
      </c>
      <c r="E216" s="115">
        <f t="shared" ref="E216:E279" si="30">C216-D216</f>
        <v>-5.7524999999999835</v>
      </c>
      <c r="F216" s="115">
        <f t="shared" ref="F216:F279" si="31">ABS(E216)</f>
        <v>5.7524999999999835</v>
      </c>
      <c r="G216" s="115">
        <f t="shared" ref="G216:G279" si="32">E216^2</f>
        <v>33.091256249999809</v>
      </c>
      <c r="H216" s="115">
        <f t="shared" ref="H216:H279" si="33">F216/C216</f>
        <v>7.4562540505508534E-2</v>
      </c>
      <c r="I216" s="116">
        <f t="shared" si="26"/>
        <v>89.172800000000024</v>
      </c>
      <c r="J216" s="116">
        <f t="shared" si="27"/>
        <v>-12.022800000000018</v>
      </c>
      <c r="K216" s="116">
        <f t="shared" si="28"/>
        <v>12.022800000000018</v>
      </c>
      <c r="L216" s="116">
        <f t="shared" si="29"/>
        <v>144.54771984000044</v>
      </c>
      <c r="M216" s="117">
        <f t="shared" si="25"/>
        <v>-0.15583668178872348</v>
      </c>
    </row>
    <row r="217" spans="1:13">
      <c r="A217" s="112">
        <v>214</v>
      </c>
      <c r="B217" s="113">
        <v>41948</v>
      </c>
      <c r="C217" s="114">
        <v>78.709999999999994</v>
      </c>
      <c r="D217" s="115">
        <f t="shared" si="24"/>
        <v>82.315499999999986</v>
      </c>
      <c r="E217" s="115">
        <f t="shared" si="30"/>
        <v>-3.6054999999999922</v>
      </c>
      <c r="F217" s="115">
        <f t="shared" si="31"/>
        <v>3.6054999999999922</v>
      </c>
      <c r="G217" s="115">
        <f t="shared" si="32"/>
        <v>12.999630249999944</v>
      </c>
      <c r="H217" s="115">
        <f t="shared" si="33"/>
        <v>4.5807394231990754E-2</v>
      </c>
      <c r="I217" s="116">
        <f t="shared" si="26"/>
        <v>88.808000000000035</v>
      </c>
      <c r="J217" s="116">
        <f t="shared" si="27"/>
        <v>-10.098000000000042</v>
      </c>
      <c r="K217" s="116">
        <f t="shared" si="28"/>
        <v>10.098000000000042</v>
      </c>
      <c r="L217" s="116">
        <f t="shared" si="29"/>
        <v>101.96960400000084</v>
      </c>
      <c r="M217" s="117">
        <f t="shared" si="25"/>
        <v>-0.12829373650108045</v>
      </c>
    </row>
    <row r="218" spans="1:13">
      <c r="A218" s="112">
        <v>215</v>
      </c>
      <c r="B218" s="107">
        <v>41949</v>
      </c>
      <c r="C218" s="108">
        <v>77.87</v>
      </c>
      <c r="D218" s="115">
        <f t="shared" ref="D218:D281" si="34">AVERAGE(C198:C217)</f>
        <v>81.886499999999984</v>
      </c>
      <c r="E218" s="115">
        <f t="shared" si="30"/>
        <v>-4.0164999999999793</v>
      </c>
      <c r="F218" s="115">
        <f t="shared" si="31"/>
        <v>4.0164999999999793</v>
      </c>
      <c r="G218" s="115">
        <f t="shared" si="32"/>
        <v>16.132272249999833</v>
      </c>
      <c r="H218" s="115">
        <f t="shared" si="33"/>
        <v>5.1579555669705651E-2</v>
      </c>
      <c r="I218" s="116">
        <f t="shared" si="26"/>
        <v>88.466600000000014</v>
      </c>
      <c r="J218" s="116">
        <f t="shared" si="27"/>
        <v>-10.596600000000009</v>
      </c>
      <c r="K218" s="116">
        <f t="shared" si="28"/>
        <v>10.596600000000009</v>
      </c>
      <c r="L218" s="116">
        <f t="shared" si="29"/>
        <v>112.2879315600002</v>
      </c>
      <c r="M218" s="117">
        <f t="shared" si="25"/>
        <v>-0.13608064723256721</v>
      </c>
    </row>
    <row r="219" spans="1:13">
      <c r="A219" s="112">
        <v>216</v>
      </c>
      <c r="B219" s="113">
        <v>41950</v>
      </c>
      <c r="C219" s="114">
        <v>78.709999999999994</v>
      </c>
      <c r="D219" s="115">
        <f t="shared" si="34"/>
        <v>81.49199999999999</v>
      </c>
      <c r="E219" s="115">
        <f t="shared" si="30"/>
        <v>-2.7819999999999965</v>
      </c>
      <c r="F219" s="115">
        <f t="shared" si="31"/>
        <v>2.7819999999999965</v>
      </c>
      <c r="G219" s="115">
        <f t="shared" si="32"/>
        <v>7.7395239999999808</v>
      </c>
      <c r="H219" s="115">
        <f t="shared" si="33"/>
        <v>3.5344937110913438E-2</v>
      </c>
      <c r="I219" s="116">
        <f t="shared" si="26"/>
        <v>88.107600000000005</v>
      </c>
      <c r="J219" s="116">
        <f t="shared" si="27"/>
        <v>-9.3976000000000113</v>
      </c>
      <c r="K219" s="116">
        <f t="shared" si="28"/>
        <v>9.3976000000000113</v>
      </c>
      <c r="L219" s="116">
        <f t="shared" si="29"/>
        <v>88.314885760000209</v>
      </c>
      <c r="M219" s="117">
        <f t="shared" si="25"/>
        <v>-0.11939524838012974</v>
      </c>
    </row>
    <row r="220" spans="1:13">
      <c r="A220" s="112">
        <v>217</v>
      </c>
      <c r="B220" s="107">
        <v>41953</v>
      </c>
      <c r="C220" s="108">
        <v>77.430000000000007</v>
      </c>
      <c r="D220" s="115">
        <f t="shared" si="34"/>
        <v>81.134000000000015</v>
      </c>
      <c r="E220" s="115">
        <f t="shared" si="30"/>
        <v>-3.7040000000000077</v>
      </c>
      <c r="F220" s="115">
        <f t="shared" si="31"/>
        <v>3.7040000000000077</v>
      </c>
      <c r="G220" s="115">
        <f t="shared" si="32"/>
        <v>13.719616000000057</v>
      </c>
      <c r="H220" s="115">
        <f t="shared" si="33"/>
        <v>4.7836755779413757E-2</v>
      </c>
      <c r="I220" s="116">
        <f t="shared" si="26"/>
        <v>87.752999999999986</v>
      </c>
      <c r="J220" s="116">
        <f t="shared" si="27"/>
        <v>-10.322999999999979</v>
      </c>
      <c r="K220" s="116">
        <f t="shared" si="28"/>
        <v>10.322999999999979</v>
      </c>
      <c r="L220" s="116">
        <f t="shared" si="29"/>
        <v>106.56432899999957</v>
      </c>
      <c r="M220" s="117">
        <f t="shared" si="25"/>
        <v>-0.13332041844246387</v>
      </c>
    </row>
    <row r="221" spans="1:13">
      <c r="A221" s="112">
        <v>218</v>
      </c>
      <c r="B221" s="113">
        <v>41954</v>
      </c>
      <c r="C221" s="114">
        <v>77.849999999999994</v>
      </c>
      <c r="D221" s="115">
        <f t="shared" si="34"/>
        <v>80.719000000000023</v>
      </c>
      <c r="E221" s="115">
        <f t="shared" si="30"/>
        <v>-2.8690000000000282</v>
      </c>
      <c r="F221" s="115">
        <f t="shared" si="31"/>
        <v>2.8690000000000282</v>
      </c>
      <c r="G221" s="115">
        <f t="shared" si="32"/>
        <v>8.2311610000001618</v>
      </c>
      <c r="H221" s="115">
        <f t="shared" si="33"/>
        <v>3.685292228644866E-2</v>
      </c>
      <c r="I221" s="116">
        <f t="shared" si="26"/>
        <v>87.344400000000007</v>
      </c>
      <c r="J221" s="116">
        <f t="shared" si="27"/>
        <v>-9.4944000000000131</v>
      </c>
      <c r="K221" s="116">
        <f t="shared" si="28"/>
        <v>9.4944000000000131</v>
      </c>
      <c r="L221" s="116">
        <f t="shared" si="29"/>
        <v>90.143631360000242</v>
      </c>
      <c r="M221" s="117">
        <f t="shared" si="25"/>
        <v>-0.12195761078998091</v>
      </c>
    </row>
    <row r="222" spans="1:13">
      <c r="A222" s="112">
        <v>219</v>
      </c>
      <c r="B222" s="107">
        <v>41955</v>
      </c>
      <c r="C222" s="108">
        <v>77.16</v>
      </c>
      <c r="D222" s="115">
        <f t="shared" si="34"/>
        <v>80.525499999999994</v>
      </c>
      <c r="E222" s="115">
        <f t="shared" si="30"/>
        <v>-3.3654999999999973</v>
      </c>
      <c r="F222" s="115">
        <f t="shared" si="31"/>
        <v>3.3654999999999973</v>
      </c>
      <c r="G222" s="115">
        <f t="shared" si="32"/>
        <v>11.326590249999981</v>
      </c>
      <c r="H222" s="115">
        <f t="shared" si="33"/>
        <v>4.3617159149818528E-2</v>
      </c>
      <c r="I222" s="116">
        <f t="shared" si="26"/>
        <v>87.043000000000035</v>
      </c>
      <c r="J222" s="116">
        <f t="shared" si="27"/>
        <v>-9.8830000000000382</v>
      </c>
      <c r="K222" s="116">
        <f t="shared" si="28"/>
        <v>9.8830000000000382</v>
      </c>
      <c r="L222" s="116">
        <f t="shared" si="29"/>
        <v>97.673689000000749</v>
      </c>
      <c r="M222" s="117">
        <f t="shared" si="25"/>
        <v>-0.12808449974079883</v>
      </c>
    </row>
    <row r="223" spans="1:13">
      <c r="A223" s="112">
        <v>220</v>
      </c>
      <c r="B223" s="113">
        <v>41956</v>
      </c>
      <c r="C223" s="114">
        <v>74.13</v>
      </c>
      <c r="D223" s="115">
        <f t="shared" si="34"/>
        <v>80.292500000000018</v>
      </c>
      <c r="E223" s="115">
        <f t="shared" si="30"/>
        <v>-6.1625000000000227</v>
      </c>
      <c r="F223" s="115">
        <f t="shared" si="31"/>
        <v>6.1625000000000227</v>
      </c>
      <c r="G223" s="115">
        <f t="shared" si="32"/>
        <v>37.976406250000281</v>
      </c>
      <c r="H223" s="115">
        <f t="shared" si="33"/>
        <v>8.3130986105490662E-2</v>
      </c>
      <c r="I223" s="116">
        <f t="shared" si="26"/>
        <v>86.676200000000023</v>
      </c>
      <c r="J223" s="116">
        <f t="shared" si="27"/>
        <v>-12.546200000000027</v>
      </c>
      <c r="K223" s="116">
        <f t="shared" si="28"/>
        <v>12.546200000000027</v>
      </c>
      <c r="L223" s="116">
        <f t="shared" si="29"/>
        <v>157.40713444000068</v>
      </c>
      <c r="M223" s="117">
        <f t="shared" si="25"/>
        <v>-0.16924591933090555</v>
      </c>
    </row>
    <row r="224" spans="1:13">
      <c r="A224" s="112">
        <v>221</v>
      </c>
      <c r="B224" s="107">
        <v>41957</v>
      </c>
      <c r="C224" s="108">
        <v>75.91</v>
      </c>
      <c r="D224" s="115">
        <f t="shared" si="34"/>
        <v>79.882500000000007</v>
      </c>
      <c r="E224" s="115">
        <f t="shared" si="30"/>
        <v>-3.9725000000000108</v>
      </c>
      <c r="F224" s="115">
        <f t="shared" si="31"/>
        <v>3.9725000000000108</v>
      </c>
      <c r="G224" s="115">
        <f t="shared" si="32"/>
        <v>15.780756250000087</v>
      </c>
      <c r="H224" s="115">
        <f t="shared" si="33"/>
        <v>5.2331708602292332E-2</v>
      </c>
      <c r="I224" s="116">
        <f t="shared" si="26"/>
        <v>86.268600000000006</v>
      </c>
      <c r="J224" s="116">
        <f t="shared" si="27"/>
        <v>-10.35860000000001</v>
      </c>
      <c r="K224" s="116">
        <f t="shared" si="28"/>
        <v>10.35860000000001</v>
      </c>
      <c r="L224" s="116">
        <f t="shared" si="29"/>
        <v>107.3005939600002</v>
      </c>
      <c r="M224" s="117">
        <f t="shared" si="25"/>
        <v>-0.13645896456329878</v>
      </c>
    </row>
    <row r="225" spans="1:13">
      <c r="A225" s="112">
        <v>222</v>
      </c>
      <c r="B225" s="113">
        <v>41960</v>
      </c>
      <c r="C225" s="114">
        <v>75.64</v>
      </c>
      <c r="D225" s="115">
        <f t="shared" si="34"/>
        <v>79.537999999999997</v>
      </c>
      <c r="E225" s="115">
        <f t="shared" si="30"/>
        <v>-3.8979999999999961</v>
      </c>
      <c r="F225" s="115">
        <f t="shared" si="31"/>
        <v>3.8979999999999961</v>
      </c>
      <c r="G225" s="115">
        <f t="shared" si="32"/>
        <v>15.19440399999997</v>
      </c>
      <c r="H225" s="115">
        <f t="shared" si="33"/>
        <v>5.1533580116340509E-2</v>
      </c>
      <c r="I225" s="116">
        <f t="shared" si="26"/>
        <v>85.920400000000015</v>
      </c>
      <c r="J225" s="116">
        <f t="shared" si="27"/>
        <v>-10.280400000000014</v>
      </c>
      <c r="K225" s="116">
        <f t="shared" si="28"/>
        <v>10.280400000000014</v>
      </c>
      <c r="L225" s="116">
        <f t="shared" si="29"/>
        <v>105.68662416000029</v>
      </c>
      <c r="M225" s="117">
        <f t="shared" si="25"/>
        <v>-0.13591221575885792</v>
      </c>
    </row>
    <row r="226" spans="1:13">
      <c r="A226" s="112">
        <v>223</v>
      </c>
      <c r="B226" s="107">
        <v>41961</v>
      </c>
      <c r="C226" s="108">
        <v>74.55</v>
      </c>
      <c r="D226" s="115">
        <f t="shared" si="34"/>
        <v>79.182000000000016</v>
      </c>
      <c r="E226" s="115">
        <f t="shared" si="30"/>
        <v>-4.6320000000000192</v>
      </c>
      <c r="F226" s="115">
        <f t="shared" si="31"/>
        <v>4.6320000000000192</v>
      </c>
      <c r="G226" s="115">
        <f t="shared" si="32"/>
        <v>21.455424000000178</v>
      </c>
      <c r="H226" s="115">
        <f t="shared" si="33"/>
        <v>6.2132796780684361E-2</v>
      </c>
      <c r="I226" s="116">
        <f t="shared" si="26"/>
        <v>85.580400000000012</v>
      </c>
      <c r="J226" s="116">
        <f t="shared" si="27"/>
        <v>-11.030400000000014</v>
      </c>
      <c r="K226" s="116">
        <f t="shared" si="28"/>
        <v>11.030400000000014</v>
      </c>
      <c r="L226" s="116">
        <f t="shared" si="29"/>
        <v>121.66972416000031</v>
      </c>
      <c r="M226" s="117">
        <f t="shared" si="25"/>
        <v>-0.14795975855130805</v>
      </c>
    </row>
    <row r="227" spans="1:13">
      <c r="A227" s="112">
        <v>224</v>
      </c>
      <c r="B227" s="113">
        <v>41962</v>
      </c>
      <c r="C227" s="114">
        <v>74.55</v>
      </c>
      <c r="D227" s="115">
        <f t="shared" si="34"/>
        <v>78.747000000000014</v>
      </c>
      <c r="E227" s="115">
        <f t="shared" si="30"/>
        <v>-4.1970000000000169</v>
      </c>
      <c r="F227" s="115">
        <f t="shared" si="31"/>
        <v>4.1970000000000169</v>
      </c>
      <c r="G227" s="115">
        <f t="shared" si="32"/>
        <v>17.614809000000143</v>
      </c>
      <c r="H227" s="115">
        <f t="shared" si="33"/>
        <v>5.6297786720322159E-2</v>
      </c>
      <c r="I227" s="116">
        <f t="shared" si="26"/>
        <v>85.216800000000021</v>
      </c>
      <c r="J227" s="116">
        <f t="shared" si="27"/>
        <v>-10.666800000000023</v>
      </c>
      <c r="K227" s="116">
        <f t="shared" si="28"/>
        <v>10.666800000000023</v>
      </c>
      <c r="L227" s="116">
        <f t="shared" si="29"/>
        <v>113.7806222400005</v>
      </c>
      <c r="M227" s="117">
        <f t="shared" si="25"/>
        <v>-0.14308249496981923</v>
      </c>
    </row>
    <row r="228" spans="1:13">
      <c r="A228" s="112">
        <v>225</v>
      </c>
      <c r="B228" s="107">
        <v>41963</v>
      </c>
      <c r="C228" s="108">
        <v>75.63</v>
      </c>
      <c r="D228" s="115">
        <f t="shared" si="34"/>
        <v>78.44850000000001</v>
      </c>
      <c r="E228" s="115">
        <f t="shared" si="30"/>
        <v>-2.8185000000000144</v>
      </c>
      <c r="F228" s="115">
        <f t="shared" si="31"/>
        <v>2.8185000000000144</v>
      </c>
      <c r="G228" s="115">
        <f t="shared" si="32"/>
        <v>7.9439422500000818</v>
      </c>
      <c r="H228" s="115">
        <f t="shared" si="33"/>
        <v>3.7266957556525385E-2</v>
      </c>
      <c r="I228" s="116">
        <f t="shared" si="26"/>
        <v>84.87360000000001</v>
      </c>
      <c r="J228" s="116">
        <f t="shared" si="27"/>
        <v>-9.2436000000000149</v>
      </c>
      <c r="K228" s="116">
        <f t="shared" si="28"/>
        <v>9.2436000000000149</v>
      </c>
      <c r="L228" s="116">
        <f t="shared" si="29"/>
        <v>85.444140960000283</v>
      </c>
      <c r="M228" s="117">
        <f t="shared" si="25"/>
        <v>-0.12222134073780266</v>
      </c>
    </row>
    <row r="229" spans="1:13">
      <c r="A229" s="112">
        <v>226</v>
      </c>
      <c r="B229" s="113">
        <v>41964</v>
      </c>
      <c r="C229" s="114">
        <v>76.52</v>
      </c>
      <c r="D229" s="115">
        <f t="shared" si="34"/>
        <v>78.089500000000015</v>
      </c>
      <c r="E229" s="115">
        <f t="shared" si="30"/>
        <v>-1.5695000000000192</v>
      </c>
      <c r="F229" s="115">
        <f t="shared" si="31"/>
        <v>1.5695000000000192</v>
      </c>
      <c r="G229" s="115">
        <f t="shared" si="32"/>
        <v>2.4633302500000602</v>
      </c>
      <c r="H229" s="115">
        <f t="shared" si="33"/>
        <v>2.0510977522216665E-2</v>
      </c>
      <c r="I229" s="116">
        <f t="shared" si="26"/>
        <v>84.528400000000005</v>
      </c>
      <c r="J229" s="116">
        <f t="shared" si="27"/>
        <v>-8.0084000000000088</v>
      </c>
      <c r="K229" s="116">
        <f t="shared" si="28"/>
        <v>8.0084000000000088</v>
      </c>
      <c r="L229" s="116">
        <f t="shared" si="29"/>
        <v>64.134470560000139</v>
      </c>
      <c r="M229" s="117">
        <f t="shared" si="25"/>
        <v>-0.10465760585467863</v>
      </c>
    </row>
    <row r="230" spans="1:13">
      <c r="A230" s="112">
        <v>227</v>
      </c>
      <c r="B230" s="107">
        <v>41967</v>
      </c>
      <c r="C230" s="108">
        <v>75.739999999999995</v>
      </c>
      <c r="D230" s="115">
        <f t="shared" si="34"/>
        <v>77.852000000000018</v>
      </c>
      <c r="E230" s="115">
        <f t="shared" si="30"/>
        <v>-2.1120000000000232</v>
      </c>
      <c r="F230" s="115">
        <f t="shared" si="31"/>
        <v>2.1120000000000232</v>
      </c>
      <c r="G230" s="115">
        <f t="shared" si="32"/>
        <v>4.4605440000000982</v>
      </c>
      <c r="H230" s="115">
        <f t="shared" si="33"/>
        <v>2.7884869289675512E-2</v>
      </c>
      <c r="I230" s="116">
        <f t="shared" si="26"/>
        <v>84.215200000000024</v>
      </c>
      <c r="J230" s="116">
        <f t="shared" si="27"/>
        <v>-8.4752000000000294</v>
      </c>
      <c r="K230" s="116">
        <f t="shared" si="28"/>
        <v>8.4752000000000294</v>
      </c>
      <c r="L230" s="116">
        <f t="shared" si="29"/>
        <v>71.829015040000499</v>
      </c>
      <c r="M230" s="117">
        <f t="shared" si="25"/>
        <v>-0.11189860047531067</v>
      </c>
    </row>
    <row r="231" spans="1:13">
      <c r="A231" s="112">
        <v>228</v>
      </c>
      <c r="B231" s="113">
        <v>41968</v>
      </c>
      <c r="C231" s="114">
        <v>74.040000000000006</v>
      </c>
      <c r="D231" s="115">
        <f t="shared" si="34"/>
        <v>77.576000000000008</v>
      </c>
      <c r="E231" s="115">
        <f t="shared" si="30"/>
        <v>-3.5360000000000014</v>
      </c>
      <c r="F231" s="115">
        <f t="shared" si="31"/>
        <v>3.5360000000000014</v>
      </c>
      <c r="G231" s="115">
        <f t="shared" si="32"/>
        <v>12.50329600000001</v>
      </c>
      <c r="H231" s="115">
        <f t="shared" si="33"/>
        <v>4.7757968665586181E-2</v>
      </c>
      <c r="I231" s="116">
        <f t="shared" si="26"/>
        <v>83.872800000000012</v>
      </c>
      <c r="J231" s="116">
        <f t="shared" si="27"/>
        <v>-9.832800000000006</v>
      </c>
      <c r="K231" s="116">
        <f t="shared" si="28"/>
        <v>9.832800000000006</v>
      </c>
      <c r="L231" s="116">
        <f t="shared" si="29"/>
        <v>96.683955840000124</v>
      </c>
      <c r="M231" s="117">
        <f t="shared" si="25"/>
        <v>-0.13280388978930316</v>
      </c>
    </row>
    <row r="232" spans="1:13">
      <c r="A232" s="112">
        <v>229</v>
      </c>
      <c r="B232" s="107">
        <v>41969</v>
      </c>
      <c r="C232" s="108">
        <v>73.7</v>
      </c>
      <c r="D232" s="115">
        <f t="shared" si="34"/>
        <v>77.210000000000008</v>
      </c>
      <c r="E232" s="115">
        <f t="shared" si="30"/>
        <v>-3.5100000000000051</v>
      </c>
      <c r="F232" s="115">
        <f t="shared" si="31"/>
        <v>3.5100000000000051</v>
      </c>
      <c r="G232" s="115">
        <f t="shared" si="32"/>
        <v>12.320100000000036</v>
      </c>
      <c r="H232" s="115">
        <f t="shared" si="33"/>
        <v>4.7625508819538739E-2</v>
      </c>
      <c r="I232" s="116">
        <f t="shared" si="26"/>
        <v>83.455400000000012</v>
      </c>
      <c r="J232" s="116">
        <f t="shared" si="27"/>
        <v>-9.7554000000000087</v>
      </c>
      <c r="K232" s="116">
        <f t="shared" si="28"/>
        <v>9.7554000000000087</v>
      </c>
      <c r="L232" s="116">
        <f t="shared" si="29"/>
        <v>95.167829160000167</v>
      </c>
      <c r="M232" s="117">
        <f t="shared" si="25"/>
        <v>-0.13236635006784273</v>
      </c>
    </row>
    <row r="233" spans="1:13">
      <c r="A233" s="112">
        <v>230</v>
      </c>
      <c r="B233" s="113">
        <v>41971</v>
      </c>
      <c r="C233" s="114">
        <v>65.94</v>
      </c>
      <c r="D233" s="115">
        <f t="shared" si="34"/>
        <v>76.782499999999999</v>
      </c>
      <c r="E233" s="115">
        <f t="shared" si="30"/>
        <v>-10.842500000000001</v>
      </c>
      <c r="F233" s="115">
        <f t="shared" si="31"/>
        <v>10.842500000000001</v>
      </c>
      <c r="G233" s="115">
        <f t="shared" si="32"/>
        <v>117.55980625000002</v>
      </c>
      <c r="H233" s="115">
        <f t="shared" si="33"/>
        <v>0.1644297846527146</v>
      </c>
      <c r="I233" s="116">
        <f t="shared" si="26"/>
        <v>83.0428</v>
      </c>
      <c r="J233" s="116">
        <f t="shared" si="27"/>
        <v>-17.102800000000002</v>
      </c>
      <c r="K233" s="116">
        <f t="shared" si="28"/>
        <v>17.102800000000002</v>
      </c>
      <c r="L233" s="116">
        <f t="shared" si="29"/>
        <v>292.50576784000009</v>
      </c>
      <c r="M233" s="117">
        <f t="shared" si="25"/>
        <v>-0.25936912344555663</v>
      </c>
    </row>
    <row r="234" spans="1:13">
      <c r="A234" s="112">
        <v>231</v>
      </c>
      <c r="B234" s="107">
        <v>41974</v>
      </c>
      <c r="C234" s="108">
        <v>68.98</v>
      </c>
      <c r="D234" s="115">
        <f t="shared" si="34"/>
        <v>76.026500000000013</v>
      </c>
      <c r="E234" s="115">
        <f t="shared" si="30"/>
        <v>-7.0465000000000089</v>
      </c>
      <c r="F234" s="115">
        <f t="shared" si="31"/>
        <v>7.0465000000000089</v>
      </c>
      <c r="G234" s="115">
        <f t="shared" si="32"/>
        <v>49.653162250000122</v>
      </c>
      <c r="H234" s="115">
        <f t="shared" si="33"/>
        <v>0.10215279791243852</v>
      </c>
      <c r="I234" s="116">
        <f t="shared" si="26"/>
        <v>82.500199999999992</v>
      </c>
      <c r="J234" s="116">
        <f t="shared" si="27"/>
        <v>-13.520199999999988</v>
      </c>
      <c r="K234" s="116">
        <f t="shared" si="28"/>
        <v>13.520199999999988</v>
      </c>
      <c r="L234" s="116">
        <f t="shared" si="29"/>
        <v>182.79580803999968</v>
      </c>
      <c r="M234" s="117">
        <f t="shared" si="25"/>
        <v>-0.19600173963467654</v>
      </c>
    </row>
    <row r="235" spans="1:13">
      <c r="A235" s="112">
        <v>232</v>
      </c>
      <c r="B235" s="113">
        <v>41975</v>
      </c>
      <c r="C235" s="114">
        <v>66.989999999999995</v>
      </c>
      <c r="D235" s="115">
        <f t="shared" si="34"/>
        <v>75.448999999999998</v>
      </c>
      <c r="E235" s="115">
        <f t="shared" si="30"/>
        <v>-8.4590000000000032</v>
      </c>
      <c r="F235" s="115">
        <f t="shared" si="31"/>
        <v>8.4590000000000032</v>
      </c>
      <c r="G235" s="115">
        <f t="shared" si="32"/>
        <v>71.554681000000059</v>
      </c>
      <c r="H235" s="115">
        <f t="shared" si="33"/>
        <v>0.12627257799671598</v>
      </c>
      <c r="I235" s="116">
        <f t="shared" si="26"/>
        <v>82.031199999999984</v>
      </c>
      <c r="J235" s="116">
        <f t="shared" si="27"/>
        <v>-15.041199999999989</v>
      </c>
      <c r="K235" s="116">
        <f t="shared" si="28"/>
        <v>15.041199999999989</v>
      </c>
      <c r="L235" s="116">
        <f t="shared" si="29"/>
        <v>226.23769743999966</v>
      </c>
      <c r="M235" s="117">
        <f t="shared" si="25"/>
        <v>-0.22452903418420644</v>
      </c>
    </row>
    <row r="236" spans="1:13">
      <c r="A236" s="112">
        <v>233</v>
      </c>
      <c r="B236" s="107">
        <v>41976</v>
      </c>
      <c r="C236" s="108">
        <v>67.3</v>
      </c>
      <c r="D236" s="115">
        <f t="shared" si="34"/>
        <v>74.86</v>
      </c>
      <c r="E236" s="115">
        <f t="shared" si="30"/>
        <v>-7.5600000000000023</v>
      </c>
      <c r="F236" s="115">
        <f t="shared" si="31"/>
        <v>7.5600000000000023</v>
      </c>
      <c r="G236" s="115">
        <f t="shared" si="32"/>
        <v>57.153600000000033</v>
      </c>
      <c r="H236" s="115">
        <f t="shared" si="33"/>
        <v>0.11233283803863303</v>
      </c>
      <c r="I236" s="116">
        <f t="shared" si="26"/>
        <v>81.541799999999995</v>
      </c>
      <c r="J236" s="116">
        <f t="shared" si="27"/>
        <v>-14.241799999999998</v>
      </c>
      <c r="K236" s="116">
        <f t="shared" si="28"/>
        <v>14.241799999999998</v>
      </c>
      <c r="L236" s="116">
        <f t="shared" si="29"/>
        <v>202.82886723999994</v>
      </c>
      <c r="M236" s="117">
        <f t="shared" si="25"/>
        <v>-0.21161664190193163</v>
      </c>
    </row>
    <row r="237" spans="1:13">
      <c r="A237" s="112">
        <v>234</v>
      </c>
      <c r="B237" s="113">
        <v>41977</v>
      </c>
      <c r="C237" s="114">
        <v>66.73</v>
      </c>
      <c r="D237" s="115">
        <f t="shared" si="34"/>
        <v>74.367499999999978</v>
      </c>
      <c r="E237" s="115">
        <f t="shared" si="30"/>
        <v>-7.6374999999999744</v>
      </c>
      <c r="F237" s="115">
        <f t="shared" si="31"/>
        <v>7.6374999999999744</v>
      </c>
      <c r="G237" s="115">
        <f t="shared" si="32"/>
        <v>58.33140624999961</v>
      </c>
      <c r="H237" s="115">
        <f t="shared" si="33"/>
        <v>0.11445376891952606</v>
      </c>
      <c r="I237" s="116">
        <f t="shared" si="26"/>
        <v>81.056799999999996</v>
      </c>
      <c r="J237" s="116">
        <f t="shared" si="27"/>
        <v>-14.326799999999992</v>
      </c>
      <c r="K237" s="116">
        <f t="shared" si="28"/>
        <v>14.326799999999992</v>
      </c>
      <c r="L237" s="116">
        <f t="shared" si="29"/>
        <v>205.25719823999975</v>
      </c>
      <c r="M237" s="117">
        <f t="shared" si="25"/>
        <v>-0.21469803686497813</v>
      </c>
    </row>
    <row r="238" spans="1:13">
      <c r="A238" s="112">
        <v>235</v>
      </c>
      <c r="B238" s="107">
        <v>41978</v>
      </c>
      <c r="C238" s="108">
        <v>65.89</v>
      </c>
      <c r="D238" s="115">
        <f t="shared" si="34"/>
        <v>73.768499999999989</v>
      </c>
      <c r="E238" s="115">
        <f t="shared" si="30"/>
        <v>-7.8784999999999883</v>
      </c>
      <c r="F238" s="115">
        <f t="shared" si="31"/>
        <v>7.8784999999999883</v>
      </c>
      <c r="G238" s="115">
        <f t="shared" si="32"/>
        <v>62.070762249999817</v>
      </c>
      <c r="H238" s="115">
        <f t="shared" si="33"/>
        <v>0.11957049628168141</v>
      </c>
      <c r="I238" s="116">
        <f t="shared" si="26"/>
        <v>80.51939999999999</v>
      </c>
      <c r="J238" s="116">
        <f t="shared" si="27"/>
        <v>-14.62939999999999</v>
      </c>
      <c r="K238" s="116">
        <f t="shared" si="28"/>
        <v>14.62939999999999</v>
      </c>
      <c r="L238" s="116">
        <f t="shared" si="29"/>
        <v>214.01934435999971</v>
      </c>
      <c r="M238" s="117">
        <f t="shared" si="25"/>
        <v>-0.22202762179389876</v>
      </c>
    </row>
    <row r="239" spans="1:13">
      <c r="A239" s="112">
        <v>236</v>
      </c>
      <c r="B239" s="113">
        <v>41981</v>
      </c>
      <c r="C239" s="114">
        <v>63.13</v>
      </c>
      <c r="D239" s="115">
        <f t="shared" si="34"/>
        <v>73.169499999999999</v>
      </c>
      <c r="E239" s="115">
        <f t="shared" si="30"/>
        <v>-10.039499999999997</v>
      </c>
      <c r="F239" s="115">
        <f t="shared" si="31"/>
        <v>10.039499999999997</v>
      </c>
      <c r="G239" s="115">
        <f t="shared" si="32"/>
        <v>100.79156024999993</v>
      </c>
      <c r="H239" s="115">
        <f t="shared" si="33"/>
        <v>0.15902898780294625</v>
      </c>
      <c r="I239" s="116">
        <f t="shared" si="26"/>
        <v>79.965399999999988</v>
      </c>
      <c r="J239" s="116">
        <f t="shared" si="27"/>
        <v>-16.835399999999986</v>
      </c>
      <c r="K239" s="116">
        <f t="shared" si="28"/>
        <v>16.835399999999986</v>
      </c>
      <c r="L239" s="116">
        <f t="shared" si="29"/>
        <v>283.43069315999952</v>
      </c>
      <c r="M239" s="117">
        <f t="shared" si="25"/>
        <v>-0.26667828290828427</v>
      </c>
    </row>
    <row r="240" spans="1:13">
      <c r="A240" s="112">
        <v>237</v>
      </c>
      <c r="B240" s="107">
        <v>41982</v>
      </c>
      <c r="C240" s="108">
        <v>63.74</v>
      </c>
      <c r="D240" s="115">
        <f t="shared" si="34"/>
        <v>72.390500000000003</v>
      </c>
      <c r="E240" s="115">
        <f t="shared" si="30"/>
        <v>-8.650500000000001</v>
      </c>
      <c r="F240" s="115">
        <f t="shared" si="31"/>
        <v>8.650500000000001</v>
      </c>
      <c r="G240" s="115">
        <f t="shared" si="32"/>
        <v>74.831150250000022</v>
      </c>
      <c r="H240" s="115">
        <f t="shared" si="33"/>
        <v>0.13571540633824916</v>
      </c>
      <c r="I240" s="116">
        <f t="shared" si="26"/>
        <v>79.316999999999979</v>
      </c>
      <c r="J240" s="116">
        <f t="shared" si="27"/>
        <v>-15.576999999999977</v>
      </c>
      <c r="K240" s="116">
        <f t="shared" si="28"/>
        <v>15.576999999999977</v>
      </c>
      <c r="L240" s="116">
        <f t="shared" si="29"/>
        <v>242.64292899999927</v>
      </c>
      <c r="M240" s="117">
        <f t="shared" si="25"/>
        <v>-0.24438343269532439</v>
      </c>
    </row>
    <row r="241" spans="1:13">
      <c r="A241" s="112">
        <v>238</v>
      </c>
      <c r="B241" s="113">
        <v>41983</v>
      </c>
      <c r="C241" s="114">
        <v>60.99</v>
      </c>
      <c r="D241" s="115">
        <f t="shared" si="34"/>
        <v>71.706000000000003</v>
      </c>
      <c r="E241" s="115">
        <f t="shared" si="30"/>
        <v>-10.716000000000001</v>
      </c>
      <c r="F241" s="115">
        <f t="shared" si="31"/>
        <v>10.716000000000001</v>
      </c>
      <c r="G241" s="115">
        <f t="shared" si="32"/>
        <v>114.83265600000003</v>
      </c>
      <c r="H241" s="115">
        <f t="shared" si="33"/>
        <v>0.17570093457943928</v>
      </c>
      <c r="I241" s="116">
        <f t="shared" si="26"/>
        <v>78.701199999999986</v>
      </c>
      <c r="J241" s="116">
        <f t="shared" si="27"/>
        <v>-17.711199999999984</v>
      </c>
      <c r="K241" s="116">
        <f t="shared" si="28"/>
        <v>17.711199999999984</v>
      </c>
      <c r="L241" s="116">
        <f t="shared" si="29"/>
        <v>313.68660543999943</v>
      </c>
      <c r="M241" s="117">
        <f t="shared" si="25"/>
        <v>-0.29039514674536782</v>
      </c>
    </row>
    <row r="242" spans="1:13">
      <c r="A242" s="112">
        <v>239</v>
      </c>
      <c r="B242" s="107">
        <v>41984</v>
      </c>
      <c r="C242" s="108">
        <v>60.01</v>
      </c>
      <c r="D242" s="115">
        <f t="shared" si="34"/>
        <v>70.863000000000014</v>
      </c>
      <c r="E242" s="115">
        <f t="shared" si="30"/>
        <v>-10.853000000000016</v>
      </c>
      <c r="F242" s="115">
        <f t="shared" si="31"/>
        <v>10.853000000000016</v>
      </c>
      <c r="G242" s="115">
        <f t="shared" si="32"/>
        <v>117.78760900000034</v>
      </c>
      <c r="H242" s="115">
        <f t="shared" si="33"/>
        <v>0.18085319113481113</v>
      </c>
      <c r="I242" s="116">
        <f t="shared" si="26"/>
        <v>78.097599999999971</v>
      </c>
      <c r="J242" s="116">
        <f t="shared" si="27"/>
        <v>-18.087599999999973</v>
      </c>
      <c r="K242" s="116">
        <f t="shared" si="28"/>
        <v>18.087599999999973</v>
      </c>
      <c r="L242" s="116">
        <f t="shared" si="29"/>
        <v>327.16127375999906</v>
      </c>
      <c r="M242" s="117">
        <f t="shared" si="25"/>
        <v>-0.30140976503915973</v>
      </c>
    </row>
    <row r="243" spans="1:13">
      <c r="A243" s="112">
        <v>240</v>
      </c>
      <c r="B243" s="113">
        <v>41985</v>
      </c>
      <c r="C243" s="114">
        <v>57.81</v>
      </c>
      <c r="D243" s="115">
        <f t="shared" si="34"/>
        <v>70.005500000000012</v>
      </c>
      <c r="E243" s="115">
        <f t="shared" si="30"/>
        <v>-12.19550000000001</v>
      </c>
      <c r="F243" s="115">
        <f t="shared" si="31"/>
        <v>12.19550000000001</v>
      </c>
      <c r="G243" s="115">
        <f t="shared" si="32"/>
        <v>148.73022025000023</v>
      </c>
      <c r="H243" s="115">
        <f t="shared" si="33"/>
        <v>0.21095831171077684</v>
      </c>
      <c r="I243" s="116">
        <f t="shared" si="26"/>
        <v>77.48299999999999</v>
      </c>
      <c r="J243" s="116">
        <f t="shared" si="27"/>
        <v>-19.672999999999988</v>
      </c>
      <c r="K243" s="116">
        <f t="shared" si="28"/>
        <v>19.672999999999988</v>
      </c>
      <c r="L243" s="116">
        <f t="shared" si="29"/>
        <v>387.02692899999954</v>
      </c>
      <c r="M243" s="117">
        <f t="shared" si="25"/>
        <v>-0.34030444559764722</v>
      </c>
    </row>
    <row r="244" spans="1:13">
      <c r="A244" s="112">
        <v>241</v>
      </c>
      <c r="B244" s="107">
        <v>41988</v>
      </c>
      <c r="C244" s="108">
        <v>55.96</v>
      </c>
      <c r="D244" s="115">
        <f t="shared" si="34"/>
        <v>69.18950000000001</v>
      </c>
      <c r="E244" s="115">
        <f t="shared" si="30"/>
        <v>-13.229500000000009</v>
      </c>
      <c r="F244" s="115">
        <f t="shared" si="31"/>
        <v>13.229500000000009</v>
      </c>
      <c r="G244" s="115">
        <f t="shared" si="32"/>
        <v>175.01967025000022</v>
      </c>
      <c r="H244" s="115">
        <f t="shared" si="33"/>
        <v>0.23640993566833468</v>
      </c>
      <c r="I244" s="116">
        <f t="shared" si="26"/>
        <v>76.818799999999982</v>
      </c>
      <c r="J244" s="116">
        <f t="shared" si="27"/>
        <v>-20.858799999999981</v>
      </c>
      <c r="K244" s="116">
        <f t="shared" si="28"/>
        <v>20.858799999999981</v>
      </c>
      <c r="L244" s="116">
        <f t="shared" si="29"/>
        <v>435.08953743999922</v>
      </c>
      <c r="M244" s="117">
        <f t="shared" si="25"/>
        <v>-0.37274481772694745</v>
      </c>
    </row>
    <row r="245" spans="1:13">
      <c r="A245" s="112">
        <v>242</v>
      </c>
      <c r="B245" s="113">
        <v>41989</v>
      </c>
      <c r="C245" s="114">
        <v>55.97</v>
      </c>
      <c r="D245" s="115">
        <f t="shared" si="34"/>
        <v>68.191999999999993</v>
      </c>
      <c r="E245" s="115">
        <f t="shared" si="30"/>
        <v>-12.221999999999994</v>
      </c>
      <c r="F245" s="115">
        <f t="shared" si="31"/>
        <v>12.221999999999994</v>
      </c>
      <c r="G245" s="115">
        <f t="shared" si="32"/>
        <v>149.37728399999986</v>
      </c>
      <c r="H245" s="115">
        <f t="shared" si="33"/>
        <v>0.21836698231195273</v>
      </c>
      <c r="I245" s="116">
        <f t="shared" si="26"/>
        <v>76.142799999999994</v>
      </c>
      <c r="J245" s="116">
        <f t="shared" si="27"/>
        <v>-20.172799999999995</v>
      </c>
      <c r="K245" s="116">
        <f t="shared" si="28"/>
        <v>20.172799999999995</v>
      </c>
      <c r="L245" s="116">
        <f t="shared" si="29"/>
        <v>406.94185983999978</v>
      </c>
      <c r="M245" s="117">
        <f t="shared" si="25"/>
        <v>-0.36042165445774516</v>
      </c>
    </row>
    <row r="246" spans="1:13">
      <c r="A246" s="112">
        <v>243</v>
      </c>
      <c r="B246" s="107">
        <v>41990</v>
      </c>
      <c r="C246" s="108">
        <v>56.43</v>
      </c>
      <c r="D246" s="115">
        <f t="shared" si="34"/>
        <v>67.208500000000001</v>
      </c>
      <c r="E246" s="115">
        <f t="shared" si="30"/>
        <v>-10.778500000000001</v>
      </c>
      <c r="F246" s="115">
        <f t="shared" si="31"/>
        <v>10.778500000000001</v>
      </c>
      <c r="G246" s="115">
        <f t="shared" si="32"/>
        <v>116.17606225000003</v>
      </c>
      <c r="H246" s="115">
        <f t="shared" si="33"/>
        <v>0.19100655679603051</v>
      </c>
      <c r="I246" s="116">
        <f t="shared" si="26"/>
        <v>75.45559999999999</v>
      </c>
      <c r="J246" s="116">
        <f t="shared" si="27"/>
        <v>-19.02559999999999</v>
      </c>
      <c r="K246" s="116">
        <f t="shared" si="28"/>
        <v>19.02559999999999</v>
      </c>
      <c r="L246" s="116">
        <f t="shared" si="29"/>
        <v>361.9734553599996</v>
      </c>
      <c r="M246" s="117">
        <f t="shared" si="25"/>
        <v>-0.33715399610136437</v>
      </c>
    </row>
    <row r="247" spans="1:13">
      <c r="A247" s="112">
        <v>244</v>
      </c>
      <c r="B247" s="113">
        <v>41991</v>
      </c>
      <c r="C247" s="114">
        <v>54.18</v>
      </c>
      <c r="D247" s="115">
        <f t="shared" si="34"/>
        <v>66.302499999999995</v>
      </c>
      <c r="E247" s="115">
        <f t="shared" si="30"/>
        <v>-12.122499999999995</v>
      </c>
      <c r="F247" s="115">
        <f t="shared" si="31"/>
        <v>12.122499999999995</v>
      </c>
      <c r="G247" s="115">
        <f t="shared" si="32"/>
        <v>146.95500624999988</v>
      </c>
      <c r="H247" s="115">
        <f t="shared" si="33"/>
        <v>0.22374492432631959</v>
      </c>
      <c r="I247" s="116">
        <f t="shared" si="26"/>
        <v>74.806399999999982</v>
      </c>
      <c r="J247" s="116">
        <f t="shared" si="27"/>
        <v>-20.626399999999983</v>
      </c>
      <c r="K247" s="116">
        <f t="shared" si="28"/>
        <v>20.626399999999983</v>
      </c>
      <c r="L247" s="116">
        <f t="shared" si="29"/>
        <v>425.44837695999928</v>
      </c>
      <c r="M247" s="117">
        <f t="shared" ref="M247:M310" si="35">J247/C247</f>
        <v>-0.38070136581764458</v>
      </c>
    </row>
    <row r="248" spans="1:13">
      <c r="A248" s="112">
        <v>245</v>
      </c>
      <c r="B248" s="107">
        <v>41992</v>
      </c>
      <c r="C248" s="108">
        <v>56.91</v>
      </c>
      <c r="D248" s="115">
        <f t="shared" si="34"/>
        <v>65.284000000000006</v>
      </c>
      <c r="E248" s="115">
        <f t="shared" si="30"/>
        <v>-8.3740000000000094</v>
      </c>
      <c r="F248" s="115">
        <f t="shared" si="31"/>
        <v>8.3740000000000094</v>
      </c>
      <c r="G248" s="115">
        <f t="shared" si="32"/>
        <v>70.123876000000152</v>
      </c>
      <c r="H248" s="115">
        <f t="shared" si="33"/>
        <v>0.14714461430328607</v>
      </c>
      <c r="I248" s="116">
        <f t="shared" ref="I248:I311" si="36">AVERAGE(C198:C247)</f>
        <v>74.144199999999984</v>
      </c>
      <c r="J248" s="116">
        <f t="shared" ref="J248:J311" si="37">C248-I248</f>
        <v>-17.234199999999987</v>
      </c>
      <c r="K248" s="116">
        <f t="shared" ref="K248:K311" si="38">ABS(J248)</f>
        <v>17.234199999999987</v>
      </c>
      <c r="L248" s="116">
        <f t="shared" ref="L248:L311" si="39">J248^2</f>
        <v>297.01764963999955</v>
      </c>
      <c r="M248" s="117">
        <f t="shared" si="35"/>
        <v>-0.30283254261114018</v>
      </c>
    </row>
    <row r="249" spans="1:13">
      <c r="A249" s="112">
        <v>246</v>
      </c>
      <c r="B249" s="113">
        <v>41995</v>
      </c>
      <c r="C249" s="114">
        <v>55.25</v>
      </c>
      <c r="D249" s="115">
        <f t="shared" si="34"/>
        <v>64.348000000000013</v>
      </c>
      <c r="E249" s="115">
        <f t="shared" si="30"/>
        <v>-9.0980000000000132</v>
      </c>
      <c r="F249" s="115">
        <f t="shared" si="31"/>
        <v>9.0980000000000132</v>
      </c>
      <c r="G249" s="115">
        <f t="shared" si="32"/>
        <v>82.773604000000233</v>
      </c>
      <c r="H249" s="115">
        <f t="shared" si="33"/>
        <v>0.16466968325791878</v>
      </c>
      <c r="I249" s="116">
        <f t="shared" si="36"/>
        <v>73.567199999999971</v>
      </c>
      <c r="J249" s="116">
        <f t="shared" si="37"/>
        <v>-18.317199999999971</v>
      </c>
      <c r="K249" s="116">
        <f t="shared" si="38"/>
        <v>18.317199999999971</v>
      </c>
      <c r="L249" s="116">
        <f t="shared" si="39"/>
        <v>335.51981583999896</v>
      </c>
      <c r="M249" s="117">
        <f t="shared" si="35"/>
        <v>-0.33153303167420761</v>
      </c>
    </row>
    <row r="250" spans="1:13">
      <c r="A250" s="112">
        <v>247</v>
      </c>
      <c r="B250" s="107">
        <v>41996</v>
      </c>
      <c r="C250" s="108">
        <v>56.78</v>
      </c>
      <c r="D250" s="115">
        <f t="shared" si="34"/>
        <v>63.284500000000016</v>
      </c>
      <c r="E250" s="115">
        <f t="shared" si="30"/>
        <v>-6.5045000000000144</v>
      </c>
      <c r="F250" s="115">
        <f t="shared" si="31"/>
        <v>6.5045000000000144</v>
      </c>
      <c r="G250" s="115">
        <f t="shared" si="32"/>
        <v>42.308520250000186</v>
      </c>
      <c r="H250" s="115">
        <f t="shared" si="33"/>
        <v>0.11455618175413904</v>
      </c>
      <c r="I250" s="116">
        <f t="shared" si="36"/>
        <v>72.954799999999992</v>
      </c>
      <c r="J250" s="116">
        <f t="shared" si="37"/>
        <v>-16.174799999999991</v>
      </c>
      <c r="K250" s="116">
        <f t="shared" si="38"/>
        <v>16.174799999999991</v>
      </c>
      <c r="L250" s="116">
        <f t="shared" si="39"/>
        <v>261.62415503999972</v>
      </c>
      <c r="M250" s="117">
        <f t="shared" si="35"/>
        <v>-0.28486791123635063</v>
      </c>
    </row>
    <row r="251" spans="1:13">
      <c r="A251" s="112">
        <v>248</v>
      </c>
      <c r="B251" s="113">
        <v>41997</v>
      </c>
      <c r="C251" s="114">
        <v>55.7</v>
      </c>
      <c r="D251" s="115">
        <f t="shared" si="34"/>
        <v>62.336500000000001</v>
      </c>
      <c r="E251" s="115">
        <f t="shared" si="30"/>
        <v>-6.6364999999999981</v>
      </c>
      <c r="F251" s="115">
        <f t="shared" si="31"/>
        <v>6.6364999999999981</v>
      </c>
      <c r="G251" s="115">
        <f t="shared" si="32"/>
        <v>44.043132249999971</v>
      </c>
      <c r="H251" s="115">
        <f t="shared" si="33"/>
        <v>0.11914721723518847</v>
      </c>
      <c r="I251" s="116">
        <f t="shared" si="36"/>
        <v>72.375799999999998</v>
      </c>
      <c r="J251" s="116">
        <f t="shared" si="37"/>
        <v>-16.675799999999995</v>
      </c>
      <c r="K251" s="116">
        <f t="shared" si="38"/>
        <v>16.675799999999995</v>
      </c>
      <c r="L251" s="116">
        <f t="shared" si="39"/>
        <v>278.08230563999984</v>
      </c>
      <c r="M251" s="117">
        <f t="shared" si="35"/>
        <v>-0.29938599640933561</v>
      </c>
    </row>
    <row r="252" spans="1:13">
      <c r="A252" s="112">
        <v>249</v>
      </c>
      <c r="B252" s="107">
        <v>41999</v>
      </c>
      <c r="C252" s="108">
        <v>54.59</v>
      </c>
      <c r="D252" s="115">
        <f t="shared" si="34"/>
        <v>61.419500000000006</v>
      </c>
      <c r="E252" s="115">
        <f t="shared" si="30"/>
        <v>-6.829500000000003</v>
      </c>
      <c r="F252" s="115">
        <f t="shared" si="31"/>
        <v>6.829500000000003</v>
      </c>
      <c r="G252" s="115">
        <f t="shared" si="32"/>
        <v>46.642070250000039</v>
      </c>
      <c r="H252" s="115">
        <f t="shared" si="33"/>
        <v>0.12510533064663862</v>
      </c>
      <c r="I252" s="116">
        <f t="shared" si="36"/>
        <v>71.855399999999975</v>
      </c>
      <c r="J252" s="116">
        <f t="shared" si="37"/>
        <v>-17.265399999999971</v>
      </c>
      <c r="K252" s="116">
        <f t="shared" si="38"/>
        <v>17.265399999999971</v>
      </c>
      <c r="L252" s="116">
        <f t="shared" si="39"/>
        <v>298.094037159999</v>
      </c>
      <c r="M252" s="117">
        <f t="shared" si="35"/>
        <v>-0.31627404286499305</v>
      </c>
    </row>
    <row r="253" spans="1:13">
      <c r="A253" s="112">
        <v>250</v>
      </c>
      <c r="B253" s="113">
        <v>42002</v>
      </c>
      <c r="C253" s="114">
        <v>53.46</v>
      </c>
      <c r="D253" s="115">
        <f t="shared" si="34"/>
        <v>60.463999999999999</v>
      </c>
      <c r="E253" s="115">
        <f t="shared" si="30"/>
        <v>-7.0039999999999978</v>
      </c>
      <c r="F253" s="115">
        <f t="shared" si="31"/>
        <v>7.0039999999999978</v>
      </c>
      <c r="G253" s="115">
        <f t="shared" si="32"/>
        <v>49.056015999999971</v>
      </c>
      <c r="H253" s="115">
        <f t="shared" si="33"/>
        <v>0.13101384212495321</v>
      </c>
      <c r="I253" s="116">
        <f t="shared" si="36"/>
        <v>71.310799999999986</v>
      </c>
      <c r="J253" s="116">
        <f t="shared" si="37"/>
        <v>-17.850799999999985</v>
      </c>
      <c r="K253" s="116">
        <f t="shared" si="38"/>
        <v>17.850799999999985</v>
      </c>
      <c r="L253" s="116">
        <f t="shared" si="39"/>
        <v>318.65106063999946</v>
      </c>
      <c r="M253" s="117">
        <f t="shared" si="35"/>
        <v>-0.33390946502057584</v>
      </c>
    </row>
    <row r="254" spans="1:13">
      <c r="A254" s="112">
        <v>251</v>
      </c>
      <c r="B254" s="107">
        <v>42003</v>
      </c>
      <c r="C254" s="108">
        <v>54.14</v>
      </c>
      <c r="D254" s="115">
        <f t="shared" si="34"/>
        <v>59.839999999999996</v>
      </c>
      <c r="E254" s="115">
        <f t="shared" si="30"/>
        <v>-5.6999999999999957</v>
      </c>
      <c r="F254" s="115">
        <f t="shared" si="31"/>
        <v>5.6999999999999957</v>
      </c>
      <c r="G254" s="115">
        <f t="shared" si="32"/>
        <v>32.489999999999952</v>
      </c>
      <c r="H254" s="115">
        <f t="shared" si="33"/>
        <v>0.10528260066494266</v>
      </c>
      <c r="I254" s="116">
        <f t="shared" si="36"/>
        <v>70.733399999999989</v>
      </c>
      <c r="J254" s="116">
        <f t="shared" si="37"/>
        <v>-16.593399999999988</v>
      </c>
      <c r="K254" s="116">
        <f t="shared" si="38"/>
        <v>16.593399999999988</v>
      </c>
      <c r="L254" s="116">
        <f t="shared" si="39"/>
        <v>275.34092355999962</v>
      </c>
      <c r="M254" s="117">
        <f t="shared" si="35"/>
        <v>-0.30649057997783502</v>
      </c>
    </row>
    <row r="255" spans="1:13">
      <c r="A255" s="112">
        <v>252</v>
      </c>
      <c r="B255" s="113">
        <v>42004</v>
      </c>
      <c r="C255" s="114">
        <v>53.45</v>
      </c>
      <c r="D255" s="115">
        <f t="shared" si="34"/>
        <v>59.097999999999999</v>
      </c>
      <c r="E255" s="115">
        <f t="shared" si="30"/>
        <v>-5.6479999999999961</v>
      </c>
      <c r="F255" s="115">
        <f t="shared" si="31"/>
        <v>5.6479999999999961</v>
      </c>
      <c r="G255" s="115">
        <f t="shared" si="32"/>
        <v>31.899903999999957</v>
      </c>
      <c r="H255" s="115">
        <f t="shared" si="33"/>
        <v>0.10566884939195502</v>
      </c>
      <c r="I255" s="116">
        <f t="shared" si="36"/>
        <v>70.160199999999989</v>
      </c>
      <c r="J255" s="116">
        <f t="shared" si="37"/>
        <v>-16.710199999999986</v>
      </c>
      <c r="K255" s="116">
        <f t="shared" si="38"/>
        <v>16.710199999999986</v>
      </c>
      <c r="L255" s="116">
        <f t="shared" si="39"/>
        <v>279.23078403999955</v>
      </c>
      <c r="M255" s="117">
        <f t="shared" si="35"/>
        <v>-0.31263236669784816</v>
      </c>
    </row>
    <row r="256" spans="1:13">
      <c r="A256" s="112">
        <v>253</v>
      </c>
      <c r="B256" s="107">
        <v>42005</v>
      </c>
      <c r="C256" s="108">
        <v>53.45</v>
      </c>
      <c r="D256" s="115">
        <f t="shared" si="34"/>
        <v>58.421000000000006</v>
      </c>
      <c r="E256" s="115">
        <f t="shared" si="30"/>
        <v>-4.9710000000000036</v>
      </c>
      <c r="F256" s="115">
        <f t="shared" si="31"/>
        <v>4.9710000000000036</v>
      </c>
      <c r="G256" s="115">
        <f t="shared" si="32"/>
        <v>24.710841000000038</v>
      </c>
      <c r="H256" s="115">
        <f t="shared" si="33"/>
        <v>9.3002806361085183E-2</v>
      </c>
      <c r="I256" s="116">
        <f t="shared" si="36"/>
        <v>69.573999999999984</v>
      </c>
      <c r="J256" s="116">
        <f t="shared" si="37"/>
        <v>-16.123999999999981</v>
      </c>
      <c r="K256" s="116">
        <f t="shared" si="38"/>
        <v>16.123999999999981</v>
      </c>
      <c r="L256" s="116">
        <f t="shared" si="39"/>
        <v>259.9833759999994</v>
      </c>
      <c r="M256" s="117">
        <f t="shared" si="35"/>
        <v>-0.30166510757717457</v>
      </c>
    </row>
    <row r="257" spans="1:13">
      <c r="A257" s="112">
        <v>254</v>
      </c>
      <c r="B257" s="113">
        <v>42006</v>
      </c>
      <c r="C257" s="114">
        <v>52.72</v>
      </c>
      <c r="D257" s="115">
        <f t="shared" si="34"/>
        <v>57.728500000000011</v>
      </c>
      <c r="E257" s="115">
        <f t="shared" si="30"/>
        <v>-5.0085000000000122</v>
      </c>
      <c r="F257" s="115">
        <f t="shared" si="31"/>
        <v>5.0085000000000122</v>
      </c>
      <c r="G257" s="115">
        <f t="shared" si="32"/>
        <v>25.08507225000012</v>
      </c>
      <c r="H257" s="115">
        <f t="shared" si="33"/>
        <v>9.5001896813353803E-2</v>
      </c>
      <c r="I257" s="116">
        <f t="shared" si="36"/>
        <v>68.97799999999998</v>
      </c>
      <c r="J257" s="116">
        <f t="shared" si="37"/>
        <v>-16.257999999999981</v>
      </c>
      <c r="K257" s="116">
        <f t="shared" si="38"/>
        <v>16.257999999999981</v>
      </c>
      <c r="L257" s="116">
        <f t="shared" si="39"/>
        <v>264.32256399999937</v>
      </c>
      <c r="M257" s="117">
        <f t="shared" si="35"/>
        <v>-0.30838391502276141</v>
      </c>
    </row>
    <row r="258" spans="1:13">
      <c r="A258" s="112">
        <v>255</v>
      </c>
      <c r="B258" s="107">
        <v>42009</v>
      </c>
      <c r="C258" s="108">
        <v>50.05</v>
      </c>
      <c r="D258" s="115">
        <f t="shared" si="34"/>
        <v>57.027999999999999</v>
      </c>
      <c r="E258" s="115">
        <f t="shared" si="30"/>
        <v>-6.9780000000000015</v>
      </c>
      <c r="F258" s="115">
        <f t="shared" si="31"/>
        <v>6.9780000000000015</v>
      </c>
      <c r="G258" s="115">
        <f t="shared" si="32"/>
        <v>48.692484000000022</v>
      </c>
      <c r="H258" s="115">
        <f t="shared" si="33"/>
        <v>0.13942057942057945</v>
      </c>
      <c r="I258" s="116">
        <f t="shared" si="36"/>
        <v>68.421999999999983</v>
      </c>
      <c r="J258" s="116">
        <f t="shared" si="37"/>
        <v>-18.371999999999986</v>
      </c>
      <c r="K258" s="116">
        <f t="shared" si="38"/>
        <v>18.371999999999986</v>
      </c>
      <c r="L258" s="116">
        <f t="shared" si="39"/>
        <v>337.53038399999946</v>
      </c>
      <c r="M258" s="117">
        <f t="shared" si="35"/>
        <v>-0.36707292707292682</v>
      </c>
    </row>
    <row r="259" spans="1:13">
      <c r="A259" s="112">
        <v>256</v>
      </c>
      <c r="B259" s="113">
        <v>42010</v>
      </c>
      <c r="C259" s="114">
        <v>47.98</v>
      </c>
      <c r="D259" s="115">
        <f t="shared" si="34"/>
        <v>56.236000000000004</v>
      </c>
      <c r="E259" s="115">
        <f t="shared" si="30"/>
        <v>-8.2560000000000073</v>
      </c>
      <c r="F259" s="115">
        <f t="shared" si="31"/>
        <v>8.2560000000000073</v>
      </c>
      <c r="G259" s="115">
        <f t="shared" si="32"/>
        <v>68.161536000000126</v>
      </c>
      <c r="H259" s="115">
        <f t="shared" si="33"/>
        <v>0.17207169654022525</v>
      </c>
      <c r="I259" s="116">
        <f t="shared" si="36"/>
        <v>67.766799999999989</v>
      </c>
      <c r="J259" s="116">
        <f t="shared" si="37"/>
        <v>-19.786799999999992</v>
      </c>
      <c r="K259" s="116">
        <f t="shared" si="38"/>
        <v>19.786799999999992</v>
      </c>
      <c r="L259" s="116">
        <f t="shared" si="39"/>
        <v>391.51745423999972</v>
      </c>
      <c r="M259" s="117">
        <f t="shared" si="35"/>
        <v>-0.41239683201333877</v>
      </c>
    </row>
    <row r="260" spans="1:13">
      <c r="A260" s="112">
        <v>257</v>
      </c>
      <c r="B260" s="107">
        <v>42011</v>
      </c>
      <c r="C260" s="108">
        <v>48.69</v>
      </c>
      <c r="D260" s="115">
        <f t="shared" si="34"/>
        <v>55.478500000000011</v>
      </c>
      <c r="E260" s="115">
        <f t="shared" si="30"/>
        <v>-6.7885000000000133</v>
      </c>
      <c r="F260" s="115">
        <f t="shared" si="31"/>
        <v>6.7885000000000133</v>
      </c>
      <c r="G260" s="115">
        <f t="shared" si="32"/>
        <v>46.083732250000182</v>
      </c>
      <c r="H260" s="115">
        <f t="shared" si="33"/>
        <v>0.139422879441364</v>
      </c>
      <c r="I260" s="116">
        <f t="shared" si="36"/>
        <v>67.100999999999985</v>
      </c>
      <c r="J260" s="116">
        <f t="shared" si="37"/>
        <v>-18.410999999999987</v>
      </c>
      <c r="K260" s="116">
        <f t="shared" si="38"/>
        <v>18.410999999999987</v>
      </c>
      <c r="L260" s="116">
        <f t="shared" si="39"/>
        <v>338.96492099999955</v>
      </c>
      <c r="M260" s="117">
        <f t="shared" si="35"/>
        <v>-0.3781269254467034</v>
      </c>
    </row>
    <row r="261" spans="1:13">
      <c r="A261" s="112">
        <v>258</v>
      </c>
      <c r="B261" s="113">
        <v>42012</v>
      </c>
      <c r="C261" s="114">
        <v>48.8</v>
      </c>
      <c r="D261" s="115">
        <f t="shared" si="34"/>
        <v>54.726000000000013</v>
      </c>
      <c r="E261" s="115">
        <f t="shared" si="30"/>
        <v>-5.9260000000000161</v>
      </c>
      <c r="F261" s="115">
        <f t="shared" si="31"/>
        <v>5.9260000000000161</v>
      </c>
      <c r="G261" s="115">
        <f t="shared" si="32"/>
        <v>35.117476000000188</v>
      </c>
      <c r="H261" s="115">
        <f t="shared" si="33"/>
        <v>0.12143442622950854</v>
      </c>
      <c r="I261" s="116">
        <f t="shared" si="36"/>
        <v>66.449599999999975</v>
      </c>
      <c r="J261" s="116">
        <f t="shared" si="37"/>
        <v>-17.649599999999978</v>
      </c>
      <c r="K261" s="116">
        <f t="shared" si="38"/>
        <v>17.649599999999978</v>
      </c>
      <c r="L261" s="116">
        <f t="shared" si="39"/>
        <v>311.50838015999921</v>
      </c>
      <c r="M261" s="117">
        <f t="shared" si="35"/>
        <v>-0.36167213114754054</v>
      </c>
    </row>
    <row r="262" spans="1:13">
      <c r="A262" s="112">
        <v>259</v>
      </c>
      <c r="B262" s="107">
        <v>42013</v>
      </c>
      <c r="C262" s="108">
        <v>48.35</v>
      </c>
      <c r="D262" s="115">
        <f t="shared" si="34"/>
        <v>54.116500000000009</v>
      </c>
      <c r="E262" s="115">
        <f t="shared" si="30"/>
        <v>-5.7665000000000077</v>
      </c>
      <c r="F262" s="115">
        <f t="shared" si="31"/>
        <v>5.7665000000000077</v>
      </c>
      <c r="G262" s="115">
        <f t="shared" si="32"/>
        <v>33.252522250000091</v>
      </c>
      <c r="H262" s="115">
        <f t="shared" si="33"/>
        <v>0.11926577042399188</v>
      </c>
      <c r="I262" s="116">
        <f t="shared" si="36"/>
        <v>65.798399999999987</v>
      </c>
      <c r="J262" s="116">
        <f t="shared" si="37"/>
        <v>-17.448399999999985</v>
      </c>
      <c r="K262" s="116">
        <f t="shared" si="38"/>
        <v>17.448399999999985</v>
      </c>
      <c r="L262" s="116">
        <f t="shared" si="39"/>
        <v>304.44666255999948</v>
      </c>
      <c r="M262" s="117">
        <f t="shared" si="35"/>
        <v>-0.36087693898655604</v>
      </c>
    </row>
    <row r="263" spans="1:13">
      <c r="A263" s="112">
        <v>260</v>
      </c>
      <c r="B263" s="113">
        <v>42016</v>
      </c>
      <c r="C263" s="114">
        <v>46.06</v>
      </c>
      <c r="D263" s="115">
        <f t="shared" si="34"/>
        <v>53.533499999999989</v>
      </c>
      <c r="E263" s="115">
        <f t="shared" si="30"/>
        <v>-7.4734999999999872</v>
      </c>
      <c r="F263" s="115">
        <f t="shared" si="31"/>
        <v>7.4734999999999872</v>
      </c>
      <c r="G263" s="115">
        <f t="shared" si="32"/>
        <v>55.853202249999811</v>
      </c>
      <c r="H263" s="115">
        <f t="shared" si="33"/>
        <v>0.16225575336517556</v>
      </c>
      <c r="I263" s="116">
        <f t="shared" si="36"/>
        <v>65.120399999999989</v>
      </c>
      <c r="J263" s="116">
        <f t="shared" si="37"/>
        <v>-19.060399999999987</v>
      </c>
      <c r="K263" s="116">
        <f t="shared" si="38"/>
        <v>19.060399999999987</v>
      </c>
      <c r="L263" s="116">
        <f t="shared" si="39"/>
        <v>363.29884815999952</v>
      </c>
      <c r="M263" s="117">
        <f t="shared" si="35"/>
        <v>-0.41381676074685164</v>
      </c>
    </row>
    <row r="264" spans="1:13">
      <c r="A264" s="112">
        <v>261</v>
      </c>
      <c r="B264" s="107">
        <v>42017</v>
      </c>
      <c r="C264" s="108">
        <v>45.92</v>
      </c>
      <c r="D264" s="115">
        <f t="shared" si="34"/>
        <v>52.946000000000005</v>
      </c>
      <c r="E264" s="115">
        <f t="shared" si="30"/>
        <v>-7.0260000000000034</v>
      </c>
      <c r="F264" s="115">
        <f t="shared" si="31"/>
        <v>7.0260000000000034</v>
      </c>
      <c r="G264" s="115">
        <f t="shared" si="32"/>
        <v>49.364676000000046</v>
      </c>
      <c r="H264" s="115">
        <f t="shared" si="33"/>
        <v>0.15300522648083631</v>
      </c>
      <c r="I264" s="116">
        <f t="shared" si="36"/>
        <v>64.420399999999987</v>
      </c>
      <c r="J264" s="116">
        <f t="shared" si="37"/>
        <v>-18.500399999999985</v>
      </c>
      <c r="K264" s="116">
        <f t="shared" si="38"/>
        <v>18.500399999999985</v>
      </c>
      <c r="L264" s="116">
        <f t="shared" si="39"/>
        <v>342.26480015999942</v>
      </c>
      <c r="M264" s="117">
        <f t="shared" si="35"/>
        <v>-0.40288327526132367</v>
      </c>
    </row>
    <row r="265" spans="1:13">
      <c r="A265" s="112">
        <v>262</v>
      </c>
      <c r="B265" s="113">
        <v>42018</v>
      </c>
      <c r="C265" s="114">
        <v>48.49</v>
      </c>
      <c r="D265" s="115">
        <f t="shared" si="34"/>
        <v>52.444000000000003</v>
      </c>
      <c r="E265" s="115">
        <f t="shared" si="30"/>
        <v>-3.9540000000000006</v>
      </c>
      <c r="F265" s="115">
        <f t="shared" si="31"/>
        <v>3.9540000000000006</v>
      </c>
      <c r="G265" s="115">
        <f t="shared" si="32"/>
        <v>15.634116000000004</v>
      </c>
      <c r="H265" s="115">
        <f t="shared" si="33"/>
        <v>8.1542586100226855E-2</v>
      </c>
      <c r="I265" s="116">
        <f t="shared" si="36"/>
        <v>63.728199999999987</v>
      </c>
      <c r="J265" s="116">
        <f t="shared" si="37"/>
        <v>-15.238199999999985</v>
      </c>
      <c r="K265" s="116">
        <f t="shared" si="38"/>
        <v>15.238199999999985</v>
      </c>
      <c r="L265" s="116">
        <f t="shared" si="39"/>
        <v>232.20273923999954</v>
      </c>
      <c r="M265" s="117">
        <f t="shared" si="35"/>
        <v>-0.31425448546091944</v>
      </c>
    </row>
    <row r="266" spans="1:13">
      <c r="A266" s="112">
        <v>263</v>
      </c>
      <c r="B266" s="107">
        <v>42019</v>
      </c>
      <c r="C266" s="108">
        <v>46.37</v>
      </c>
      <c r="D266" s="115">
        <f t="shared" si="34"/>
        <v>52.069999999999993</v>
      </c>
      <c r="E266" s="115">
        <f t="shared" si="30"/>
        <v>-5.6999999999999957</v>
      </c>
      <c r="F266" s="115">
        <f t="shared" si="31"/>
        <v>5.6999999999999957</v>
      </c>
      <c r="G266" s="115">
        <f t="shared" si="32"/>
        <v>32.489999999999952</v>
      </c>
      <c r="H266" s="115">
        <f t="shared" si="33"/>
        <v>0.12292430450722441</v>
      </c>
      <c r="I266" s="116">
        <f t="shared" si="36"/>
        <v>63.122599999999984</v>
      </c>
      <c r="J266" s="116">
        <f t="shared" si="37"/>
        <v>-16.752599999999987</v>
      </c>
      <c r="K266" s="116">
        <f t="shared" si="38"/>
        <v>16.752599999999987</v>
      </c>
      <c r="L266" s="116">
        <f t="shared" si="39"/>
        <v>280.64960675999959</v>
      </c>
      <c r="M266" s="117">
        <f t="shared" si="35"/>
        <v>-0.36128100064696977</v>
      </c>
    </row>
    <row r="267" spans="1:13">
      <c r="A267" s="112">
        <v>264</v>
      </c>
      <c r="B267" s="113">
        <v>42020</v>
      </c>
      <c r="C267" s="114">
        <v>48.49</v>
      </c>
      <c r="D267" s="115">
        <f t="shared" si="34"/>
        <v>51.566999999999993</v>
      </c>
      <c r="E267" s="115">
        <f t="shared" si="30"/>
        <v>-3.0769999999999911</v>
      </c>
      <c r="F267" s="115">
        <f t="shared" si="31"/>
        <v>3.0769999999999911</v>
      </c>
      <c r="G267" s="115">
        <f t="shared" si="32"/>
        <v>9.4679289999999448</v>
      </c>
      <c r="H267" s="115">
        <f t="shared" si="33"/>
        <v>6.3456382759331631E-2</v>
      </c>
      <c r="I267" s="116">
        <f t="shared" si="36"/>
        <v>62.506999999999977</v>
      </c>
      <c r="J267" s="116">
        <f t="shared" si="37"/>
        <v>-14.016999999999975</v>
      </c>
      <c r="K267" s="116">
        <f t="shared" si="38"/>
        <v>14.016999999999975</v>
      </c>
      <c r="L267" s="116">
        <f t="shared" si="39"/>
        <v>196.4762889999993</v>
      </c>
      <c r="M267" s="117">
        <f t="shared" si="35"/>
        <v>-0.2890699113219215</v>
      </c>
    </row>
    <row r="268" spans="1:13">
      <c r="A268" s="112">
        <v>265</v>
      </c>
      <c r="B268" s="107">
        <v>42024</v>
      </c>
      <c r="C268" s="108">
        <v>46.79</v>
      </c>
      <c r="D268" s="115">
        <f t="shared" si="34"/>
        <v>51.282499999999992</v>
      </c>
      <c r="E268" s="115">
        <f t="shared" si="30"/>
        <v>-4.4924999999999926</v>
      </c>
      <c r="F268" s="115">
        <f t="shared" si="31"/>
        <v>4.4924999999999926</v>
      </c>
      <c r="G268" s="115">
        <f t="shared" si="32"/>
        <v>20.182556249999934</v>
      </c>
      <c r="H268" s="115">
        <f t="shared" si="33"/>
        <v>9.6014105578114822E-2</v>
      </c>
      <c r="I268" s="116">
        <f t="shared" si="36"/>
        <v>61.902599999999985</v>
      </c>
      <c r="J268" s="116">
        <f t="shared" si="37"/>
        <v>-15.112599999999986</v>
      </c>
      <c r="K268" s="116">
        <f t="shared" si="38"/>
        <v>15.112599999999986</v>
      </c>
      <c r="L268" s="116">
        <f t="shared" si="39"/>
        <v>228.39067875999959</v>
      </c>
      <c r="M268" s="117">
        <f t="shared" si="35"/>
        <v>-0.32298781790980952</v>
      </c>
    </row>
    <row r="269" spans="1:13">
      <c r="A269" s="112">
        <v>266</v>
      </c>
      <c r="B269" s="113">
        <v>42025</v>
      </c>
      <c r="C269" s="114">
        <v>47.85</v>
      </c>
      <c r="D269" s="115">
        <f t="shared" si="34"/>
        <v>50.776499999999999</v>
      </c>
      <c r="E269" s="115">
        <f t="shared" si="30"/>
        <v>-2.9264999999999972</v>
      </c>
      <c r="F269" s="115">
        <f t="shared" si="31"/>
        <v>2.9264999999999972</v>
      </c>
      <c r="G269" s="115">
        <f t="shared" si="32"/>
        <v>8.5644022499999846</v>
      </c>
      <c r="H269" s="115">
        <f t="shared" si="33"/>
        <v>6.1159874608150408E-2</v>
      </c>
      <c r="I269" s="116">
        <f t="shared" si="36"/>
        <v>61.280999999999985</v>
      </c>
      <c r="J269" s="116">
        <f t="shared" si="37"/>
        <v>-13.430999999999983</v>
      </c>
      <c r="K269" s="116">
        <f t="shared" si="38"/>
        <v>13.430999999999983</v>
      </c>
      <c r="L269" s="116">
        <f t="shared" si="39"/>
        <v>180.39176099999955</v>
      </c>
      <c r="M269" s="117">
        <f t="shared" si="35"/>
        <v>-0.28068965517241345</v>
      </c>
    </row>
    <row r="270" spans="1:13">
      <c r="A270" s="112">
        <v>267</v>
      </c>
      <c r="B270" s="107">
        <v>42026</v>
      </c>
      <c r="C270" s="108">
        <v>45.93</v>
      </c>
      <c r="D270" s="115">
        <f t="shared" si="34"/>
        <v>50.406500000000001</v>
      </c>
      <c r="E270" s="115">
        <f t="shared" si="30"/>
        <v>-4.4765000000000015</v>
      </c>
      <c r="F270" s="115">
        <f t="shared" si="31"/>
        <v>4.4765000000000015</v>
      </c>
      <c r="G270" s="115">
        <f t="shared" si="32"/>
        <v>20.039052250000012</v>
      </c>
      <c r="H270" s="115">
        <f t="shared" si="33"/>
        <v>9.7463531460918823E-2</v>
      </c>
      <c r="I270" s="116">
        <f t="shared" si="36"/>
        <v>60.663799999999995</v>
      </c>
      <c r="J270" s="116">
        <f t="shared" si="37"/>
        <v>-14.733799999999995</v>
      </c>
      <c r="K270" s="116">
        <f t="shared" si="38"/>
        <v>14.733799999999995</v>
      </c>
      <c r="L270" s="116">
        <f t="shared" si="39"/>
        <v>217.08486243999985</v>
      </c>
      <c r="M270" s="117">
        <f t="shared" si="35"/>
        <v>-0.3207881558893968</v>
      </c>
    </row>
    <row r="271" spans="1:13">
      <c r="A271" s="112">
        <v>268</v>
      </c>
      <c r="B271" s="113">
        <v>42027</v>
      </c>
      <c r="C271" s="114">
        <v>45.26</v>
      </c>
      <c r="D271" s="115">
        <f t="shared" si="34"/>
        <v>49.863999999999997</v>
      </c>
      <c r="E271" s="115">
        <f t="shared" si="30"/>
        <v>-4.6039999999999992</v>
      </c>
      <c r="F271" s="115">
        <f t="shared" si="31"/>
        <v>4.6039999999999992</v>
      </c>
      <c r="G271" s="115">
        <f t="shared" si="32"/>
        <v>21.196815999999991</v>
      </c>
      <c r="H271" s="115">
        <f t="shared" si="33"/>
        <v>0.10172337604949182</v>
      </c>
      <c r="I271" s="116">
        <f t="shared" si="36"/>
        <v>60.033799999999985</v>
      </c>
      <c r="J271" s="116">
        <f t="shared" si="37"/>
        <v>-14.773799999999987</v>
      </c>
      <c r="K271" s="116">
        <f t="shared" si="38"/>
        <v>14.773799999999987</v>
      </c>
      <c r="L271" s="116">
        <f t="shared" si="39"/>
        <v>218.26516643999963</v>
      </c>
      <c r="M271" s="117">
        <f t="shared" si="35"/>
        <v>-0.32642068051259365</v>
      </c>
    </row>
    <row r="272" spans="1:13">
      <c r="A272" s="112">
        <v>269</v>
      </c>
      <c r="B272" s="107">
        <v>42030</v>
      </c>
      <c r="C272" s="108">
        <v>44.8</v>
      </c>
      <c r="D272" s="115">
        <f t="shared" si="34"/>
        <v>49.341999999999999</v>
      </c>
      <c r="E272" s="115">
        <f t="shared" si="30"/>
        <v>-4.5420000000000016</v>
      </c>
      <c r="F272" s="115">
        <f t="shared" si="31"/>
        <v>4.5420000000000016</v>
      </c>
      <c r="G272" s="115">
        <f t="shared" si="32"/>
        <v>20.629764000000016</v>
      </c>
      <c r="H272" s="115">
        <f t="shared" si="33"/>
        <v>0.10138392857142861</v>
      </c>
      <c r="I272" s="116">
        <f t="shared" si="36"/>
        <v>59.381999999999991</v>
      </c>
      <c r="J272" s="116">
        <f t="shared" si="37"/>
        <v>-14.581999999999994</v>
      </c>
      <c r="K272" s="116">
        <f t="shared" si="38"/>
        <v>14.581999999999994</v>
      </c>
      <c r="L272" s="116">
        <f t="shared" si="39"/>
        <v>212.63472399999981</v>
      </c>
      <c r="M272" s="117">
        <f t="shared" si="35"/>
        <v>-0.32549107142857131</v>
      </c>
    </row>
    <row r="273" spans="1:13">
      <c r="A273" s="112">
        <v>270</v>
      </c>
      <c r="B273" s="113">
        <v>42031</v>
      </c>
      <c r="C273" s="114">
        <v>45.84</v>
      </c>
      <c r="D273" s="115">
        <f t="shared" si="34"/>
        <v>48.852499999999999</v>
      </c>
      <c r="E273" s="115">
        <f t="shared" si="30"/>
        <v>-3.0124999999999957</v>
      </c>
      <c r="F273" s="115">
        <f t="shared" si="31"/>
        <v>3.0124999999999957</v>
      </c>
      <c r="G273" s="115">
        <f t="shared" si="32"/>
        <v>9.0751562499999743</v>
      </c>
      <c r="H273" s="115">
        <f t="shared" si="33"/>
        <v>6.5717713787085422E-2</v>
      </c>
      <c r="I273" s="116">
        <f t="shared" si="36"/>
        <v>58.734799999999993</v>
      </c>
      <c r="J273" s="116">
        <f t="shared" si="37"/>
        <v>-12.894799999999989</v>
      </c>
      <c r="K273" s="116">
        <f t="shared" si="38"/>
        <v>12.894799999999989</v>
      </c>
      <c r="L273" s="116">
        <f t="shared" si="39"/>
        <v>166.27586703999972</v>
      </c>
      <c r="M273" s="117">
        <f t="shared" si="35"/>
        <v>-0.28130017452006956</v>
      </c>
    </row>
    <row r="274" spans="1:13">
      <c r="A274" s="112">
        <v>271</v>
      </c>
      <c r="B274" s="107">
        <v>42032</v>
      </c>
      <c r="C274" s="108">
        <v>44.08</v>
      </c>
      <c r="D274" s="115">
        <f t="shared" si="34"/>
        <v>48.471499999999999</v>
      </c>
      <c r="E274" s="115">
        <f t="shared" si="30"/>
        <v>-4.3915000000000006</v>
      </c>
      <c r="F274" s="115">
        <f t="shared" si="31"/>
        <v>4.3915000000000006</v>
      </c>
      <c r="G274" s="115">
        <f t="shared" si="32"/>
        <v>19.285272250000006</v>
      </c>
      <c r="H274" s="115">
        <f t="shared" si="33"/>
        <v>9.9625680580762266E-2</v>
      </c>
      <c r="I274" s="116">
        <f t="shared" si="36"/>
        <v>58.169000000000004</v>
      </c>
      <c r="J274" s="116">
        <f t="shared" si="37"/>
        <v>-14.089000000000006</v>
      </c>
      <c r="K274" s="116">
        <f t="shared" si="38"/>
        <v>14.089000000000006</v>
      </c>
      <c r="L274" s="116">
        <f t="shared" si="39"/>
        <v>198.49992100000017</v>
      </c>
      <c r="M274" s="117">
        <f t="shared" si="35"/>
        <v>-0.31962341197822158</v>
      </c>
    </row>
    <row r="275" spans="1:13">
      <c r="A275" s="112">
        <v>272</v>
      </c>
      <c r="B275" s="113">
        <v>42033</v>
      </c>
      <c r="C275" s="114">
        <v>44.12</v>
      </c>
      <c r="D275" s="115">
        <f t="shared" si="34"/>
        <v>47.968499999999999</v>
      </c>
      <c r="E275" s="115">
        <f t="shared" si="30"/>
        <v>-3.8485000000000014</v>
      </c>
      <c r="F275" s="115">
        <f t="shared" si="31"/>
        <v>3.8485000000000014</v>
      </c>
      <c r="G275" s="115">
        <f t="shared" si="32"/>
        <v>14.81095225000001</v>
      </c>
      <c r="H275" s="115">
        <f t="shared" si="33"/>
        <v>8.7228014505893056E-2</v>
      </c>
      <c r="I275" s="116">
        <f t="shared" si="36"/>
        <v>57.53240000000001</v>
      </c>
      <c r="J275" s="116">
        <f t="shared" si="37"/>
        <v>-13.412400000000012</v>
      </c>
      <c r="K275" s="116">
        <f t="shared" si="38"/>
        <v>13.412400000000012</v>
      </c>
      <c r="L275" s="116">
        <f t="shared" si="39"/>
        <v>179.89247376000034</v>
      </c>
      <c r="M275" s="117">
        <f t="shared" si="35"/>
        <v>-0.30399818676337292</v>
      </c>
    </row>
    <row r="276" spans="1:13">
      <c r="A276" s="112">
        <v>273</v>
      </c>
      <c r="B276" s="107">
        <v>42034</v>
      </c>
      <c r="C276" s="108">
        <v>47.79</v>
      </c>
      <c r="D276" s="115">
        <f t="shared" si="34"/>
        <v>47.501999999999995</v>
      </c>
      <c r="E276" s="115">
        <f t="shared" si="30"/>
        <v>0.28800000000000381</v>
      </c>
      <c r="F276" s="115">
        <f t="shared" si="31"/>
        <v>0.28800000000000381</v>
      </c>
      <c r="G276" s="115">
        <f t="shared" si="32"/>
        <v>8.2944000000002197E-2</v>
      </c>
      <c r="H276" s="115">
        <f t="shared" si="33"/>
        <v>6.0263653483993264E-3</v>
      </c>
      <c r="I276" s="116">
        <f t="shared" si="36"/>
        <v>56.902000000000008</v>
      </c>
      <c r="J276" s="116">
        <f t="shared" si="37"/>
        <v>-9.112000000000009</v>
      </c>
      <c r="K276" s="116">
        <f t="shared" si="38"/>
        <v>9.112000000000009</v>
      </c>
      <c r="L276" s="116">
        <f t="shared" si="39"/>
        <v>83.028544000000167</v>
      </c>
      <c r="M276" s="117">
        <f t="shared" si="35"/>
        <v>-0.19066750366185414</v>
      </c>
    </row>
    <row r="277" spans="1:13">
      <c r="A277" s="112">
        <v>274</v>
      </c>
      <c r="B277" s="113">
        <v>42037</v>
      </c>
      <c r="C277" s="114">
        <v>49.25</v>
      </c>
      <c r="D277" s="115">
        <f t="shared" si="34"/>
        <v>47.219000000000001</v>
      </c>
      <c r="E277" s="115">
        <f t="shared" si="30"/>
        <v>2.0309999999999988</v>
      </c>
      <c r="F277" s="115">
        <f t="shared" si="31"/>
        <v>2.0309999999999988</v>
      </c>
      <c r="G277" s="115">
        <f t="shared" si="32"/>
        <v>4.1249609999999954</v>
      </c>
      <c r="H277" s="115">
        <f t="shared" si="33"/>
        <v>4.1238578680203024E-2</v>
      </c>
      <c r="I277" s="116">
        <f t="shared" si="36"/>
        <v>56.366799999999991</v>
      </c>
      <c r="J277" s="116">
        <f t="shared" si="37"/>
        <v>-7.1167999999999907</v>
      </c>
      <c r="K277" s="116">
        <f t="shared" si="38"/>
        <v>7.1167999999999907</v>
      </c>
      <c r="L277" s="116">
        <f t="shared" si="39"/>
        <v>50.648842239999865</v>
      </c>
      <c r="M277" s="117">
        <f t="shared" si="35"/>
        <v>-0.14450355329949219</v>
      </c>
    </row>
    <row r="278" spans="1:13">
      <c r="A278" s="112">
        <v>275</v>
      </c>
      <c r="B278" s="107">
        <v>42038</v>
      </c>
      <c r="C278" s="108">
        <v>53.04</v>
      </c>
      <c r="D278" s="115">
        <f t="shared" si="34"/>
        <v>47.045499999999997</v>
      </c>
      <c r="E278" s="115">
        <f t="shared" si="30"/>
        <v>5.9945000000000022</v>
      </c>
      <c r="F278" s="115">
        <f t="shared" si="31"/>
        <v>5.9945000000000022</v>
      </c>
      <c r="G278" s="115">
        <f t="shared" si="32"/>
        <v>35.934030250000028</v>
      </c>
      <c r="H278" s="115">
        <f t="shared" si="33"/>
        <v>0.11301847662141784</v>
      </c>
      <c r="I278" s="116">
        <f t="shared" si="36"/>
        <v>55.860799999999998</v>
      </c>
      <c r="J278" s="116">
        <f t="shared" si="37"/>
        <v>-2.8207999999999984</v>
      </c>
      <c r="K278" s="116">
        <f t="shared" si="38"/>
        <v>2.8207999999999984</v>
      </c>
      <c r="L278" s="116">
        <f t="shared" si="39"/>
        <v>7.9569126399999908</v>
      </c>
      <c r="M278" s="117">
        <f t="shared" si="35"/>
        <v>-5.3182503770739034E-2</v>
      </c>
    </row>
    <row r="279" spans="1:13">
      <c r="A279" s="112">
        <v>276</v>
      </c>
      <c r="B279" s="113">
        <v>42039</v>
      </c>
      <c r="C279" s="114">
        <v>48.45</v>
      </c>
      <c r="D279" s="115">
        <f t="shared" si="34"/>
        <v>47.194999999999993</v>
      </c>
      <c r="E279" s="115">
        <f t="shared" si="30"/>
        <v>1.2550000000000097</v>
      </c>
      <c r="F279" s="115">
        <f t="shared" si="31"/>
        <v>1.2550000000000097</v>
      </c>
      <c r="G279" s="115">
        <f t="shared" si="32"/>
        <v>1.5750250000000243</v>
      </c>
      <c r="H279" s="115">
        <f t="shared" si="33"/>
        <v>2.5902992776057988E-2</v>
      </c>
      <c r="I279" s="116">
        <f t="shared" si="36"/>
        <v>55.408999999999999</v>
      </c>
      <c r="J279" s="116">
        <f t="shared" si="37"/>
        <v>-6.9589999999999961</v>
      </c>
      <c r="K279" s="116">
        <f t="shared" si="38"/>
        <v>6.9589999999999961</v>
      </c>
      <c r="L279" s="116">
        <f t="shared" si="39"/>
        <v>48.427680999999943</v>
      </c>
      <c r="M279" s="117">
        <f t="shared" si="35"/>
        <v>-0.14363261093911239</v>
      </c>
    </row>
    <row r="280" spans="1:13">
      <c r="A280" s="112">
        <v>277</v>
      </c>
      <c r="B280" s="107">
        <v>42040</v>
      </c>
      <c r="C280" s="108">
        <v>50.48</v>
      </c>
      <c r="D280" s="115">
        <f t="shared" si="34"/>
        <v>47.218499999999999</v>
      </c>
      <c r="E280" s="115">
        <f t="shared" ref="E280:E343" si="40">C280-D280</f>
        <v>3.2614999999999981</v>
      </c>
      <c r="F280" s="115">
        <f t="shared" ref="F280:F343" si="41">ABS(E280)</f>
        <v>3.2614999999999981</v>
      </c>
      <c r="G280" s="115">
        <f t="shared" ref="G280:G343" si="42">E280^2</f>
        <v>10.637382249999987</v>
      </c>
      <c r="H280" s="115">
        <f t="shared" ref="H280:H343" si="43">F280/C280</f>
        <v>6.4609746434231341E-2</v>
      </c>
      <c r="I280" s="116">
        <f t="shared" si="36"/>
        <v>54.847599999999993</v>
      </c>
      <c r="J280" s="116">
        <f t="shared" si="37"/>
        <v>-4.3675999999999959</v>
      </c>
      <c r="K280" s="116">
        <f t="shared" si="38"/>
        <v>4.3675999999999959</v>
      </c>
      <c r="L280" s="116">
        <f t="shared" si="39"/>
        <v>19.075929759999966</v>
      </c>
      <c r="M280" s="117">
        <f t="shared" si="35"/>
        <v>-8.6521394611727337E-2</v>
      </c>
    </row>
    <row r="281" spans="1:13">
      <c r="A281" s="112">
        <v>278</v>
      </c>
      <c r="B281" s="113">
        <v>42041</v>
      </c>
      <c r="C281" s="114">
        <v>51.66</v>
      </c>
      <c r="D281" s="115">
        <f t="shared" si="34"/>
        <v>47.308000000000007</v>
      </c>
      <c r="E281" s="115">
        <f t="shared" si="40"/>
        <v>4.3519999999999897</v>
      </c>
      <c r="F281" s="115">
        <f t="shared" si="41"/>
        <v>4.3519999999999897</v>
      </c>
      <c r="G281" s="115">
        <f t="shared" si="42"/>
        <v>18.93990399999991</v>
      </c>
      <c r="H281" s="115">
        <f t="shared" si="43"/>
        <v>8.4243128145566976E-2</v>
      </c>
      <c r="I281" s="116">
        <f t="shared" si="36"/>
        <v>54.342399999999998</v>
      </c>
      <c r="J281" s="116">
        <f t="shared" si="37"/>
        <v>-2.6824000000000012</v>
      </c>
      <c r="K281" s="116">
        <f t="shared" si="38"/>
        <v>2.6824000000000012</v>
      </c>
      <c r="L281" s="116">
        <f t="shared" si="39"/>
        <v>7.1952697600000066</v>
      </c>
      <c r="M281" s="117">
        <f t="shared" si="35"/>
        <v>-5.1924119241192439E-2</v>
      </c>
    </row>
    <row r="282" spans="1:13">
      <c r="A282" s="112">
        <v>279</v>
      </c>
      <c r="B282" s="107">
        <v>42044</v>
      </c>
      <c r="C282" s="108">
        <v>52.99</v>
      </c>
      <c r="D282" s="115">
        <f t="shared" ref="D282:D345" si="44">AVERAGE(C262:C281)</f>
        <v>47.451000000000008</v>
      </c>
      <c r="E282" s="115">
        <f t="shared" si="40"/>
        <v>5.5389999999999944</v>
      </c>
      <c r="F282" s="115">
        <f t="shared" si="41"/>
        <v>5.5389999999999944</v>
      </c>
      <c r="G282" s="115">
        <f t="shared" si="42"/>
        <v>30.680520999999938</v>
      </c>
      <c r="H282" s="115">
        <f t="shared" si="43"/>
        <v>0.10452915644461208</v>
      </c>
      <c r="I282" s="116">
        <f t="shared" si="36"/>
        <v>53.894799999999996</v>
      </c>
      <c r="J282" s="116">
        <f t="shared" si="37"/>
        <v>-0.9047999999999945</v>
      </c>
      <c r="K282" s="116">
        <f t="shared" si="38"/>
        <v>0.9047999999999945</v>
      </c>
      <c r="L282" s="116">
        <f t="shared" si="39"/>
        <v>0.81866303999999002</v>
      </c>
      <c r="M282" s="117">
        <f t="shared" si="35"/>
        <v>-1.7074919796187856E-2</v>
      </c>
    </row>
    <row r="283" spans="1:13">
      <c r="A283" s="112">
        <v>280</v>
      </c>
      <c r="B283" s="113">
        <v>42045</v>
      </c>
      <c r="C283" s="114">
        <v>50.06</v>
      </c>
      <c r="D283" s="115">
        <f t="shared" si="44"/>
        <v>47.683000000000007</v>
      </c>
      <c r="E283" s="115">
        <f t="shared" si="40"/>
        <v>2.3769999999999953</v>
      </c>
      <c r="F283" s="115">
        <f t="shared" si="41"/>
        <v>2.3769999999999953</v>
      </c>
      <c r="G283" s="115">
        <f t="shared" si="42"/>
        <v>5.6501289999999775</v>
      </c>
      <c r="H283" s="115">
        <f t="shared" si="43"/>
        <v>4.7483020375549245E-2</v>
      </c>
      <c r="I283" s="116">
        <f t="shared" si="36"/>
        <v>53.480599999999995</v>
      </c>
      <c r="J283" s="116">
        <f t="shared" si="37"/>
        <v>-3.4205999999999932</v>
      </c>
      <c r="K283" s="116">
        <f t="shared" si="38"/>
        <v>3.4205999999999932</v>
      </c>
      <c r="L283" s="116">
        <f t="shared" si="39"/>
        <v>11.700504359999954</v>
      </c>
      <c r="M283" s="117">
        <f t="shared" si="35"/>
        <v>-6.8330003995205613E-2</v>
      </c>
    </row>
    <row r="284" spans="1:13">
      <c r="A284" s="112">
        <v>281</v>
      </c>
      <c r="B284" s="107">
        <v>42046</v>
      </c>
      <c r="C284" s="108">
        <v>48.8</v>
      </c>
      <c r="D284" s="115">
        <f t="shared" si="44"/>
        <v>47.882999999999996</v>
      </c>
      <c r="E284" s="115">
        <f t="shared" si="40"/>
        <v>0.91700000000000159</v>
      </c>
      <c r="F284" s="115">
        <f t="shared" si="41"/>
        <v>0.91700000000000159</v>
      </c>
      <c r="G284" s="115">
        <f t="shared" si="42"/>
        <v>0.84088900000000288</v>
      </c>
      <c r="H284" s="115">
        <f t="shared" si="43"/>
        <v>1.8790983606557409E-2</v>
      </c>
      <c r="I284" s="116">
        <f t="shared" si="36"/>
        <v>53.16299999999999</v>
      </c>
      <c r="J284" s="116">
        <f t="shared" si="37"/>
        <v>-4.3629999999999924</v>
      </c>
      <c r="K284" s="116">
        <f t="shared" si="38"/>
        <v>4.3629999999999924</v>
      </c>
      <c r="L284" s="116">
        <f t="shared" si="39"/>
        <v>19.035768999999934</v>
      </c>
      <c r="M284" s="117">
        <f t="shared" si="35"/>
        <v>-8.9405737704917887E-2</v>
      </c>
    </row>
    <row r="285" spans="1:13">
      <c r="A285" s="112">
        <v>282</v>
      </c>
      <c r="B285" s="113">
        <v>42047</v>
      </c>
      <c r="C285" s="114">
        <v>51.17</v>
      </c>
      <c r="D285" s="115">
        <f t="shared" si="44"/>
        <v>48.027000000000001</v>
      </c>
      <c r="E285" s="115">
        <f t="shared" si="40"/>
        <v>3.1430000000000007</v>
      </c>
      <c r="F285" s="115">
        <f t="shared" si="41"/>
        <v>3.1430000000000007</v>
      </c>
      <c r="G285" s="115">
        <f t="shared" si="42"/>
        <v>9.8784490000000051</v>
      </c>
      <c r="H285" s="115">
        <f t="shared" si="43"/>
        <v>6.1422708618331066E-2</v>
      </c>
      <c r="I285" s="116">
        <f t="shared" si="36"/>
        <v>52.759399999999985</v>
      </c>
      <c r="J285" s="116">
        <f t="shared" si="37"/>
        <v>-1.5893999999999835</v>
      </c>
      <c r="K285" s="116">
        <f t="shared" si="38"/>
        <v>1.5893999999999835</v>
      </c>
      <c r="L285" s="116">
        <f t="shared" si="39"/>
        <v>2.5261923599999476</v>
      </c>
      <c r="M285" s="117">
        <f t="shared" si="35"/>
        <v>-3.1061168653507592E-2</v>
      </c>
    </row>
    <row r="286" spans="1:13">
      <c r="A286" s="112">
        <v>283</v>
      </c>
      <c r="B286" s="107">
        <v>42048</v>
      </c>
      <c r="C286" s="108">
        <v>52.66</v>
      </c>
      <c r="D286" s="115">
        <f t="shared" si="44"/>
        <v>48.160999999999994</v>
      </c>
      <c r="E286" s="115">
        <f t="shared" si="40"/>
        <v>4.4990000000000023</v>
      </c>
      <c r="F286" s="115">
        <f t="shared" si="41"/>
        <v>4.4990000000000023</v>
      </c>
      <c r="G286" s="115">
        <f t="shared" si="42"/>
        <v>20.241001000000022</v>
      </c>
      <c r="H286" s="115">
        <f t="shared" si="43"/>
        <v>8.543486517280674E-2</v>
      </c>
      <c r="I286" s="116">
        <f t="shared" si="36"/>
        <v>52.442999999999984</v>
      </c>
      <c r="J286" s="116">
        <f t="shared" si="37"/>
        <v>0.21700000000001296</v>
      </c>
      <c r="K286" s="116">
        <f t="shared" si="38"/>
        <v>0.21700000000001296</v>
      </c>
      <c r="L286" s="116">
        <f t="shared" si="39"/>
        <v>4.7089000000005626E-2</v>
      </c>
      <c r="M286" s="117">
        <f t="shared" si="35"/>
        <v>4.1207747816181728E-3</v>
      </c>
    </row>
    <row r="287" spans="1:13">
      <c r="A287" s="112">
        <v>284</v>
      </c>
      <c r="B287" s="113">
        <v>42052</v>
      </c>
      <c r="C287" s="114">
        <v>53.56</v>
      </c>
      <c r="D287" s="115">
        <f t="shared" si="44"/>
        <v>48.475499999999997</v>
      </c>
      <c r="E287" s="115">
        <f t="shared" si="40"/>
        <v>5.0845000000000056</v>
      </c>
      <c r="F287" s="115">
        <f t="shared" si="41"/>
        <v>5.0845000000000056</v>
      </c>
      <c r="G287" s="115">
        <f t="shared" si="42"/>
        <v>25.852140250000058</v>
      </c>
      <c r="H287" s="115">
        <f t="shared" si="43"/>
        <v>9.4930918595967237E-2</v>
      </c>
      <c r="I287" s="116">
        <f t="shared" si="36"/>
        <v>52.150199999999984</v>
      </c>
      <c r="J287" s="116">
        <f t="shared" si="37"/>
        <v>1.4098000000000184</v>
      </c>
      <c r="K287" s="116">
        <f t="shared" si="38"/>
        <v>1.4098000000000184</v>
      </c>
      <c r="L287" s="116">
        <f t="shared" si="39"/>
        <v>1.9875360400000519</v>
      </c>
      <c r="M287" s="117">
        <f t="shared" si="35"/>
        <v>2.6321882001493994E-2</v>
      </c>
    </row>
    <row r="288" spans="1:13">
      <c r="A288" s="112">
        <v>285</v>
      </c>
      <c r="B288" s="107">
        <v>42053</v>
      </c>
      <c r="C288" s="108">
        <v>52.13</v>
      </c>
      <c r="D288" s="115">
        <f t="shared" si="44"/>
        <v>48.728999999999999</v>
      </c>
      <c r="E288" s="115">
        <f t="shared" si="40"/>
        <v>3.4010000000000034</v>
      </c>
      <c r="F288" s="115">
        <f t="shared" si="41"/>
        <v>3.4010000000000034</v>
      </c>
      <c r="G288" s="115">
        <f t="shared" si="42"/>
        <v>11.566801000000023</v>
      </c>
      <c r="H288" s="115">
        <f t="shared" si="43"/>
        <v>6.5240744293113426E-2</v>
      </c>
      <c r="I288" s="116">
        <f t="shared" si="36"/>
        <v>51.886799999999972</v>
      </c>
      <c r="J288" s="116">
        <f t="shared" si="37"/>
        <v>0.24320000000003006</v>
      </c>
      <c r="K288" s="116">
        <f t="shared" si="38"/>
        <v>0.24320000000003006</v>
      </c>
      <c r="L288" s="116">
        <f t="shared" si="39"/>
        <v>5.9146240000014623E-2</v>
      </c>
      <c r="M288" s="117">
        <f t="shared" si="35"/>
        <v>4.66525992710589E-3</v>
      </c>
    </row>
    <row r="289" spans="1:13">
      <c r="A289" s="112">
        <v>286</v>
      </c>
      <c r="B289" s="113">
        <v>42054</v>
      </c>
      <c r="C289" s="114">
        <v>51.12</v>
      </c>
      <c r="D289" s="115">
        <f t="shared" si="44"/>
        <v>48.995999999999995</v>
      </c>
      <c r="E289" s="115">
        <f t="shared" si="40"/>
        <v>2.1240000000000023</v>
      </c>
      <c r="F289" s="115">
        <f t="shared" si="41"/>
        <v>2.1240000000000023</v>
      </c>
      <c r="G289" s="115">
        <f t="shared" si="42"/>
        <v>4.51137600000001</v>
      </c>
      <c r="H289" s="115">
        <f t="shared" si="43"/>
        <v>4.1549295774647936E-2</v>
      </c>
      <c r="I289" s="116">
        <f t="shared" si="36"/>
        <v>51.611599999999981</v>
      </c>
      <c r="J289" s="116">
        <f t="shared" si="37"/>
        <v>-0.49159999999998405</v>
      </c>
      <c r="K289" s="116">
        <f t="shared" si="38"/>
        <v>0.49159999999998405</v>
      </c>
      <c r="L289" s="116">
        <f t="shared" si="39"/>
        <v>0.24167055999998432</v>
      </c>
      <c r="M289" s="117">
        <f t="shared" si="35"/>
        <v>-9.6165884194050096E-3</v>
      </c>
    </row>
    <row r="290" spans="1:13">
      <c r="A290" s="112">
        <v>287</v>
      </c>
      <c r="B290" s="107">
        <v>42055</v>
      </c>
      <c r="C290" s="108">
        <v>49.95</v>
      </c>
      <c r="D290" s="115">
        <f t="shared" si="44"/>
        <v>49.159499999999994</v>
      </c>
      <c r="E290" s="115">
        <f t="shared" si="40"/>
        <v>0.79050000000000864</v>
      </c>
      <c r="F290" s="115">
        <f t="shared" si="41"/>
        <v>0.79050000000000864</v>
      </c>
      <c r="G290" s="115">
        <f t="shared" si="42"/>
        <v>0.62489025000001364</v>
      </c>
      <c r="H290" s="115">
        <f t="shared" si="43"/>
        <v>1.5825825825826E-2</v>
      </c>
      <c r="I290" s="116">
        <f t="shared" si="36"/>
        <v>51.371399999999987</v>
      </c>
      <c r="J290" s="116">
        <f t="shared" si="37"/>
        <v>-1.4213999999999842</v>
      </c>
      <c r="K290" s="116">
        <f t="shared" si="38"/>
        <v>1.4213999999999842</v>
      </c>
      <c r="L290" s="116">
        <f t="shared" si="39"/>
        <v>2.020377959999955</v>
      </c>
      <c r="M290" s="117">
        <f t="shared" si="35"/>
        <v>-2.8456456456456138E-2</v>
      </c>
    </row>
    <row r="291" spans="1:13">
      <c r="A291" s="112">
        <v>288</v>
      </c>
      <c r="B291" s="113">
        <v>42058</v>
      </c>
      <c r="C291" s="114">
        <v>49.56</v>
      </c>
      <c r="D291" s="115">
        <f t="shared" si="44"/>
        <v>49.360500000000002</v>
      </c>
      <c r="E291" s="115">
        <f t="shared" si="40"/>
        <v>0.19950000000000045</v>
      </c>
      <c r="F291" s="115">
        <f t="shared" si="41"/>
        <v>0.19950000000000045</v>
      </c>
      <c r="G291" s="115">
        <f t="shared" si="42"/>
        <v>3.9800250000000183E-2</v>
      </c>
      <c r="H291" s="115">
        <f t="shared" si="43"/>
        <v>4.0254237288135687E-3</v>
      </c>
      <c r="I291" s="116">
        <f t="shared" si="36"/>
        <v>51.095599999999983</v>
      </c>
      <c r="J291" s="116">
        <f t="shared" si="37"/>
        <v>-1.535599999999981</v>
      </c>
      <c r="K291" s="116">
        <f t="shared" si="38"/>
        <v>1.535599999999981</v>
      </c>
      <c r="L291" s="116">
        <f t="shared" si="39"/>
        <v>2.3580673599999415</v>
      </c>
      <c r="M291" s="117">
        <f t="shared" si="35"/>
        <v>-3.0984665052461276E-2</v>
      </c>
    </row>
    <row r="292" spans="1:13">
      <c r="A292" s="112">
        <v>289</v>
      </c>
      <c r="B292" s="107">
        <v>42059</v>
      </c>
      <c r="C292" s="108">
        <v>48.48</v>
      </c>
      <c r="D292" s="115">
        <f t="shared" si="44"/>
        <v>49.575499999999991</v>
      </c>
      <c r="E292" s="115">
        <f t="shared" si="40"/>
        <v>-1.0954999999999941</v>
      </c>
      <c r="F292" s="115">
        <f t="shared" si="41"/>
        <v>1.0954999999999941</v>
      </c>
      <c r="G292" s="115">
        <f t="shared" si="42"/>
        <v>1.2001202499999872</v>
      </c>
      <c r="H292" s="115">
        <f t="shared" si="43"/>
        <v>2.2596947194719351E-2</v>
      </c>
      <c r="I292" s="116">
        <f t="shared" si="36"/>
        <v>50.86699999999999</v>
      </c>
      <c r="J292" s="116">
        <f t="shared" si="37"/>
        <v>-2.3869999999999933</v>
      </c>
      <c r="K292" s="116">
        <f t="shared" si="38"/>
        <v>2.3869999999999933</v>
      </c>
      <c r="L292" s="116">
        <f t="shared" si="39"/>
        <v>5.6977689999999681</v>
      </c>
      <c r="M292" s="117">
        <f t="shared" si="35"/>
        <v>-4.9236798679867855E-2</v>
      </c>
    </row>
    <row r="293" spans="1:13">
      <c r="A293" s="112">
        <v>290</v>
      </c>
      <c r="B293" s="113">
        <v>42060</v>
      </c>
      <c r="C293" s="114">
        <v>50.25</v>
      </c>
      <c r="D293" s="115">
        <f t="shared" si="44"/>
        <v>49.759499999999989</v>
      </c>
      <c r="E293" s="115">
        <f t="shared" si="40"/>
        <v>0.49050000000001148</v>
      </c>
      <c r="F293" s="115">
        <f t="shared" si="41"/>
        <v>0.49050000000001148</v>
      </c>
      <c r="G293" s="115">
        <f t="shared" si="42"/>
        <v>0.24059025000001127</v>
      </c>
      <c r="H293" s="115">
        <f t="shared" si="43"/>
        <v>9.7611940298509749E-3</v>
      </c>
      <c r="I293" s="116">
        <f t="shared" si="36"/>
        <v>50.636399999999988</v>
      </c>
      <c r="J293" s="116">
        <f t="shared" si="37"/>
        <v>-0.38639999999998764</v>
      </c>
      <c r="K293" s="116">
        <f t="shared" si="38"/>
        <v>0.38639999999998764</v>
      </c>
      <c r="L293" s="116">
        <f t="shared" si="39"/>
        <v>0.14930495999999044</v>
      </c>
      <c r="M293" s="117">
        <f t="shared" si="35"/>
        <v>-7.689552238805724E-3</v>
      </c>
    </row>
    <row r="294" spans="1:13">
      <c r="A294" s="112">
        <v>291</v>
      </c>
      <c r="B294" s="107">
        <v>42061</v>
      </c>
      <c r="C294" s="108">
        <v>47.65</v>
      </c>
      <c r="D294" s="115">
        <f t="shared" si="44"/>
        <v>49.98</v>
      </c>
      <c r="E294" s="115">
        <f t="shared" si="40"/>
        <v>-2.3299999999999983</v>
      </c>
      <c r="F294" s="115">
        <f t="shared" si="41"/>
        <v>2.3299999999999983</v>
      </c>
      <c r="G294" s="115">
        <f t="shared" si="42"/>
        <v>5.4288999999999916</v>
      </c>
      <c r="H294" s="115">
        <f t="shared" si="43"/>
        <v>4.8898216159496292E-2</v>
      </c>
      <c r="I294" s="116">
        <f t="shared" si="36"/>
        <v>50.485199999999985</v>
      </c>
      <c r="J294" s="116">
        <f t="shared" si="37"/>
        <v>-2.8351999999999862</v>
      </c>
      <c r="K294" s="116">
        <f t="shared" si="38"/>
        <v>2.8351999999999862</v>
      </c>
      <c r="L294" s="116">
        <f t="shared" si="39"/>
        <v>8.0383590399999214</v>
      </c>
      <c r="M294" s="117">
        <f t="shared" si="35"/>
        <v>-5.9500524658971383E-2</v>
      </c>
    </row>
    <row r="295" spans="1:13">
      <c r="A295" s="112">
        <v>292</v>
      </c>
      <c r="B295" s="113">
        <v>42062</v>
      </c>
      <c r="C295" s="114">
        <v>49.84</v>
      </c>
      <c r="D295" s="115">
        <f t="shared" si="44"/>
        <v>50.158499999999997</v>
      </c>
      <c r="E295" s="115">
        <f t="shared" si="40"/>
        <v>-0.31849999999999312</v>
      </c>
      <c r="F295" s="115">
        <f t="shared" si="41"/>
        <v>0.31849999999999312</v>
      </c>
      <c r="G295" s="115">
        <f t="shared" si="42"/>
        <v>0.10144224999999561</v>
      </c>
      <c r="H295" s="115">
        <f t="shared" si="43"/>
        <v>6.3904494382021086E-3</v>
      </c>
      <c r="I295" s="116">
        <f t="shared" si="36"/>
        <v>50.318999999999988</v>
      </c>
      <c r="J295" s="116">
        <f t="shared" si="37"/>
        <v>-0.47899999999998499</v>
      </c>
      <c r="K295" s="116">
        <f t="shared" si="38"/>
        <v>0.47899999999998499</v>
      </c>
      <c r="L295" s="116">
        <f t="shared" si="39"/>
        <v>0.22944099999998563</v>
      </c>
      <c r="M295" s="117">
        <f t="shared" si="35"/>
        <v>-9.6107544141248984E-3</v>
      </c>
    </row>
    <row r="296" spans="1:13">
      <c r="A296" s="112">
        <v>293</v>
      </c>
      <c r="B296" s="107">
        <v>42065</v>
      </c>
      <c r="C296" s="108">
        <v>49.59</v>
      </c>
      <c r="D296" s="115">
        <f t="shared" si="44"/>
        <v>50.444500000000005</v>
      </c>
      <c r="E296" s="115">
        <f t="shared" si="40"/>
        <v>-0.85450000000000159</v>
      </c>
      <c r="F296" s="115">
        <f t="shared" si="41"/>
        <v>0.85450000000000159</v>
      </c>
      <c r="G296" s="115">
        <f t="shared" si="42"/>
        <v>0.73017025000000269</v>
      </c>
      <c r="H296" s="115">
        <f t="shared" si="43"/>
        <v>1.7231296632385592E-2</v>
      </c>
      <c r="I296" s="116">
        <f t="shared" si="36"/>
        <v>50.196399999999983</v>
      </c>
      <c r="J296" s="116">
        <f t="shared" si="37"/>
        <v>-0.6063999999999794</v>
      </c>
      <c r="K296" s="116">
        <f t="shared" si="38"/>
        <v>0.6063999999999794</v>
      </c>
      <c r="L296" s="116">
        <f t="shared" si="39"/>
        <v>0.36772095999997501</v>
      </c>
      <c r="M296" s="117">
        <f t="shared" si="35"/>
        <v>-1.2228271828997366E-2</v>
      </c>
    </row>
    <row r="297" spans="1:13">
      <c r="A297" s="112">
        <v>294</v>
      </c>
      <c r="B297" s="113">
        <v>42066</v>
      </c>
      <c r="C297" s="114">
        <v>50.43</v>
      </c>
      <c r="D297" s="115">
        <f t="shared" si="44"/>
        <v>50.534500000000008</v>
      </c>
      <c r="E297" s="115">
        <f t="shared" si="40"/>
        <v>-0.1045000000000087</v>
      </c>
      <c r="F297" s="115">
        <f t="shared" si="41"/>
        <v>0.1045000000000087</v>
      </c>
      <c r="G297" s="115">
        <f t="shared" si="42"/>
        <v>1.0920250000001817E-2</v>
      </c>
      <c r="H297" s="115">
        <f t="shared" si="43"/>
        <v>2.0721792583781222E-3</v>
      </c>
      <c r="I297" s="116">
        <f t="shared" si="36"/>
        <v>50.059600000000003</v>
      </c>
      <c r="J297" s="116">
        <f t="shared" si="37"/>
        <v>0.37039999999999651</v>
      </c>
      <c r="K297" s="116">
        <f t="shared" si="38"/>
        <v>0.37039999999999651</v>
      </c>
      <c r="L297" s="116">
        <f t="shared" si="39"/>
        <v>0.1371961599999974</v>
      </c>
      <c r="M297" s="117">
        <f t="shared" si="35"/>
        <v>7.3448344239539264E-3</v>
      </c>
    </row>
    <row r="298" spans="1:13">
      <c r="A298" s="112">
        <v>295</v>
      </c>
      <c r="B298" s="107">
        <v>42067</v>
      </c>
      <c r="C298" s="108">
        <v>51.53</v>
      </c>
      <c r="D298" s="115">
        <f t="shared" si="44"/>
        <v>50.593500000000006</v>
      </c>
      <c r="E298" s="115">
        <f t="shared" si="40"/>
        <v>0.93649999999999523</v>
      </c>
      <c r="F298" s="115">
        <f t="shared" si="41"/>
        <v>0.93649999999999523</v>
      </c>
      <c r="G298" s="115">
        <f t="shared" si="42"/>
        <v>0.87703224999999108</v>
      </c>
      <c r="H298" s="115">
        <f t="shared" si="43"/>
        <v>1.8173879293615278E-2</v>
      </c>
      <c r="I298" s="116">
        <f t="shared" si="36"/>
        <v>49.984599999999993</v>
      </c>
      <c r="J298" s="116">
        <f t="shared" si="37"/>
        <v>1.5454000000000079</v>
      </c>
      <c r="K298" s="116">
        <f t="shared" si="38"/>
        <v>1.5454000000000079</v>
      </c>
      <c r="L298" s="116">
        <f t="shared" si="39"/>
        <v>2.3882611600000243</v>
      </c>
      <c r="M298" s="117">
        <f t="shared" si="35"/>
        <v>2.9990296914418936E-2</v>
      </c>
    </row>
    <row r="299" spans="1:13">
      <c r="A299" s="112">
        <v>296</v>
      </c>
      <c r="B299" s="113">
        <v>42068</v>
      </c>
      <c r="C299" s="114">
        <v>50.76</v>
      </c>
      <c r="D299" s="115">
        <f t="shared" si="44"/>
        <v>50.517999999999994</v>
      </c>
      <c r="E299" s="115">
        <f t="shared" si="40"/>
        <v>0.24200000000000443</v>
      </c>
      <c r="F299" s="115">
        <f t="shared" si="41"/>
        <v>0.24200000000000443</v>
      </c>
      <c r="G299" s="115">
        <f t="shared" si="42"/>
        <v>5.8564000000002149E-2</v>
      </c>
      <c r="H299" s="115">
        <f t="shared" si="43"/>
        <v>4.7675334909378338E-3</v>
      </c>
      <c r="I299" s="116">
        <f t="shared" si="36"/>
        <v>49.876999999999995</v>
      </c>
      <c r="J299" s="116">
        <f t="shared" si="37"/>
        <v>0.88300000000000267</v>
      </c>
      <c r="K299" s="116">
        <f t="shared" si="38"/>
        <v>0.88300000000000267</v>
      </c>
      <c r="L299" s="116">
        <f t="shared" si="39"/>
        <v>0.77968900000000474</v>
      </c>
      <c r="M299" s="117">
        <f t="shared" si="35"/>
        <v>1.7395587076438193E-2</v>
      </c>
    </row>
    <row r="300" spans="1:13">
      <c r="A300" s="112">
        <v>297</v>
      </c>
      <c r="B300" s="107">
        <v>42069</v>
      </c>
      <c r="C300" s="108">
        <v>49.61</v>
      </c>
      <c r="D300" s="115">
        <f t="shared" si="44"/>
        <v>50.633500000000005</v>
      </c>
      <c r="E300" s="115">
        <f t="shared" si="40"/>
        <v>-1.0235000000000056</v>
      </c>
      <c r="F300" s="115">
        <f t="shared" si="41"/>
        <v>1.0235000000000056</v>
      </c>
      <c r="G300" s="115">
        <f t="shared" si="42"/>
        <v>1.0475522500000116</v>
      </c>
      <c r="H300" s="115">
        <f t="shared" si="43"/>
        <v>2.0630921185245024E-2</v>
      </c>
      <c r="I300" s="116">
        <f t="shared" si="36"/>
        <v>49.787200000000013</v>
      </c>
      <c r="J300" s="116">
        <f t="shared" si="37"/>
        <v>-0.17720000000001335</v>
      </c>
      <c r="K300" s="116">
        <f t="shared" si="38"/>
        <v>0.17720000000001335</v>
      </c>
      <c r="L300" s="116">
        <f t="shared" si="39"/>
        <v>3.1399840000004731E-2</v>
      </c>
      <c r="M300" s="117">
        <f t="shared" si="35"/>
        <v>-3.5718605119938189E-3</v>
      </c>
    </row>
    <row r="301" spans="1:13">
      <c r="A301" s="112">
        <v>298</v>
      </c>
      <c r="B301" s="113">
        <v>42072</v>
      </c>
      <c r="C301" s="114">
        <v>49.95</v>
      </c>
      <c r="D301" s="115">
        <f t="shared" si="44"/>
        <v>50.59</v>
      </c>
      <c r="E301" s="115">
        <f t="shared" si="40"/>
        <v>-0.64000000000000057</v>
      </c>
      <c r="F301" s="115">
        <f t="shared" si="41"/>
        <v>0.64000000000000057</v>
      </c>
      <c r="G301" s="115">
        <f t="shared" si="42"/>
        <v>0.40960000000000074</v>
      </c>
      <c r="H301" s="115">
        <f t="shared" si="43"/>
        <v>1.2812812812812824E-2</v>
      </c>
      <c r="I301" s="116">
        <f t="shared" si="36"/>
        <v>49.643800000000013</v>
      </c>
      <c r="J301" s="116">
        <f t="shared" si="37"/>
        <v>0.30619999999998981</v>
      </c>
      <c r="K301" s="116">
        <f t="shared" si="38"/>
        <v>0.30619999999998981</v>
      </c>
      <c r="L301" s="116">
        <f t="shared" si="39"/>
        <v>9.3758439999993767E-2</v>
      </c>
      <c r="M301" s="117">
        <f t="shared" si="35"/>
        <v>6.1301301301299261E-3</v>
      </c>
    </row>
    <row r="302" spans="1:13">
      <c r="A302" s="112">
        <v>299</v>
      </c>
      <c r="B302" s="107">
        <v>42073</v>
      </c>
      <c r="C302" s="108">
        <v>48.42</v>
      </c>
      <c r="D302" s="115">
        <f t="shared" si="44"/>
        <v>50.5045</v>
      </c>
      <c r="E302" s="115">
        <f t="shared" si="40"/>
        <v>-2.0844999999999985</v>
      </c>
      <c r="F302" s="115">
        <f t="shared" si="41"/>
        <v>2.0844999999999985</v>
      </c>
      <c r="G302" s="115">
        <f t="shared" si="42"/>
        <v>4.3451402499999938</v>
      </c>
      <c r="H302" s="115">
        <f t="shared" si="43"/>
        <v>4.3050392399834748E-2</v>
      </c>
      <c r="I302" s="116">
        <f t="shared" si="36"/>
        <v>49.528800000000011</v>
      </c>
      <c r="J302" s="116">
        <f t="shared" si="37"/>
        <v>-1.1088000000000093</v>
      </c>
      <c r="K302" s="116">
        <f t="shared" si="38"/>
        <v>1.1088000000000093</v>
      </c>
      <c r="L302" s="116">
        <f t="shared" si="39"/>
        <v>1.2294374400000208</v>
      </c>
      <c r="M302" s="117">
        <f t="shared" si="35"/>
        <v>-2.2899628252788296E-2</v>
      </c>
    </row>
    <row r="303" spans="1:13">
      <c r="A303" s="112">
        <v>300</v>
      </c>
      <c r="B303" s="113">
        <v>42074</v>
      </c>
      <c r="C303" s="114">
        <v>48.06</v>
      </c>
      <c r="D303" s="115">
        <f t="shared" si="44"/>
        <v>50.275999999999996</v>
      </c>
      <c r="E303" s="115">
        <f t="shared" si="40"/>
        <v>-2.215999999999994</v>
      </c>
      <c r="F303" s="115">
        <f t="shared" si="41"/>
        <v>2.215999999999994</v>
      </c>
      <c r="G303" s="115">
        <f t="shared" si="42"/>
        <v>4.9106559999999737</v>
      </c>
      <c r="H303" s="115">
        <f t="shared" si="43"/>
        <v>4.6109030378693169E-2</v>
      </c>
      <c r="I303" s="116">
        <f t="shared" si="36"/>
        <v>49.405400000000007</v>
      </c>
      <c r="J303" s="116">
        <f t="shared" si="37"/>
        <v>-1.345400000000005</v>
      </c>
      <c r="K303" s="116">
        <f t="shared" si="38"/>
        <v>1.345400000000005</v>
      </c>
      <c r="L303" s="116">
        <f t="shared" si="39"/>
        <v>1.8101011600000136</v>
      </c>
      <c r="M303" s="117">
        <f t="shared" si="35"/>
        <v>-2.7994173949230233E-2</v>
      </c>
    </row>
    <row r="304" spans="1:13">
      <c r="A304" s="112">
        <v>301</v>
      </c>
      <c r="B304" s="107">
        <v>42075</v>
      </c>
      <c r="C304" s="108">
        <v>47.12</v>
      </c>
      <c r="D304" s="115">
        <f t="shared" si="44"/>
        <v>50.176000000000002</v>
      </c>
      <c r="E304" s="115">
        <f t="shared" si="40"/>
        <v>-3.0560000000000045</v>
      </c>
      <c r="F304" s="115">
        <f t="shared" si="41"/>
        <v>3.0560000000000045</v>
      </c>
      <c r="G304" s="115">
        <f t="shared" si="42"/>
        <v>9.3391360000000283</v>
      </c>
      <c r="H304" s="115">
        <f t="shared" si="43"/>
        <v>6.4855687606112156E-2</v>
      </c>
      <c r="I304" s="116">
        <f t="shared" si="36"/>
        <v>49.29740000000001</v>
      </c>
      <c r="J304" s="116">
        <f t="shared" si="37"/>
        <v>-2.1774000000000129</v>
      </c>
      <c r="K304" s="116">
        <f t="shared" si="38"/>
        <v>2.1774000000000129</v>
      </c>
      <c r="L304" s="116">
        <f t="shared" si="39"/>
        <v>4.7410707600000563</v>
      </c>
      <c r="M304" s="117">
        <f t="shared" si="35"/>
        <v>-4.6209677419355118E-2</v>
      </c>
    </row>
    <row r="305" spans="1:13">
      <c r="A305" s="112">
        <v>302</v>
      </c>
      <c r="B305" s="113">
        <v>42076</v>
      </c>
      <c r="C305" s="114">
        <v>44.88</v>
      </c>
      <c r="D305" s="115">
        <f t="shared" si="44"/>
        <v>50.091999999999999</v>
      </c>
      <c r="E305" s="115">
        <f t="shared" si="40"/>
        <v>-5.2119999999999962</v>
      </c>
      <c r="F305" s="115">
        <f t="shared" si="41"/>
        <v>5.2119999999999962</v>
      </c>
      <c r="G305" s="115">
        <f t="shared" si="42"/>
        <v>27.164943999999959</v>
      </c>
      <c r="H305" s="115">
        <f t="shared" si="43"/>
        <v>0.1161319073083778</v>
      </c>
      <c r="I305" s="116">
        <f t="shared" si="36"/>
        <v>49.157000000000011</v>
      </c>
      <c r="J305" s="116">
        <f t="shared" si="37"/>
        <v>-4.2770000000000081</v>
      </c>
      <c r="K305" s="116">
        <f t="shared" si="38"/>
        <v>4.2770000000000081</v>
      </c>
      <c r="L305" s="116">
        <f t="shared" si="39"/>
        <v>18.292729000000069</v>
      </c>
      <c r="M305" s="117">
        <f t="shared" si="35"/>
        <v>-9.5298573975044737E-2</v>
      </c>
    </row>
    <row r="306" spans="1:13">
      <c r="A306" s="112">
        <v>303</v>
      </c>
      <c r="B306" s="107">
        <v>42079</v>
      </c>
      <c r="C306" s="108">
        <v>43.93</v>
      </c>
      <c r="D306" s="115">
        <f t="shared" si="44"/>
        <v>49.777499999999996</v>
      </c>
      <c r="E306" s="115">
        <f t="shared" si="40"/>
        <v>-5.8474999999999966</v>
      </c>
      <c r="F306" s="115">
        <f t="shared" si="41"/>
        <v>5.8474999999999966</v>
      </c>
      <c r="G306" s="115">
        <f t="shared" si="42"/>
        <v>34.193256249999962</v>
      </c>
      <c r="H306" s="115">
        <f t="shared" si="43"/>
        <v>0.13310949237423167</v>
      </c>
      <c r="I306" s="116">
        <f t="shared" si="36"/>
        <v>48.985600000000005</v>
      </c>
      <c r="J306" s="116">
        <f t="shared" si="37"/>
        <v>-5.0556000000000054</v>
      </c>
      <c r="K306" s="116">
        <f t="shared" si="38"/>
        <v>5.0556000000000054</v>
      </c>
      <c r="L306" s="116">
        <f t="shared" si="39"/>
        <v>25.559091360000053</v>
      </c>
      <c r="M306" s="117">
        <f t="shared" si="35"/>
        <v>-0.11508308672888699</v>
      </c>
    </row>
    <row r="307" spans="1:13">
      <c r="A307" s="112">
        <v>304</v>
      </c>
      <c r="B307" s="113">
        <v>42080</v>
      </c>
      <c r="C307" s="114">
        <v>43.39</v>
      </c>
      <c r="D307" s="115">
        <f t="shared" si="44"/>
        <v>49.340999999999994</v>
      </c>
      <c r="E307" s="115">
        <f t="shared" si="40"/>
        <v>-5.9509999999999934</v>
      </c>
      <c r="F307" s="115">
        <f t="shared" si="41"/>
        <v>5.9509999999999934</v>
      </c>
      <c r="G307" s="115">
        <f t="shared" si="42"/>
        <v>35.41440099999992</v>
      </c>
      <c r="H307" s="115">
        <f t="shared" si="43"/>
        <v>0.13715141737727571</v>
      </c>
      <c r="I307" s="116">
        <f t="shared" si="36"/>
        <v>48.795200000000001</v>
      </c>
      <c r="J307" s="116">
        <f t="shared" si="37"/>
        <v>-5.4052000000000007</v>
      </c>
      <c r="K307" s="116">
        <f t="shared" si="38"/>
        <v>5.4052000000000007</v>
      </c>
      <c r="L307" s="116">
        <f t="shared" si="39"/>
        <v>29.216187040000008</v>
      </c>
      <c r="M307" s="117">
        <f t="shared" si="35"/>
        <v>-0.12457248213874166</v>
      </c>
    </row>
    <row r="308" spans="1:13">
      <c r="A308" s="112">
        <v>305</v>
      </c>
      <c r="B308" s="107">
        <v>42081</v>
      </c>
      <c r="C308" s="108">
        <v>44.63</v>
      </c>
      <c r="D308" s="115">
        <f t="shared" si="44"/>
        <v>48.832500000000003</v>
      </c>
      <c r="E308" s="115">
        <f t="shared" si="40"/>
        <v>-4.2025000000000006</v>
      </c>
      <c r="F308" s="115">
        <f t="shared" si="41"/>
        <v>4.2025000000000006</v>
      </c>
      <c r="G308" s="115">
        <f t="shared" si="42"/>
        <v>17.661006250000003</v>
      </c>
      <c r="H308" s="115">
        <f t="shared" si="43"/>
        <v>9.416311897826575E-2</v>
      </c>
      <c r="I308" s="116">
        <f t="shared" si="36"/>
        <v>48.608599999999996</v>
      </c>
      <c r="J308" s="116">
        <f t="shared" si="37"/>
        <v>-3.978599999999993</v>
      </c>
      <c r="K308" s="116">
        <f t="shared" si="38"/>
        <v>3.978599999999993</v>
      </c>
      <c r="L308" s="116">
        <f t="shared" si="39"/>
        <v>15.829257959999945</v>
      </c>
      <c r="M308" s="117">
        <f t="shared" si="35"/>
        <v>-8.9146314138471724E-2</v>
      </c>
    </row>
    <row r="309" spans="1:13">
      <c r="A309" s="112">
        <v>306</v>
      </c>
      <c r="B309" s="113">
        <v>42082</v>
      </c>
      <c r="C309" s="114">
        <v>44.02</v>
      </c>
      <c r="D309" s="115">
        <f t="shared" si="44"/>
        <v>48.457499999999996</v>
      </c>
      <c r="E309" s="115">
        <f t="shared" si="40"/>
        <v>-4.4374999999999929</v>
      </c>
      <c r="F309" s="115">
        <f t="shared" si="41"/>
        <v>4.4374999999999929</v>
      </c>
      <c r="G309" s="115">
        <f t="shared" si="42"/>
        <v>19.691406249999936</v>
      </c>
      <c r="H309" s="115">
        <f t="shared" si="43"/>
        <v>0.10080645161290305</v>
      </c>
      <c r="I309" s="116">
        <f t="shared" si="36"/>
        <v>48.500199999999992</v>
      </c>
      <c r="J309" s="116">
        <f t="shared" si="37"/>
        <v>-4.4801999999999893</v>
      </c>
      <c r="K309" s="116">
        <f t="shared" si="38"/>
        <v>4.4801999999999893</v>
      </c>
      <c r="L309" s="116">
        <f t="shared" si="39"/>
        <v>20.072192039999905</v>
      </c>
      <c r="M309" s="117">
        <f t="shared" si="35"/>
        <v>-0.10177646524307109</v>
      </c>
    </row>
    <row r="310" spans="1:13">
      <c r="A310" s="112">
        <v>307</v>
      </c>
      <c r="B310" s="107">
        <v>42083</v>
      </c>
      <c r="C310" s="108">
        <v>46</v>
      </c>
      <c r="D310" s="115">
        <f t="shared" si="44"/>
        <v>48.102500000000006</v>
      </c>
      <c r="E310" s="115">
        <f t="shared" si="40"/>
        <v>-2.1025000000000063</v>
      </c>
      <c r="F310" s="115">
        <f t="shared" si="41"/>
        <v>2.1025000000000063</v>
      </c>
      <c r="G310" s="115">
        <f t="shared" si="42"/>
        <v>4.4205062500000265</v>
      </c>
      <c r="H310" s="115">
        <f t="shared" si="43"/>
        <v>4.5706521739130569E-2</v>
      </c>
      <c r="I310" s="116">
        <f t="shared" si="36"/>
        <v>48.420999999999992</v>
      </c>
      <c r="J310" s="116">
        <f t="shared" si="37"/>
        <v>-2.4209999999999923</v>
      </c>
      <c r="K310" s="116">
        <f t="shared" si="38"/>
        <v>2.4209999999999923</v>
      </c>
      <c r="L310" s="116">
        <f t="shared" si="39"/>
        <v>5.8612409999999624</v>
      </c>
      <c r="M310" s="117">
        <f t="shared" si="35"/>
        <v>-5.263043478260853E-2</v>
      </c>
    </row>
    <row r="311" spans="1:13">
      <c r="A311" s="112">
        <v>308</v>
      </c>
      <c r="B311" s="113">
        <v>42086</v>
      </c>
      <c r="C311" s="114">
        <v>47.4</v>
      </c>
      <c r="D311" s="115">
        <f t="shared" si="44"/>
        <v>47.905000000000001</v>
      </c>
      <c r="E311" s="115">
        <f t="shared" si="40"/>
        <v>-0.50500000000000256</v>
      </c>
      <c r="F311" s="115">
        <f t="shared" si="41"/>
        <v>0.50500000000000256</v>
      </c>
      <c r="G311" s="115">
        <f t="shared" si="42"/>
        <v>0.25502500000000261</v>
      </c>
      <c r="H311" s="115">
        <f t="shared" si="43"/>
        <v>1.065400843881862E-2</v>
      </c>
      <c r="I311" s="116">
        <f t="shared" si="36"/>
        <v>48.367199999999997</v>
      </c>
      <c r="J311" s="116">
        <f t="shared" si="37"/>
        <v>-0.96719999999999828</v>
      </c>
      <c r="K311" s="116">
        <f t="shared" si="38"/>
        <v>0.96719999999999828</v>
      </c>
      <c r="L311" s="116">
        <f t="shared" si="39"/>
        <v>0.93547583999999673</v>
      </c>
      <c r="M311" s="117">
        <f t="shared" ref="M311:M374" si="45">J311/C311</f>
        <v>-2.0405063291139204E-2</v>
      </c>
    </row>
    <row r="312" spans="1:13">
      <c r="A312" s="112">
        <v>309</v>
      </c>
      <c r="B312" s="107">
        <v>42087</v>
      </c>
      <c r="C312" s="108">
        <v>47.03</v>
      </c>
      <c r="D312" s="115">
        <f t="shared" si="44"/>
        <v>47.79699999999999</v>
      </c>
      <c r="E312" s="115">
        <f t="shared" si="40"/>
        <v>-0.7669999999999888</v>
      </c>
      <c r="F312" s="115">
        <f t="shared" si="41"/>
        <v>0.7669999999999888</v>
      </c>
      <c r="G312" s="115">
        <f t="shared" si="42"/>
        <v>0.58828899999998285</v>
      </c>
      <c r="H312" s="115">
        <f t="shared" si="43"/>
        <v>1.6308739102700167E-2</v>
      </c>
      <c r="I312" s="116">
        <f t="shared" ref="I312:I375" si="46">AVERAGE(C262:C311)</f>
        <v>48.339199999999998</v>
      </c>
      <c r="J312" s="116">
        <f t="shared" ref="J312:J375" si="47">C312-I312</f>
        <v>-1.309199999999997</v>
      </c>
      <c r="K312" s="116">
        <f t="shared" ref="K312:K375" si="48">ABS(J312)</f>
        <v>1.309199999999997</v>
      </c>
      <c r="L312" s="116">
        <f t="shared" ref="L312:L375" si="49">J312^2</f>
        <v>1.7140046399999922</v>
      </c>
      <c r="M312" s="117">
        <f t="shared" si="45"/>
        <v>-2.783755049968099E-2</v>
      </c>
    </row>
    <row r="313" spans="1:13">
      <c r="A313" s="112">
        <v>310</v>
      </c>
      <c r="B313" s="113">
        <v>42088</v>
      </c>
      <c r="C313" s="114">
        <v>48.75</v>
      </c>
      <c r="D313" s="115">
        <f t="shared" si="44"/>
        <v>47.724499999999992</v>
      </c>
      <c r="E313" s="115">
        <f t="shared" si="40"/>
        <v>1.0255000000000081</v>
      </c>
      <c r="F313" s="115">
        <f t="shared" si="41"/>
        <v>1.0255000000000081</v>
      </c>
      <c r="G313" s="115">
        <f t="shared" si="42"/>
        <v>1.0516502500000167</v>
      </c>
      <c r="H313" s="115">
        <f t="shared" si="43"/>
        <v>2.1035897435897601E-2</v>
      </c>
      <c r="I313" s="116">
        <f t="shared" si="46"/>
        <v>48.31280000000001</v>
      </c>
      <c r="J313" s="116">
        <f t="shared" si="47"/>
        <v>0.43719999999999004</v>
      </c>
      <c r="K313" s="116">
        <f t="shared" si="48"/>
        <v>0.43719999999999004</v>
      </c>
      <c r="L313" s="116">
        <f t="shared" si="49"/>
        <v>0.19114383999999129</v>
      </c>
      <c r="M313" s="117">
        <f t="shared" si="45"/>
        <v>8.968205128204924E-3</v>
      </c>
    </row>
    <row r="314" spans="1:13">
      <c r="A314" s="112">
        <v>311</v>
      </c>
      <c r="B314" s="107">
        <v>42089</v>
      </c>
      <c r="C314" s="108">
        <v>51.41</v>
      </c>
      <c r="D314" s="115">
        <f t="shared" si="44"/>
        <v>47.649499999999996</v>
      </c>
      <c r="E314" s="115">
        <f t="shared" si="40"/>
        <v>3.7605000000000004</v>
      </c>
      <c r="F314" s="115">
        <f t="shared" si="41"/>
        <v>3.7605000000000004</v>
      </c>
      <c r="G314" s="115">
        <f t="shared" si="42"/>
        <v>14.141360250000004</v>
      </c>
      <c r="H314" s="115">
        <f t="shared" si="43"/>
        <v>7.3147247617195113E-2</v>
      </c>
      <c r="I314" s="116">
        <f t="shared" si="46"/>
        <v>48.366599999999998</v>
      </c>
      <c r="J314" s="116">
        <f t="shared" si="47"/>
        <v>3.0433999999999983</v>
      </c>
      <c r="K314" s="116">
        <f t="shared" si="48"/>
        <v>3.0433999999999983</v>
      </c>
      <c r="L314" s="116">
        <f t="shared" si="49"/>
        <v>9.2622835599999895</v>
      </c>
      <c r="M314" s="117">
        <f t="shared" si="45"/>
        <v>5.9198599494261789E-2</v>
      </c>
    </row>
    <row r="315" spans="1:13">
      <c r="A315" s="112">
        <v>312</v>
      </c>
      <c r="B315" s="113">
        <v>42090</v>
      </c>
      <c r="C315" s="114">
        <v>48.83</v>
      </c>
      <c r="D315" s="115">
        <f t="shared" si="44"/>
        <v>47.837499999999991</v>
      </c>
      <c r="E315" s="115">
        <f t="shared" si="40"/>
        <v>0.99250000000000682</v>
      </c>
      <c r="F315" s="115">
        <f t="shared" si="41"/>
        <v>0.99250000000000682</v>
      </c>
      <c r="G315" s="115">
        <f t="shared" si="42"/>
        <v>0.98505625000001351</v>
      </c>
      <c r="H315" s="115">
        <f t="shared" si="43"/>
        <v>2.0325619496211485E-2</v>
      </c>
      <c r="I315" s="116">
        <f t="shared" si="46"/>
        <v>48.476399999999991</v>
      </c>
      <c r="J315" s="116">
        <f t="shared" si="47"/>
        <v>0.35360000000000724</v>
      </c>
      <c r="K315" s="116">
        <f t="shared" si="48"/>
        <v>0.35360000000000724</v>
      </c>
      <c r="L315" s="116">
        <f t="shared" si="49"/>
        <v>0.12503296000000513</v>
      </c>
      <c r="M315" s="117">
        <f t="shared" si="45"/>
        <v>7.2414499283229008E-3</v>
      </c>
    </row>
    <row r="316" spans="1:13">
      <c r="A316" s="112">
        <v>313</v>
      </c>
      <c r="B316" s="107">
        <v>42093</v>
      </c>
      <c r="C316" s="108">
        <v>48.66</v>
      </c>
      <c r="D316" s="115">
        <f t="shared" si="44"/>
        <v>47.786999999999992</v>
      </c>
      <c r="E316" s="115">
        <f t="shared" si="40"/>
        <v>0.87300000000000466</v>
      </c>
      <c r="F316" s="115">
        <f t="shared" si="41"/>
        <v>0.87300000000000466</v>
      </c>
      <c r="G316" s="115">
        <f t="shared" si="42"/>
        <v>0.76212900000000816</v>
      </c>
      <c r="H316" s="115">
        <f t="shared" si="43"/>
        <v>1.7940813810111072E-2</v>
      </c>
      <c r="I316" s="116">
        <f t="shared" si="46"/>
        <v>48.483199999999997</v>
      </c>
      <c r="J316" s="116">
        <f t="shared" si="47"/>
        <v>0.17680000000000007</v>
      </c>
      <c r="K316" s="116">
        <f t="shared" si="48"/>
        <v>0.17680000000000007</v>
      </c>
      <c r="L316" s="116">
        <f t="shared" si="49"/>
        <v>3.1258240000000027E-2</v>
      </c>
      <c r="M316" s="117">
        <f t="shared" si="45"/>
        <v>3.6333744348540911E-3</v>
      </c>
    </row>
    <row r="317" spans="1:13">
      <c r="A317" s="112">
        <v>314</v>
      </c>
      <c r="B317" s="113">
        <v>42094</v>
      </c>
      <c r="C317" s="114">
        <v>47.72</v>
      </c>
      <c r="D317" s="115">
        <f t="shared" si="44"/>
        <v>47.740499999999997</v>
      </c>
      <c r="E317" s="115">
        <f t="shared" si="40"/>
        <v>-2.0499999999998408E-2</v>
      </c>
      <c r="F317" s="115">
        <f t="shared" si="41"/>
        <v>2.0499999999998408E-2</v>
      </c>
      <c r="G317" s="115">
        <f t="shared" si="42"/>
        <v>4.2024999999993473E-4</v>
      </c>
      <c r="H317" s="115">
        <f t="shared" si="43"/>
        <v>4.2958927074598512E-4</v>
      </c>
      <c r="I317" s="116">
        <f t="shared" si="46"/>
        <v>48.529000000000003</v>
      </c>
      <c r="J317" s="116">
        <f t="shared" si="47"/>
        <v>-0.8090000000000046</v>
      </c>
      <c r="K317" s="116">
        <f t="shared" si="48"/>
        <v>0.8090000000000046</v>
      </c>
      <c r="L317" s="116">
        <f t="shared" si="49"/>
        <v>0.65448100000000742</v>
      </c>
      <c r="M317" s="117">
        <f t="shared" si="45"/>
        <v>-1.6953059513830776E-2</v>
      </c>
    </row>
    <row r="318" spans="1:13">
      <c r="A318" s="112">
        <v>315</v>
      </c>
      <c r="B318" s="107">
        <v>42095</v>
      </c>
      <c r="C318" s="108">
        <v>50.12</v>
      </c>
      <c r="D318" s="115">
        <f t="shared" si="44"/>
        <v>47.604999999999997</v>
      </c>
      <c r="E318" s="115">
        <f t="shared" si="40"/>
        <v>2.5150000000000006</v>
      </c>
      <c r="F318" s="115">
        <f t="shared" si="41"/>
        <v>2.5150000000000006</v>
      </c>
      <c r="G318" s="115">
        <f t="shared" si="42"/>
        <v>6.3252250000000032</v>
      </c>
      <c r="H318" s="115">
        <f t="shared" si="43"/>
        <v>5.0179569034317653E-2</v>
      </c>
      <c r="I318" s="116">
        <f t="shared" si="46"/>
        <v>48.513599999999997</v>
      </c>
      <c r="J318" s="116">
        <f t="shared" si="47"/>
        <v>1.6064000000000007</v>
      </c>
      <c r="K318" s="116">
        <f t="shared" si="48"/>
        <v>1.6064000000000007</v>
      </c>
      <c r="L318" s="116">
        <f t="shared" si="49"/>
        <v>2.5805209600000021</v>
      </c>
      <c r="M318" s="117">
        <f t="shared" si="45"/>
        <v>3.2051077414205924E-2</v>
      </c>
    </row>
    <row r="319" spans="1:13">
      <c r="A319" s="112">
        <v>316</v>
      </c>
      <c r="B319" s="113">
        <v>42096</v>
      </c>
      <c r="C319" s="114">
        <v>49.13</v>
      </c>
      <c r="D319" s="115">
        <f t="shared" si="44"/>
        <v>47.534499999999994</v>
      </c>
      <c r="E319" s="115">
        <f t="shared" si="40"/>
        <v>1.5955000000000084</v>
      </c>
      <c r="F319" s="115">
        <f t="shared" si="41"/>
        <v>1.5955000000000084</v>
      </c>
      <c r="G319" s="115">
        <f t="shared" si="42"/>
        <v>2.5456202500000265</v>
      </c>
      <c r="H319" s="115">
        <f t="shared" si="43"/>
        <v>3.2475066151028055E-2</v>
      </c>
      <c r="I319" s="116">
        <f t="shared" si="46"/>
        <v>48.580199999999998</v>
      </c>
      <c r="J319" s="116">
        <f t="shared" si="47"/>
        <v>0.54980000000000473</v>
      </c>
      <c r="K319" s="116">
        <f t="shared" si="48"/>
        <v>0.54980000000000473</v>
      </c>
      <c r="L319" s="116">
        <f t="shared" si="49"/>
        <v>0.30228004000000519</v>
      </c>
      <c r="M319" s="117">
        <f t="shared" si="45"/>
        <v>1.1190718501933742E-2</v>
      </c>
    </row>
    <row r="320" spans="1:13">
      <c r="A320" s="112">
        <v>317</v>
      </c>
      <c r="B320" s="107">
        <v>42097</v>
      </c>
      <c r="C320" s="108">
        <v>49.13</v>
      </c>
      <c r="D320" s="115">
        <f t="shared" si="44"/>
        <v>47.452999999999996</v>
      </c>
      <c r="E320" s="115">
        <f t="shared" si="40"/>
        <v>1.6770000000000067</v>
      </c>
      <c r="F320" s="115">
        <f t="shared" si="41"/>
        <v>1.6770000000000067</v>
      </c>
      <c r="G320" s="115">
        <f t="shared" si="42"/>
        <v>2.8123290000000223</v>
      </c>
      <c r="H320" s="115">
        <f t="shared" si="43"/>
        <v>3.4133930388764638E-2</v>
      </c>
      <c r="I320" s="116">
        <f t="shared" si="46"/>
        <v>48.605799999999988</v>
      </c>
      <c r="J320" s="116">
        <f t="shared" si="47"/>
        <v>0.52420000000001465</v>
      </c>
      <c r="K320" s="116">
        <f t="shared" si="48"/>
        <v>0.52420000000001465</v>
      </c>
      <c r="L320" s="116">
        <f t="shared" si="49"/>
        <v>0.27478564000001537</v>
      </c>
      <c r="M320" s="117">
        <f t="shared" si="45"/>
        <v>1.0669651943822809E-2</v>
      </c>
    </row>
    <row r="321" spans="1:13">
      <c r="A321" s="112">
        <v>318</v>
      </c>
      <c r="B321" s="113">
        <v>42100</v>
      </c>
      <c r="C321" s="114">
        <v>52.08</v>
      </c>
      <c r="D321" s="115">
        <f t="shared" si="44"/>
        <v>47.428999999999995</v>
      </c>
      <c r="E321" s="115">
        <f t="shared" si="40"/>
        <v>4.6510000000000034</v>
      </c>
      <c r="F321" s="115">
        <f t="shared" si="41"/>
        <v>4.6510000000000034</v>
      </c>
      <c r="G321" s="115">
        <f t="shared" si="42"/>
        <v>21.631801000000031</v>
      </c>
      <c r="H321" s="115">
        <f t="shared" si="43"/>
        <v>8.9304915514593006E-2</v>
      </c>
      <c r="I321" s="116">
        <f t="shared" si="46"/>
        <v>48.669799999999995</v>
      </c>
      <c r="J321" s="116">
        <f t="shared" si="47"/>
        <v>3.4102000000000032</v>
      </c>
      <c r="K321" s="116">
        <f t="shared" si="48"/>
        <v>3.4102000000000032</v>
      </c>
      <c r="L321" s="116">
        <f t="shared" si="49"/>
        <v>11.629464040000022</v>
      </c>
      <c r="M321" s="117">
        <f t="shared" si="45"/>
        <v>6.5480030721966273E-2</v>
      </c>
    </row>
    <row r="322" spans="1:13">
      <c r="A322" s="112">
        <v>319</v>
      </c>
      <c r="B322" s="107">
        <v>42101</v>
      </c>
      <c r="C322" s="108">
        <v>53.95</v>
      </c>
      <c r="D322" s="115">
        <f t="shared" si="44"/>
        <v>47.535499999999999</v>
      </c>
      <c r="E322" s="115">
        <f t="shared" si="40"/>
        <v>6.4145000000000039</v>
      </c>
      <c r="F322" s="115">
        <f t="shared" si="41"/>
        <v>6.4145000000000039</v>
      </c>
      <c r="G322" s="115">
        <f t="shared" si="42"/>
        <v>41.145810250000046</v>
      </c>
      <c r="H322" s="115">
        <f t="shared" si="43"/>
        <v>0.11889712696941619</v>
      </c>
      <c r="I322" s="116">
        <f t="shared" si="46"/>
        <v>48.80619999999999</v>
      </c>
      <c r="J322" s="116">
        <f t="shared" si="47"/>
        <v>5.143800000000013</v>
      </c>
      <c r="K322" s="116">
        <f t="shared" si="48"/>
        <v>5.143800000000013</v>
      </c>
      <c r="L322" s="116">
        <f t="shared" si="49"/>
        <v>26.458678440000135</v>
      </c>
      <c r="M322" s="117">
        <f t="shared" si="45"/>
        <v>9.5343836886005798E-2</v>
      </c>
    </row>
    <row r="323" spans="1:13">
      <c r="A323" s="112">
        <v>320</v>
      </c>
      <c r="B323" s="113">
        <v>42102</v>
      </c>
      <c r="C323" s="114">
        <v>50.44</v>
      </c>
      <c r="D323" s="115">
        <f t="shared" si="44"/>
        <v>47.811999999999998</v>
      </c>
      <c r="E323" s="115">
        <f t="shared" si="40"/>
        <v>2.6280000000000001</v>
      </c>
      <c r="F323" s="115">
        <f t="shared" si="41"/>
        <v>2.6280000000000001</v>
      </c>
      <c r="G323" s="115">
        <f t="shared" si="42"/>
        <v>6.906384000000001</v>
      </c>
      <c r="H323" s="115">
        <f t="shared" si="43"/>
        <v>5.2101506740682001E-2</v>
      </c>
      <c r="I323" s="116">
        <f t="shared" si="46"/>
        <v>48.98919999999999</v>
      </c>
      <c r="J323" s="116">
        <f t="shared" si="47"/>
        <v>1.4508000000000081</v>
      </c>
      <c r="K323" s="116">
        <f t="shared" si="48"/>
        <v>1.4508000000000081</v>
      </c>
      <c r="L323" s="116">
        <f t="shared" si="49"/>
        <v>2.1048206400000233</v>
      </c>
      <c r="M323" s="117">
        <f t="shared" si="45"/>
        <v>2.8762886597938304E-2</v>
      </c>
    </row>
    <row r="324" spans="1:13">
      <c r="A324" s="112">
        <v>321</v>
      </c>
      <c r="B324" s="107">
        <v>42103</v>
      </c>
      <c r="C324" s="108">
        <v>50.79</v>
      </c>
      <c r="D324" s="115">
        <f t="shared" si="44"/>
        <v>47.931000000000004</v>
      </c>
      <c r="E324" s="115">
        <f t="shared" si="40"/>
        <v>2.8589999999999947</v>
      </c>
      <c r="F324" s="115">
        <f t="shared" si="41"/>
        <v>2.8589999999999947</v>
      </c>
      <c r="G324" s="115">
        <f t="shared" si="42"/>
        <v>8.1738809999999695</v>
      </c>
      <c r="H324" s="115">
        <f t="shared" si="43"/>
        <v>5.6290608387477743E-2</v>
      </c>
      <c r="I324" s="116">
        <f t="shared" si="46"/>
        <v>49.081199999999995</v>
      </c>
      <c r="J324" s="116">
        <f t="shared" si="47"/>
        <v>1.7088000000000036</v>
      </c>
      <c r="K324" s="116">
        <f t="shared" si="48"/>
        <v>1.7088000000000036</v>
      </c>
      <c r="L324" s="116">
        <f t="shared" si="49"/>
        <v>2.9199974400000124</v>
      </c>
      <c r="M324" s="117">
        <f t="shared" si="45"/>
        <v>3.364441819255766E-2</v>
      </c>
    </row>
    <row r="325" spans="1:13">
      <c r="A325" s="112">
        <v>322</v>
      </c>
      <c r="B325" s="113">
        <v>42104</v>
      </c>
      <c r="C325" s="114">
        <v>51.63</v>
      </c>
      <c r="D325" s="115">
        <f t="shared" si="44"/>
        <v>48.1145</v>
      </c>
      <c r="E325" s="115">
        <f t="shared" si="40"/>
        <v>3.515500000000003</v>
      </c>
      <c r="F325" s="115">
        <f t="shared" si="41"/>
        <v>3.515500000000003</v>
      </c>
      <c r="G325" s="115">
        <f t="shared" si="42"/>
        <v>12.358740250000022</v>
      </c>
      <c r="H325" s="115">
        <f t="shared" si="43"/>
        <v>6.809025760216933E-2</v>
      </c>
      <c r="I325" s="116">
        <f t="shared" si="46"/>
        <v>49.215400000000002</v>
      </c>
      <c r="J325" s="116">
        <f t="shared" si="47"/>
        <v>2.4146000000000001</v>
      </c>
      <c r="K325" s="116">
        <f t="shared" si="48"/>
        <v>2.4146000000000001</v>
      </c>
      <c r="L325" s="116">
        <f t="shared" si="49"/>
        <v>5.8302931600000001</v>
      </c>
      <c r="M325" s="117">
        <f t="shared" si="45"/>
        <v>4.6767383304280458E-2</v>
      </c>
    </row>
    <row r="326" spans="1:13">
      <c r="A326" s="112">
        <v>323</v>
      </c>
      <c r="B326" s="107">
        <v>42107</v>
      </c>
      <c r="C326" s="108">
        <v>51.95</v>
      </c>
      <c r="D326" s="115">
        <f t="shared" si="44"/>
        <v>48.452000000000005</v>
      </c>
      <c r="E326" s="115">
        <f t="shared" si="40"/>
        <v>3.4979999999999976</v>
      </c>
      <c r="F326" s="115">
        <f t="shared" si="41"/>
        <v>3.4979999999999976</v>
      </c>
      <c r="G326" s="115">
        <f t="shared" si="42"/>
        <v>12.236003999999983</v>
      </c>
      <c r="H326" s="115">
        <f t="shared" si="43"/>
        <v>6.7333974975938349E-2</v>
      </c>
      <c r="I326" s="116">
        <f t="shared" si="46"/>
        <v>49.365600000000001</v>
      </c>
      <c r="J326" s="116">
        <f t="shared" si="47"/>
        <v>2.5844000000000023</v>
      </c>
      <c r="K326" s="116">
        <f t="shared" si="48"/>
        <v>2.5844000000000023</v>
      </c>
      <c r="L326" s="116">
        <f t="shared" si="49"/>
        <v>6.6791233600000117</v>
      </c>
      <c r="M326" s="117">
        <f t="shared" si="45"/>
        <v>4.974783445620793E-2</v>
      </c>
    </row>
    <row r="327" spans="1:13">
      <c r="A327" s="112">
        <v>324</v>
      </c>
      <c r="B327" s="113">
        <v>42108</v>
      </c>
      <c r="C327" s="114">
        <v>53.3</v>
      </c>
      <c r="D327" s="115">
        <f t="shared" si="44"/>
        <v>48.853000000000002</v>
      </c>
      <c r="E327" s="115">
        <f t="shared" si="40"/>
        <v>4.4469999999999956</v>
      </c>
      <c r="F327" s="115">
        <f t="shared" si="41"/>
        <v>4.4469999999999956</v>
      </c>
      <c r="G327" s="115">
        <f t="shared" si="42"/>
        <v>19.77580899999996</v>
      </c>
      <c r="H327" s="115">
        <f t="shared" si="43"/>
        <v>8.3433395872420185E-2</v>
      </c>
      <c r="I327" s="116">
        <f t="shared" si="46"/>
        <v>49.448800000000013</v>
      </c>
      <c r="J327" s="116">
        <f t="shared" si="47"/>
        <v>3.8511999999999844</v>
      </c>
      <c r="K327" s="116">
        <f t="shared" si="48"/>
        <v>3.8511999999999844</v>
      </c>
      <c r="L327" s="116">
        <f t="shared" si="49"/>
        <v>14.831741439999879</v>
      </c>
      <c r="M327" s="117">
        <f t="shared" si="45"/>
        <v>7.2255159474671385E-2</v>
      </c>
    </row>
    <row r="328" spans="1:13">
      <c r="A328" s="112">
        <v>325</v>
      </c>
      <c r="B328" s="107">
        <v>42109</v>
      </c>
      <c r="C328" s="108">
        <v>56.25</v>
      </c>
      <c r="D328" s="115">
        <f t="shared" si="44"/>
        <v>49.348500000000008</v>
      </c>
      <c r="E328" s="115">
        <f t="shared" si="40"/>
        <v>6.9014999999999915</v>
      </c>
      <c r="F328" s="115">
        <f t="shared" si="41"/>
        <v>6.9014999999999915</v>
      </c>
      <c r="G328" s="115">
        <f t="shared" si="42"/>
        <v>47.630702249999885</v>
      </c>
      <c r="H328" s="115">
        <f t="shared" si="43"/>
        <v>0.12269333333333318</v>
      </c>
      <c r="I328" s="116">
        <f t="shared" si="46"/>
        <v>49.529800000000002</v>
      </c>
      <c r="J328" s="116">
        <f t="shared" si="47"/>
        <v>6.7201999999999984</v>
      </c>
      <c r="K328" s="116">
        <f t="shared" si="48"/>
        <v>6.7201999999999984</v>
      </c>
      <c r="L328" s="116">
        <f t="shared" si="49"/>
        <v>45.161088039999981</v>
      </c>
      <c r="M328" s="117">
        <f t="shared" si="45"/>
        <v>0.1194702222222222</v>
      </c>
    </row>
    <row r="329" spans="1:13">
      <c r="A329" s="112">
        <v>326</v>
      </c>
      <c r="B329" s="113">
        <v>42110</v>
      </c>
      <c r="C329" s="114">
        <v>56.69</v>
      </c>
      <c r="D329" s="115">
        <f t="shared" si="44"/>
        <v>49.929500000000004</v>
      </c>
      <c r="E329" s="115">
        <f t="shared" si="40"/>
        <v>6.7604999999999933</v>
      </c>
      <c r="F329" s="115">
        <f t="shared" si="41"/>
        <v>6.7604999999999933</v>
      </c>
      <c r="G329" s="115">
        <f t="shared" si="42"/>
        <v>45.704360249999908</v>
      </c>
      <c r="H329" s="115">
        <f t="shared" si="43"/>
        <v>0.11925383665549469</v>
      </c>
      <c r="I329" s="116">
        <f t="shared" si="46"/>
        <v>49.594000000000008</v>
      </c>
      <c r="J329" s="116">
        <f t="shared" si="47"/>
        <v>7.0959999999999894</v>
      </c>
      <c r="K329" s="116">
        <f t="shared" si="48"/>
        <v>7.0959999999999894</v>
      </c>
      <c r="L329" s="116">
        <f t="shared" si="49"/>
        <v>50.353215999999847</v>
      </c>
      <c r="M329" s="117">
        <f t="shared" si="45"/>
        <v>0.12517198800493895</v>
      </c>
    </row>
    <row r="330" spans="1:13">
      <c r="A330" s="112">
        <v>327</v>
      </c>
      <c r="B330" s="107">
        <v>42111</v>
      </c>
      <c r="C330" s="108">
        <v>55.71</v>
      </c>
      <c r="D330" s="115">
        <f t="shared" si="44"/>
        <v>50.563000000000002</v>
      </c>
      <c r="E330" s="115">
        <f t="shared" si="40"/>
        <v>5.1469999999999985</v>
      </c>
      <c r="F330" s="115">
        <f t="shared" si="41"/>
        <v>5.1469999999999985</v>
      </c>
      <c r="G330" s="115">
        <f t="shared" si="42"/>
        <v>26.491608999999983</v>
      </c>
      <c r="H330" s="115">
        <f t="shared" si="43"/>
        <v>9.2389158140369743E-2</v>
      </c>
      <c r="I330" s="116">
        <f t="shared" si="46"/>
        <v>49.758800000000008</v>
      </c>
      <c r="J330" s="116">
        <f t="shared" si="47"/>
        <v>5.9511999999999929</v>
      </c>
      <c r="K330" s="116">
        <f t="shared" si="48"/>
        <v>5.9511999999999929</v>
      </c>
      <c r="L330" s="116">
        <f t="shared" si="49"/>
        <v>35.416781439999916</v>
      </c>
      <c r="M330" s="117">
        <f t="shared" si="45"/>
        <v>0.10682462753545131</v>
      </c>
    </row>
    <row r="331" spans="1:13">
      <c r="A331" s="112">
        <v>328</v>
      </c>
      <c r="B331" s="113">
        <v>42114</v>
      </c>
      <c r="C331" s="114">
        <v>56.37</v>
      </c>
      <c r="D331" s="115">
        <f t="shared" si="44"/>
        <v>51.048500000000004</v>
      </c>
      <c r="E331" s="115">
        <f t="shared" si="40"/>
        <v>5.3214999999999932</v>
      </c>
      <c r="F331" s="115">
        <f t="shared" si="41"/>
        <v>5.3214999999999932</v>
      </c>
      <c r="G331" s="115">
        <f t="shared" si="42"/>
        <v>28.318362249999929</v>
      </c>
      <c r="H331" s="115">
        <f t="shared" si="43"/>
        <v>9.4403051268405064E-2</v>
      </c>
      <c r="I331" s="116">
        <f t="shared" si="46"/>
        <v>49.863400000000013</v>
      </c>
      <c r="J331" s="116">
        <f t="shared" si="47"/>
        <v>6.5065999999999846</v>
      </c>
      <c r="K331" s="116">
        <f t="shared" si="48"/>
        <v>6.5065999999999846</v>
      </c>
      <c r="L331" s="116">
        <f t="shared" si="49"/>
        <v>42.335843559999802</v>
      </c>
      <c r="M331" s="117">
        <f t="shared" si="45"/>
        <v>0.11542664537874729</v>
      </c>
    </row>
    <row r="332" spans="1:13">
      <c r="A332" s="112">
        <v>329</v>
      </c>
      <c r="B332" s="107">
        <v>42115</v>
      </c>
      <c r="C332" s="108">
        <v>55.58</v>
      </c>
      <c r="D332" s="115">
        <f t="shared" si="44"/>
        <v>51.496999999999993</v>
      </c>
      <c r="E332" s="115">
        <f t="shared" si="40"/>
        <v>4.0830000000000055</v>
      </c>
      <c r="F332" s="115">
        <f t="shared" si="41"/>
        <v>4.0830000000000055</v>
      </c>
      <c r="G332" s="115">
        <f t="shared" si="42"/>
        <v>16.670889000000045</v>
      </c>
      <c r="H332" s="115">
        <f t="shared" si="43"/>
        <v>7.3461676862180747E-2</v>
      </c>
      <c r="I332" s="116">
        <f t="shared" si="46"/>
        <v>49.957600000000014</v>
      </c>
      <c r="J332" s="116">
        <f t="shared" si="47"/>
        <v>5.6223999999999847</v>
      </c>
      <c r="K332" s="116">
        <f t="shared" si="48"/>
        <v>5.6223999999999847</v>
      </c>
      <c r="L332" s="116">
        <f t="shared" si="49"/>
        <v>31.61138175999983</v>
      </c>
      <c r="M332" s="117">
        <f t="shared" si="45"/>
        <v>0.10115869017632215</v>
      </c>
    </row>
    <row r="333" spans="1:13">
      <c r="A333" s="112">
        <v>330</v>
      </c>
      <c r="B333" s="113">
        <v>42116</v>
      </c>
      <c r="C333" s="114">
        <v>56.17</v>
      </c>
      <c r="D333" s="115">
        <f t="shared" si="44"/>
        <v>51.924500000000002</v>
      </c>
      <c r="E333" s="115">
        <f t="shared" si="40"/>
        <v>4.2454999999999998</v>
      </c>
      <c r="F333" s="115">
        <f t="shared" si="41"/>
        <v>4.2454999999999998</v>
      </c>
      <c r="G333" s="115">
        <f t="shared" si="42"/>
        <v>18.024270249999997</v>
      </c>
      <c r="H333" s="115">
        <f t="shared" si="43"/>
        <v>7.5583051450952454E-2</v>
      </c>
      <c r="I333" s="116">
        <f t="shared" si="46"/>
        <v>50.009400000000014</v>
      </c>
      <c r="J333" s="116">
        <f t="shared" si="47"/>
        <v>6.1605999999999881</v>
      </c>
      <c r="K333" s="116">
        <f t="shared" si="48"/>
        <v>6.1605999999999881</v>
      </c>
      <c r="L333" s="116">
        <f t="shared" si="49"/>
        <v>37.952992359999854</v>
      </c>
      <c r="M333" s="117">
        <f t="shared" si="45"/>
        <v>0.10967776393092377</v>
      </c>
    </row>
    <row r="334" spans="1:13">
      <c r="A334" s="112">
        <v>331</v>
      </c>
      <c r="B334" s="107">
        <v>42117</v>
      </c>
      <c r="C334" s="108">
        <v>56.59</v>
      </c>
      <c r="D334" s="115">
        <f t="shared" si="44"/>
        <v>52.295500000000004</v>
      </c>
      <c r="E334" s="115">
        <f t="shared" si="40"/>
        <v>4.2944999999999993</v>
      </c>
      <c r="F334" s="115">
        <f t="shared" si="41"/>
        <v>4.2944999999999993</v>
      </c>
      <c r="G334" s="115">
        <f t="shared" si="42"/>
        <v>18.442730249999993</v>
      </c>
      <c r="H334" s="115">
        <f t="shared" si="43"/>
        <v>7.5887966071744112E-2</v>
      </c>
      <c r="I334" s="116">
        <f t="shared" si="46"/>
        <v>50.131600000000006</v>
      </c>
      <c r="J334" s="116">
        <f t="shared" si="47"/>
        <v>6.4583999999999975</v>
      </c>
      <c r="K334" s="116">
        <f t="shared" si="48"/>
        <v>6.4583999999999975</v>
      </c>
      <c r="L334" s="116">
        <f t="shared" si="49"/>
        <v>41.710930559999966</v>
      </c>
      <c r="M334" s="117">
        <f t="shared" si="45"/>
        <v>0.11412617070153733</v>
      </c>
    </row>
    <row r="335" spans="1:13">
      <c r="A335" s="112">
        <v>332</v>
      </c>
      <c r="B335" s="113">
        <v>42118</v>
      </c>
      <c r="C335" s="114">
        <v>55.98</v>
      </c>
      <c r="D335" s="115">
        <f t="shared" si="44"/>
        <v>52.554500000000004</v>
      </c>
      <c r="E335" s="115">
        <f t="shared" si="40"/>
        <v>3.4254999999999924</v>
      </c>
      <c r="F335" s="115">
        <f t="shared" si="41"/>
        <v>3.4254999999999924</v>
      </c>
      <c r="G335" s="115">
        <f t="shared" si="42"/>
        <v>11.734050249999948</v>
      </c>
      <c r="H335" s="115">
        <f t="shared" si="43"/>
        <v>6.119149696320101E-2</v>
      </c>
      <c r="I335" s="116">
        <f t="shared" si="46"/>
        <v>50.287400000000019</v>
      </c>
      <c r="J335" s="116">
        <f t="shared" si="47"/>
        <v>5.6925999999999775</v>
      </c>
      <c r="K335" s="116">
        <f t="shared" si="48"/>
        <v>5.6925999999999775</v>
      </c>
      <c r="L335" s="116">
        <f t="shared" si="49"/>
        <v>32.40569475999974</v>
      </c>
      <c r="M335" s="117">
        <f t="shared" si="45"/>
        <v>0.10168988924615895</v>
      </c>
    </row>
    <row r="336" spans="1:13">
      <c r="A336" s="112">
        <v>333</v>
      </c>
      <c r="B336" s="107">
        <v>42121</v>
      </c>
      <c r="C336" s="108">
        <v>55.56</v>
      </c>
      <c r="D336" s="115">
        <f t="shared" si="44"/>
        <v>52.911999999999999</v>
      </c>
      <c r="E336" s="115">
        <f t="shared" si="40"/>
        <v>2.6480000000000032</v>
      </c>
      <c r="F336" s="115">
        <f t="shared" si="41"/>
        <v>2.6480000000000032</v>
      </c>
      <c r="G336" s="115">
        <f t="shared" si="42"/>
        <v>7.0119040000000172</v>
      </c>
      <c r="H336" s="115">
        <f t="shared" si="43"/>
        <v>4.7660187185025252E-2</v>
      </c>
      <c r="I336" s="116">
        <f t="shared" si="46"/>
        <v>50.383600000000015</v>
      </c>
      <c r="J336" s="116">
        <f t="shared" si="47"/>
        <v>5.1763999999999868</v>
      </c>
      <c r="K336" s="116">
        <f t="shared" si="48"/>
        <v>5.1763999999999868</v>
      </c>
      <c r="L336" s="116">
        <f t="shared" si="49"/>
        <v>26.795116959999863</v>
      </c>
      <c r="M336" s="117">
        <f t="shared" si="45"/>
        <v>9.3167746580273339E-2</v>
      </c>
    </row>
    <row r="337" spans="1:13">
      <c r="A337" s="112">
        <v>334</v>
      </c>
      <c r="B337" s="113">
        <v>42122</v>
      </c>
      <c r="C337" s="114">
        <v>57.05</v>
      </c>
      <c r="D337" s="115">
        <f t="shared" si="44"/>
        <v>53.257000000000005</v>
      </c>
      <c r="E337" s="115">
        <f t="shared" si="40"/>
        <v>3.7929999999999922</v>
      </c>
      <c r="F337" s="115">
        <f t="shared" si="41"/>
        <v>3.7929999999999922</v>
      </c>
      <c r="G337" s="115">
        <f t="shared" si="42"/>
        <v>14.386848999999941</v>
      </c>
      <c r="H337" s="115">
        <f t="shared" si="43"/>
        <v>6.6485539000876295E-2</v>
      </c>
      <c r="I337" s="116">
        <f t="shared" si="46"/>
        <v>50.441600000000008</v>
      </c>
      <c r="J337" s="116">
        <f t="shared" si="47"/>
        <v>6.6083999999999889</v>
      </c>
      <c r="K337" s="116">
        <f t="shared" si="48"/>
        <v>6.6083999999999889</v>
      </c>
      <c r="L337" s="116">
        <f t="shared" si="49"/>
        <v>43.670950559999852</v>
      </c>
      <c r="M337" s="117">
        <f t="shared" si="45"/>
        <v>0.11583523225240998</v>
      </c>
    </row>
    <row r="338" spans="1:13">
      <c r="A338" s="112">
        <v>335</v>
      </c>
      <c r="B338" s="107">
        <v>42123</v>
      </c>
      <c r="C338" s="108">
        <v>58.55</v>
      </c>
      <c r="D338" s="115">
        <f t="shared" si="44"/>
        <v>53.723500000000001</v>
      </c>
      <c r="E338" s="115">
        <f t="shared" si="40"/>
        <v>4.8264999999999958</v>
      </c>
      <c r="F338" s="115">
        <f t="shared" si="41"/>
        <v>4.8264999999999958</v>
      </c>
      <c r="G338" s="115">
        <f t="shared" si="42"/>
        <v>23.29510224999996</v>
      </c>
      <c r="H338" s="115">
        <f t="shared" si="43"/>
        <v>8.2433817250213426E-2</v>
      </c>
      <c r="I338" s="116">
        <f t="shared" si="46"/>
        <v>50.511400000000009</v>
      </c>
      <c r="J338" s="116">
        <f t="shared" si="47"/>
        <v>8.0385999999999882</v>
      </c>
      <c r="K338" s="116">
        <f t="shared" si="48"/>
        <v>8.0385999999999882</v>
      </c>
      <c r="L338" s="116">
        <f t="shared" si="49"/>
        <v>64.619089959999812</v>
      </c>
      <c r="M338" s="117">
        <f t="shared" si="45"/>
        <v>0.13729461998292039</v>
      </c>
    </row>
    <row r="339" spans="1:13">
      <c r="A339" s="112">
        <v>336</v>
      </c>
      <c r="B339" s="113">
        <v>42124</v>
      </c>
      <c r="C339" s="114">
        <v>59.62</v>
      </c>
      <c r="D339" s="115">
        <f t="shared" si="44"/>
        <v>54.145000000000003</v>
      </c>
      <c r="E339" s="115">
        <f t="shared" si="40"/>
        <v>5.4749999999999943</v>
      </c>
      <c r="F339" s="115">
        <f t="shared" si="41"/>
        <v>5.4749999999999943</v>
      </c>
      <c r="G339" s="115">
        <f t="shared" si="42"/>
        <v>29.975624999999937</v>
      </c>
      <c r="H339" s="115">
        <f t="shared" si="43"/>
        <v>9.1831600134183067E-2</v>
      </c>
      <c r="I339" s="116">
        <f t="shared" si="46"/>
        <v>50.639800000000015</v>
      </c>
      <c r="J339" s="116">
        <f t="shared" si="47"/>
        <v>8.9801999999999822</v>
      </c>
      <c r="K339" s="116">
        <f t="shared" si="48"/>
        <v>8.9801999999999822</v>
      </c>
      <c r="L339" s="116">
        <f t="shared" si="49"/>
        <v>80.643992039999674</v>
      </c>
      <c r="M339" s="117">
        <f t="shared" si="45"/>
        <v>0.15062395169406209</v>
      </c>
    </row>
    <row r="340" spans="1:13">
      <c r="A340" s="112">
        <v>337</v>
      </c>
      <c r="B340" s="107">
        <v>42125</v>
      </c>
      <c r="C340" s="108">
        <v>59.1</v>
      </c>
      <c r="D340" s="115">
        <f t="shared" si="44"/>
        <v>54.669499999999992</v>
      </c>
      <c r="E340" s="115">
        <f t="shared" si="40"/>
        <v>4.4305000000000092</v>
      </c>
      <c r="F340" s="115">
        <f t="shared" si="41"/>
        <v>4.4305000000000092</v>
      </c>
      <c r="G340" s="115">
        <f t="shared" si="42"/>
        <v>19.629330250000081</v>
      </c>
      <c r="H340" s="115">
        <f t="shared" si="43"/>
        <v>7.4966159052453629E-2</v>
      </c>
      <c r="I340" s="116">
        <f t="shared" si="46"/>
        <v>50.809800000000017</v>
      </c>
      <c r="J340" s="116">
        <f t="shared" si="47"/>
        <v>8.2901999999999845</v>
      </c>
      <c r="K340" s="116">
        <f t="shared" si="48"/>
        <v>8.2901999999999845</v>
      </c>
      <c r="L340" s="116">
        <f t="shared" si="49"/>
        <v>68.727416039999738</v>
      </c>
      <c r="M340" s="117">
        <f t="shared" si="45"/>
        <v>0.14027411167512663</v>
      </c>
    </row>
    <row r="341" spans="1:13">
      <c r="A341" s="112">
        <v>338</v>
      </c>
      <c r="B341" s="113">
        <v>42128</v>
      </c>
      <c r="C341" s="114">
        <v>58.92</v>
      </c>
      <c r="D341" s="115">
        <f t="shared" si="44"/>
        <v>55.167999999999985</v>
      </c>
      <c r="E341" s="115">
        <f t="shared" si="40"/>
        <v>3.7520000000000167</v>
      </c>
      <c r="F341" s="115">
        <f t="shared" si="41"/>
        <v>3.7520000000000167</v>
      </c>
      <c r="G341" s="115">
        <f t="shared" si="42"/>
        <v>14.077504000000125</v>
      </c>
      <c r="H341" s="115">
        <f t="shared" si="43"/>
        <v>6.3679565512559683E-2</v>
      </c>
      <c r="I341" s="116">
        <f t="shared" si="46"/>
        <v>50.992800000000017</v>
      </c>
      <c r="J341" s="116">
        <f t="shared" si="47"/>
        <v>7.9271999999999849</v>
      </c>
      <c r="K341" s="116">
        <f t="shared" si="48"/>
        <v>7.9271999999999849</v>
      </c>
      <c r="L341" s="116">
        <f t="shared" si="49"/>
        <v>62.840499839999758</v>
      </c>
      <c r="M341" s="117">
        <f t="shared" si="45"/>
        <v>0.13454175152749465</v>
      </c>
    </row>
    <row r="342" spans="1:13">
      <c r="A342" s="112">
        <v>339</v>
      </c>
      <c r="B342" s="107">
        <v>42129</v>
      </c>
      <c r="C342" s="108">
        <v>60.38</v>
      </c>
      <c r="D342" s="115">
        <f t="shared" si="44"/>
        <v>55.510000000000005</v>
      </c>
      <c r="E342" s="115">
        <f t="shared" si="40"/>
        <v>4.8699999999999974</v>
      </c>
      <c r="F342" s="115">
        <f t="shared" si="41"/>
        <v>4.8699999999999974</v>
      </c>
      <c r="G342" s="115">
        <f t="shared" si="42"/>
        <v>23.716899999999974</v>
      </c>
      <c r="H342" s="115">
        <f t="shared" si="43"/>
        <v>8.0655846306724038E-2</v>
      </c>
      <c r="I342" s="116">
        <f t="shared" si="46"/>
        <v>51.180000000000007</v>
      </c>
      <c r="J342" s="116">
        <f t="shared" si="47"/>
        <v>9.1999999999999957</v>
      </c>
      <c r="K342" s="116">
        <f t="shared" si="48"/>
        <v>9.1999999999999957</v>
      </c>
      <c r="L342" s="116">
        <f t="shared" si="49"/>
        <v>84.639999999999915</v>
      </c>
      <c r="M342" s="117">
        <f t="shared" si="45"/>
        <v>0.15236833388539245</v>
      </c>
    </row>
    <row r="343" spans="1:13">
      <c r="A343" s="112">
        <v>340</v>
      </c>
      <c r="B343" s="113">
        <v>42130</v>
      </c>
      <c r="C343" s="114">
        <v>60.93</v>
      </c>
      <c r="D343" s="115">
        <f t="shared" si="44"/>
        <v>55.831500000000005</v>
      </c>
      <c r="E343" s="115">
        <f t="shared" si="40"/>
        <v>5.0984999999999943</v>
      </c>
      <c r="F343" s="115">
        <f t="shared" si="41"/>
        <v>5.0984999999999943</v>
      </c>
      <c r="G343" s="115">
        <f t="shared" si="42"/>
        <v>25.994702249999943</v>
      </c>
      <c r="H343" s="115">
        <f t="shared" si="43"/>
        <v>8.3677991137370664E-2</v>
      </c>
      <c r="I343" s="116">
        <f t="shared" si="46"/>
        <v>51.418000000000013</v>
      </c>
      <c r="J343" s="116">
        <f t="shared" si="47"/>
        <v>9.5119999999999862</v>
      </c>
      <c r="K343" s="116">
        <f t="shared" si="48"/>
        <v>9.5119999999999862</v>
      </c>
      <c r="L343" s="116">
        <f t="shared" si="49"/>
        <v>90.478143999999745</v>
      </c>
      <c r="M343" s="117">
        <f t="shared" si="45"/>
        <v>0.15611357295256831</v>
      </c>
    </row>
    <row r="344" spans="1:13">
      <c r="A344" s="112">
        <v>341</v>
      </c>
      <c r="B344" s="107">
        <v>42131</v>
      </c>
      <c r="C344" s="108">
        <v>58.99</v>
      </c>
      <c r="D344" s="115">
        <f t="shared" si="44"/>
        <v>56.355999999999995</v>
      </c>
      <c r="E344" s="115">
        <f t="shared" ref="E344:E407" si="50">C344-D344</f>
        <v>2.6340000000000074</v>
      </c>
      <c r="F344" s="115">
        <f t="shared" ref="F344:F407" si="51">ABS(E344)</f>
        <v>2.6340000000000074</v>
      </c>
      <c r="G344" s="115">
        <f t="shared" ref="G344:G407" si="52">E344^2</f>
        <v>6.9379560000000389</v>
      </c>
      <c r="H344" s="115">
        <f t="shared" ref="H344:H407" si="53">F344/C344</f>
        <v>4.465163587048665E-2</v>
      </c>
      <c r="I344" s="116">
        <f t="shared" si="46"/>
        <v>51.631600000000006</v>
      </c>
      <c r="J344" s="116">
        <f t="shared" si="47"/>
        <v>7.3583999999999961</v>
      </c>
      <c r="K344" s="116">
        <f t="shared" si="48"/>
        <v>7.3583999999999961</v>
      </c>
      <c r="L344" s="116">
        <f t="shared" si="49"/>
        <v>54.146050559999942</v>
      </c>
      <c r="M344" s="117">
        <f t="shared" si="45"/>
        <v>0.12473978640447526</v>
      </c>
    </row>
    <row r="345" spans="1:13">
      <c r="A345" s="112">
        <v>342</v>
      </c>
      <c r="B345" s="113">
        <v>42132</v>
      </c>
      <c r="C345" s="114">
        <v>59.41</v>
      </c>
      <c r="D345" s="115">
        <f t="shared" si="44"/>
        <v>56.765999999999998</v>
      </c>
      <c r="E345" s="115">
        <f t="shared" si="50"/>
        <v>2.6439999999999984</v>
      </c>
      <c r="F345" s="115">
        <f t="shared" si="51"/>
        <v>2.6439999999999984</v>
      </c>
      <c r="G345" s="115">
        <f t="shared" si="52"/>
        <v>6.9907359999999912</v>
      </c>
      <c r="H345" s="115">
        <f t="shared" si="53"/>
        <v>4.4504292206699186E-2</v>
      </c>
      <c r="I345" s="116">
        <f t="shared" si="46"/>
        <v>51.858400000000003</v>
      </c>
      <c r="J345" s="116">
        <f t="shared" si="47"/>
        <v>7.5515999999999934</v>
      </c>
      <c r="K345" s="116">
        <f t="shared" si="48"/>
        <v>7.5515999999999934</v>
      </c>
      <c r="L345" s="116">
        <f t="shared" si="49"/>
        <v>57.026662559999899</v>
      </c>
      <c r="M345" s="117">
        <f t="shared" si="45"/>
        <v>0.12710991415586592</v>
      </c>
    </row>
    <row r="346" spans="1:13">
      <c r="A346" s="112">
        <v>343</v>
      </c>
      <c r="B346" s="107">
        <v>42135</v>
      </c>
      <c r="C346" s="108">
        <v>59.23</v>
      </c>
      <c r="D346" s="115">
        <f t="shared" ref="D346:D409" si="54">AVERAGE(C326:C345)</f>
        <v>57.155000000000008</v>
      </c>
      <c r="E346" s="115">
        <f t="shared" si="50"/>
        <v>2.0749999999999886</v>
      </c>
      <c r="F346" s="115">
        <f t="shared" si="51"/>
        <v>2.0749999999999886</v>
      </c>
      <c r="G346" s="115">
        <f t="shared" si="52"/>
        <v>4.305624999999953</v>
      </c>
      <c r="H346" s="115">
        <f t="shared" si="53"/>
        <v>3.5032922505486896E-2</v>
      </c>
      <c r="I346" s="116">
        <f t="shared" si="46"/>
        <v>52.049799999999998</v>
      </c>
      <c r="J346" s="116">
        <f t="shared" si="47"/>
        <v>7.1801999999999992</v>
      </c>
      <c r="K346" s="116">
        <f t="shared" si="48"/>
        <v>7.1801999999999992</v>
      </c>
      <c r="L346" s="116">
        <f t="shared" si="49"/>
        <v>51.555272039999991</v>
      </c>
      <c r="M346" s="117">
        <f t="shared" si="45"/>
        <v>0.12122573020428837</v>
      </c>
    </row>
    <row r="347" spans="1:13">
      <c r="A347" s="112">
        <v>344</v>
      </c>
      <c r="B347" s="113">
        <v>42136</v>
      </c>
      <c r="C347" s="114">
        <v>60.72</v>
      </c>
      <c r="D347" s="115">
        <f t="shared" si="54"/>
        <v>57.518999999999991</v>
      </c>
      <c r="E347" s="115">
        <f t="shared" si="50"/>
        <v>3.2010000000000076</v>
      </c>
      <c r="F347" s="115">
        <f t="shared" si="51"/>
        <v>3.2010000000000076</v>
      </c>
      <c r="G347" s="115">
        <f t="shared" si="52"/>
        <v>10.246401000000048</v>
      </c>
      <c r="H347" s="115">
        <f t="shared" si="53"/>
        <v>5.2717391304347952E-2</v>
      </c>
      <c r="I347" s="116">
        <f t="shared" si="46"/>
        <v>52.242599999999996</v>
      </c>
      <c r="J347" s="116">
        <f t="shared" si="47"/>
        <v>8.4774000000000029</v>
      </c>
      <c r="K347" s="116">
        <f t="shared" si="48"/>
        <v>8.4774000000000029</v>
      </c>
      <c r="L347" s="116">
        <f t="shared" si="49"/>
        <v>71.866310760000047</v>
      </c>
      <c r="M347" s="117">
        <f t="shared" si="45"/>
        <v>0.1396146245059289</v>
      </c>
    </row>
    <row r="348" spans="1:13">
      <c r="A348" s="112">
        <v>345</v>
      </c>
      <c r="B348" s="107">
        <v>42137</v>
      </c>
      <c r="C348" s="108">
        <v>60.5</v>
      </c>
      <c r="D348" s="115">
        <f t="shared" si="54"/>
        <v>57.89</v>
      </c>
      <c r="E348" s="115">
        <f t="shared" si="50"/>
        <v>2.6099999999999994</v>
      </c>
      <c r="F348" s="115">
        <f t="shared" si="51"/>
        <v>2.6099999999999994</v>
      </c>
      <c r="G348" s="115">
        <f t="shared" si="52"/>
        <v>6.8120999999999974</v>
      </c>
      <c r="H348" s="115">
        <f t="shared" si="53"/>
        <v>4.3140495867768587E-2</v>
      </c>
      <c r="I348" s="116">
        <f t="shared" si="46"/>
        <v>52.448399999999985</v>
      </c>
      <c r="J348" s="116">
        <f t="shared" si="47"/>
        <v>8.0516000000000147</v>
      </c>
      <c r="K348" s="116">
        <f t="shared" si="48"/>
        <v>8.0516000000000147</v>
      </c>
      <c r="L348" s="116">
        <f t="shared" si="49"/>
        <v>64.82826256000024</v>
      </c>
      <c r="M348" s="117">
        <f t="shared" si="45"/>
        <v>0.13308429752066139</v>
      </c>
    </row>
    <row r="349" spans="1:13">
      <c r="A349" s="112">
        <v>346</v>
      </c>
      <c r="B349" s="113">
        <v>42138</v>
      </c>
      <c r="C349" s="114">
        <v>59.89</v>
      </c>
      <c r="D349" s="115">
        <f t="shared" si="54"/>
        <v>58.102499999999999</v>
      </c>
      <c r="E349" s="115">
        <f t="shared" si="50"/>
        <v>1.7875000000000014</v>
      </c>
      <c r="F349" s="115">
        <f t="shared" si="51"/>
        <v>1.7875000000000014</v>
      </c>
      <c r="G349" s="115">
        <f t="shared" si="52"/>
        <v>3.195156250000005</v>
      </c>
      <c r="H349" s="115">
        <f t="shared" si="53"/>
        <v>2.9846385039238626E-2</v>
      </c>
      <c r="I349" s="116">
        <f t="shared" si="46"/>
        <v>52.627799999999986</v>
      </c>
      <c r="J349" s="116">
        <f t="shared" si="47"/>
        <v>7.2622000000000142</v>
      </c>
      <c r="K349" s="116">
        <f t="shared" si="48"/>
        <v>7.2622000000000142</v>
      </c>
      <c r="L349" s="116">
        <f t="shared" si="49"/>
        <v>52.739548840000204</v>
      </c>
      <c r="M349" s="117">
        <f t="shared" si="45"/>
        <v>0.12125897478710994</v>
      </c>
    </row>
    <row r="350" spans="1:13">
      <c r="A350" s="112">
        <v>347</v>
      </c>
      <c r="B350" s="107">
        <v>42139</v>
      </c>
      <c r="C350" s="108">
        <v>59.73</v>
      </c>
      <c r="D350" s="115">
        <f t="shared" si="54"/>
        <v>58.262500000000003</v>
      </c>
      <c r="E350" s="115">
        <f t="shared" si="50"/>
        <v>1.467499999999994</v>
      </c>
      <c r="F350" s="115">
        <f t="shared" si="51"/>
        <v>1.467499999999994</v>
      </c>
      <c r="G350" s="115">
        <f t="shared" si="52"/>
        <v>2.1535562499999825</v>
      </c>
      <c r="H350" s="115">
        <f t="shared" si="53"/>
        <v>2.4568893353423642E-2</v>
      </c>
      <c r="I350" s="116">
        <f t="shared" si="46"/>
        <v>52.81039999999998</v>
      </c>
      <c r="J350" s="116">
        <f t="shared" si="47"/>
        <v>6.9196000000000168</v>
      </c>
      <c r="K350" s="116">
        <f t="shared" si="48"/>
        <v>6.9196000000000168</v>
      </c>
      <c r="L350" s="116">
        <f t="shared" si="49"/>
        <v>47.880864160000236</v>
      </c>
      <c r="M350" s="117">
        <f t="shared" si="45"/>
        <v>0.11584798258831437</v>
      </c>
    </row>
    <row r="351" spans="1:13">
      <c r="A351" s="112">
        <v>348</v>
      </c>
      <c r="B351" s="113">
        <v>42142</v>
      </c>
      <c r="C351" s="114">
        <v>59.44</v>
      </c>
      <c r="D351" s="115">
        <f t="shared" si="54"/>
        <v>58.46350000000001</v>
      </c>
      <c r="E351" s="115">
        <f t="shared" si="50"/>
        <v>0.97649999999998727</v>
      </c>
      <c r="F351" s="115">
        <f t="shared" si="51"/>
        <v>0.97649999999998727</v>
      </c>
      <c r="G351" s="115">
        <f t="shared" si="52"/>
        <v>0.95355224999997512</v>
      </c>
      <c r="H351" s="115">
        <f t="shared" si="53"/>
        <v>1.6428331090174754E-2</v>
      </c>
      <c r="I351" s="116">
        <f t="shared" si="46"/>
        <v>53.012799999999977</v>
      </c>
      <c r="J351" s="116">
        <f t="shared" si="47"/>
        <v>6.4272000000000205</v>
      </c>
      <c r="K351" s="116">
        <f t="shared" si="48"/>
        <v>6.4272000000000205</v>
      </c>
      <c r="L351" s="116">
        <f t="shared" si="49"/>
        <v>41.308899840000265</v>
      </c>
      <c r="M351" s="117">
        <f t="shared" si="45"/>
        <v>0.10812920592193843</v>
      </c>
    </row>
    <row r="352" spans="1:13">
      <c r="A352" s="112">
        <v>349</v>
      </c>
      <c r="B352" s="107">
        <v>42143</v>
      </c>
      <c r="C352" s="108">
        <v>57.3</v>
      </c>
      <c r="D352" s="115">
        <f t="shared" si="54"/>
        <v>58.617000000000004</v>
      </c>
      <c r="E352" s="115">
        <f t="shared" si="50"/>
        <v>-1.3170000000000073</v>
      </c>
      <c r="F352" s="115">
        <f t="shared" si="51"/>
        <v>1.3170000000000073</v>
      </c>
      <c r="G352" s="115">
        <f t="shared" si="52"/>
        <v>1.7344890000000193</v>
      </c>
      <c r="H352" s="115">
        <f t="shared" si="53"/>
        <v>2.2984293193717406E-2</v>
      </c>
      <c r="I352" s="116">
        <f t="shared" si="46"/>
        <v>53.202599999999983</v>
      </c>
      <c r="J352" s="116">
        <f t="shared" si="47"/>
        <v>4.0974000000000146</v>
      </c>
      <c r="K352" s="116">
        <f t="shared" si="48"/>
        <v>4.0974000000000146</v>
      </c>
      <c r="L352" s="116">
        <f t="shared" si="49"/>
        <v>16.788686760000118</v>
      </c>
      <c r="M352" s="117">
        <f t="shared" si="45"/>
        <v>7.1507853403141614E-2</v>
      </c>
    </row>
    <row r="353" spans="1:13">
      <c r="A353" s="112">
        <v>350</v>
      </c>
      <c r="B353" s="113">
        <v>42144</v>
      </c>
      <c r="C353" s="114">
        <v>58.96</v>
      </c>
      <c r="D353" s="115">
        <f t="shared" si="54"/>
        <v>58.702999999999996</v>
      </c>
      <c r="E353" s="115">
        <f t="shared" si="50"/>
        <v>0.257000000000005</v>
      </c>
      <c r="F353" s="115">
        <f t="shared" si="51"/>
        <v>0.257000000000005</v>
      </c>
      <c r="G353" s="115">
        <f t="shared" si="52"/>
        <v>6.6049000000002578E-2</v>
      </c>
      <c r="H353" s="115">
        <f t="shared" si="53"/>
        <v>4.3588873812755256E-3</v>
      </c>
      <c r="I353" s="116">
        <f t="shared" si="46"/>
        <v>53.380199999999988</v>
      </c>
      <c r="J353" s="116">
        <f t="shared" si="47"/>
        <v>5.579800000000013</v>
      </c>
      <c r="K353" s="116">
        <f t="shared" si="48"/>
        <v>5.579800000000013</v>
      </c>
      <c r="L353" s="116">
        <f t="shared" si="49"/>
        <v>31.134168040000144</v>
      </c>
      <c r="M353" s="117">
        <f t="shared" si="45"/>
        <v>9.4637042062415411E-2</v>
      </c>
    </row>
    <row r="354" spans="1:13">
      <c r="A354" s="112">
        <v>351</v>
      </c>
      <c r="B354" s="107">
        <v>42145</v>
      </c>
      <c r="C354" s="108">
        <v>60.18</v>
      </c>
      <c r="D354" s="115">
        <f t="shared" si="54"/>
        <v>58.842500000000008</v>
      </c>
      <c r="E354" s="115">
        <f t="shared" si="50"/>
        <v>1.3374999999999915</v>
      </c>
      <c r="F354" s="115">
        <f t="shared" si="51"/>
        <v>1.3374999999999915</v>
      </c>
      <c r="G354" s="115">
        <f t="shared" si="52"/>
        <v>1.7889062499999773</v>
      </c>
      <c r="H354" s="115">
        <f t="shared" si="53"/>
        <v>2.2224991691591749E-2</v>
      </c>
      <c r="I354" s="116">
        <f t="shared" si="46"/>
        <v>53.598199999999991</v>
      </c>
      <c r="J354" s="116">
        <f t="shared" si="47"/>
        <v>6.5818000000000083</v>
      </c>
      <c r="K354" s="116">
        <f t="shared" si="48"/>
        <v>6.5818000000000083</v>
      </c>
      <c r="L354" s="116">
        <f t="shared" si="49"/>
        <v>43.32009124000011</v>
      </c>
      <c r="M354" s="117">
        <f t="shared" si="45"/>
        <v>0.10936856098371565</v>
      </c>
    </row>
    <row r="355" spans="1:13">
      <c r="A355" s="112">
        <v>352</v>
      </c>
      <c r="B355" s="113">
        <v>42146</v>
      </c>
      <c r="C355" s="114">
        <v>58.88</v>
      </c>
      <c r="D355" s="115">
        <f t="shared" si="54"/>
        <v>59.022000000000006</v>
      </c>
      <c r="E355" s="115">
        <f t="shared" si="50"/>
        <v>-0.14200000000000301</v>
      </c>
      <c r="F355" s="115">
        <f t="shared" si="51"/>
        <v>0.14200000000000301</v>
      </c>
      <c r="G355" s="115">
        <f t="shared" si="52"/>
        <v>2.0164000000000855E-2</v>
      </c>
      <c r="H355" s="115">
        <f t="shared" si="53"/>
        <v>2.4116847826087468E-3</v>
      </c>
      <c r="I355" s="116">
        <f t="shared" si="46"/>
        <v>53.859399999999987</v>
      </c>
      <c r="J355" s="116">
        <f t="shared" si="47"/>
        <v>5.0206000000000159</v>
      </c>
      <c r="K355" s="116">
        <f t="shared" si="48"/>
        <v>5.0206000000000159</v>
      </c>
      <c r="L355" s="116">
        <f t="shared" si="49"/>
        <v>25.20642436000016</v>
      </c>
      <c r="M355" s="117">
        <f t="shared" si="45"/>
        <v>8.5268342391304611E-2</v>
      </c>
    </row>
    <row r="356" spans="1:13">
      <c r="A356" s="112">
        <v>353</v>
      </c>
      <c r="B356" s="107">
        <v>42149</v>
      </c>
      <c r="C356" s="108">
        <v>58.88</v>
      </c>
      <c r="D356" s="115">
        <f t="shared" si="54"/>
        <v>59.167000000000009</v>
      </c>
      <c r="E356" s="115">
        <f t="shared" si="50"/>
        <v>-0.28700000000000614</v>
      </c>
      <c r="F356" s="115">
        <f t="shared" si="51"/>
        <v>0.28700000000000614</v>
      </c>
      <c r="G356" s="115">
        <f t="shared" si="52"/>
        <v>8.2369000000003523E-2</v>
      </c>
      <c r="H356" s="115">
        <f t="shared" si="53"/>
        <v>4.8743206521740167E-3</v>
      </c>
      <c r="I356" s="116">
        <f t="shared" si="46"/>
        <v>54.139399999999995</v>
      </c>
      <c r="J356" s="116">
        <f t="shared" si="47"/>
        <v>4.7406000000000077</v>
      </c>
      <c r="K356" s="116">
        <f t="shared" si="48"/>
        <v>4.7406000000000077</v>
      </c>
      <c r="L356" s="116">
        <f t="shared" si="49"/>
        <v>22.473288360000073</v>
      </c>
      <c r="M356" s="117">
        <f t="shared" si="45"/>
        <v>8.0512907608695783E-2</v>
      </c>
    </row>
    <row r="357" spans="1:13">
      <c r="A357" s="112">
        <v>354</v>
      </c>
      <c r="B357" s="113">
        <v>42150</v>
      </c>
      <c r="C357" s="114">
        <v>57.29</v>
      </c>
      <c r="D357" s="115">
        <f t="shared" si="54"/>
        <v>59.333000000000013</v>
      </c>
      <c r="E357" s="115">
        <f t="shared" si="50"/>
        <v>-2.0430000000000135</v>
      </c>
      <c r="F357" s="115">
        <f t="shared" si="51"/>
        <v>2.0430000000000135</v>
      </c>
      <c r="G357" s="115">
        <f t="shared" si="52"/>
        <v>4.1738490000000548</v>
      </c>
      <c r="H357" s="115">
        <f t="shared" si="53"/>
        <v>3.5660673765055217E-2</v>
      </c>
      <c r="I357" s="116">
        <f t="shared" si="46"/>
        <v>54.438400000000001</v>
      </c>
      <c r="J357" s="116">
        <f t="shared" si="47"/>
        <v>2.8515999999999977</v>
      </c>
      <c r="K357" s="116">
        <f t="shared" si="48"/>
        <v>2.8515999999999977</v>
      </c>
      <c r="L357" s="116">
        <f t="shared" si="49"/>
        <v>8.1316225599999861</v>
      </c>
      <c r="M357" s="117">
        <f t="shared" si="45"/>
        <v>4.9774829813230892E-2</v>
      </c>
    </row>
    <row r="358" spans="1:13">
      <c r="A358" s="112">
        <v>355</v>
      </c>
      <c r="B358" s="107">
        <v>42151</v>
      </c>
      <c r="C358" s="108">
        <v>57.51</v>
      </c>
      <c r="D358" s="115">
        <f t="shared" si="54"/>
        <v>59.345000000000006</v>
      </c>
      <c r="E358" s="115">
        <f t="shared" si="50"/>
        <v>-1.835000000000008</v>
      </c>
      <c r="F358" s="115">
        <f t="shared" si="51"/>
        <v>1.835000000000008</v>
      </c>
      <c r="G358" s="115">
        <f t="shared" si="52"/>
        <v>3.3672250000000292</v>
      </c>
      <c r="H358" s="115">
        <f t="shared" si="53"/>
        <v>3.1907494348809046E-2</v>
      </c>
      <c r="I358" s="116">
        <f t="shared" si="46"/>
        <v>54.7164</v>
      </c>
      <c r="J358" s="116">
        <f t="shared" si="47"/>
        <v>2.7935999999999979</v>
      </c>
      <c r="K358" s="116">
        <f t="shared" si="48"/>
        <v>2.7935999999999979</v>
      </c>
      <c r="L358" s="116">
        <f t="shared" si="49"/>
        <v>7.8042009599999878</v>
      </c>
      <c r="M358" s="117">
        <f t="shared" si="45"/>
        <v>4.8575899843505445E-2</v>
      </c>
    </row>
    <row r="359" spans="1:13">
      <c r="A359" s="112">
        <v>356</v>
      </c>
      <c r="B359" s="113">
        <v>42152</v>
      </c>
      <c r="C359" s="114">
        <v>57.69</v>
      </c>
      <c r="D359" s="115">
        <f t="shared" si="54"/>
        <v>59.293000000000006</v>
      </c>
      <c r="E359" s="115">
        <f t="shared" si="50"/>
        <v>-1.6030000000000086</v>
      </c>
      <c r="F359" s="115">
        <f t="shared" si="51"/>
        <v>1.6030000000000086</v>
      </c>
      <c r="G359" s="115">
        <f t="shared" si="52"/>
        <v>2.5696090000000278</v>
      </c>
      <c r="H359" s="115">
        <f t="shared" si="53"/>
        <v>2.7786444791125128E-2</v>
      </c>
      <c r="I359" s="116">
        <f t="shared" si="46"/>
        <v>54.974000000000004</v>
      </c>
      <c r="J359" s="116">
        <f t="shared" si="47"/>
        <v>2.715999999999994</v>
      </c>
      <c r="K359" s="116">
        <f t="shared" si="48"/>
        <v>2.715999999999994</v>
      </c>
      <c r="L359" s="116">
        <f t="shared" si="49"/>
        <v>7.3766559999999677</v>
      </c>
      <c r="M359" s="117">
        <f t="shared" si="45"/>
        <v>4.7079216501993308E-2</v>
      </c>
    </row>
    <row r="360" spans="1:13">
      <c r="A360" s="112">
        <v>357</v>
      </c>
      <c r="B360" s="107">
        <v>42153</v>
      </c>
      <c r="C360" s="108">
        <v>60.25</v>
      </c>
      <c r="D360" s="115">
        <f t="shared" si="54"/>
        <v>59.1965</v>
      </c>
      <c r="E360" s="115">
        <f t="shared" si="50"/>
        <v>1.0534999999999997</v>
      </c>
      <c r="F360" s="115">
        <f t="shared" si="51"/>
        <v>1.0534999999999997</v>
      </c>
      <c r="G360" s="115">
        <f t="shared" si="52"/>
        <v>1.1098622499999993</v>
      </c>
      <c r="H360" s="115">
        <f t="shared" si="53"/>
        <v>1.748547717842323E-2</v>
      </c>
      <c r="I360" s="116">
        <f t="shared" si="46"/>
        <v>55.247400000000006</v>
      </c>
      <c r="J360" s="116">
        <f t="shared" si="47"/>
        <v>5.0025999999999939</v>
      </c>
      <c r="K360" s="116">
        <f t="shared" si="48"/>
        <v>5.0025999999999939</v>
      </c>
      <c r="L360" s="116">
        <f t="shared" si="49"/>
        <v>25.026006759999941</v>
      </c>
      <c r="M360" s="117">
        <f t="shared" si="45"/>
        <v>8.3030705394190774E-2</v>
      </c>
    </row>
    <row r="361" spans="1:13">
      <c r="A361" s="112">
        <v>358</v>
      </c>
      <c r="B361" s="113">
        <v>42156</v>
      </c>
      <c r="C361" s="114">
        <v>60.24</v>
      </c>
      <c r="D361" s="115">
        <f t="shared" si="54"/>
        <v>59.254000000000005</v>
      </c>
      <c r="E361" s="115">
        <f t="shared" si="50"/>
        <v>0.9859999999999971</v>
      </c>
      <c r="F361" s="115">
        <f t="shared" si="51"/>
        <v>0.9859999999999971</v>
      </c>
      <c r="G361" s="115">
        <f t="shared" si="52"/>
        <v>0.97219599999999429</v>
      </c>
      <c r="H361" s="115">
        <f t="shared" si="53"/>
        <v>1.6367861885790123E-2</v>
      </c>
      <c r="I361" s="116">
        <f t="shared" si="46"/>
        <v>55.53240000000001</v>
      </c>
      <c r="J361" s="116">
        <f t="shared" si="47"/>
        <v>4.7075999999999922</v>
      </c>
      <c r="K361" s="116">
        <f t="shared" si="48"/>
        <v>4.7075999999999922</v>
      </c>
      <c r="L361" s="116">
        <f t="shared" si="49"/>
        <v>22.161497759999929</v>
      </c>
      <c r="M361" s="117">
        <f t="shared" si="45"/>
        <v>7.8147410358565608E-2</v>
      </c>
    </row>
    <row r="362" spans="1:13">
      <c r="A362" s="112">
        <v>359</v>
      </c>
      <c r="B362" s="107">
        <v>42157</v>
      </c>
      <c r="C362" s="108">
        <v>61.3</v>
      </c>
      <c r="D362" s="115">
        <f t="shared" si="54"/>
        <v>59.319999999999993</v>
      </c>
      <c r="E362" s="115">
        <f t="shared" si="50"/>
        <v>1.980000000000004</v>
      </c>
      <c r="F362" s="115">
        <f t="shared" si="51"/>
        <v>1.980000000000004</v>
      </c>
      <c r="G362" s="115">
        <f t="shared" si="52"/>
        <v>3.9204000000000159</v>
      </c>
      <c r="H362" s="115">
        <f t="shared" si="53"/>
        <v>3.23001631321371E-2</v>
      </c>
      <c r="I362" s="116">
        <f t="shared" si="46"/>
        <v>55.789200000000001</v>
      </c>
      <c r="J362" s="116">
        <f t="shared" si="47"/>
        <v>5.5107999999999961</v>
      </c>
      <c r="K362" s="116">
        <f t="shared" si="48"/>
        <v>5.5107999999999961</v>
      </c>
      <c r="L362" s="116">
        <f t="shared" si="49"/>
        <v>30.368916639999959</v>
      </c>
      <c r="M362" s="117">
        <f t="shared" si="45"/>
        <v>8.9898858075040722E-2</v>
      </c>
    </row>
    <row r="363" spans="1:13">
      <c r="A363" s="112">
        <v>360</v>
      </c>
      <c r="B363" s="113">
        <v>42158</v>
      </c>
      <c r="C363" s="114">
        <v>59.67</v>
      </c>
      <c r="D363" s="115">
        <f t="shared" si="54"/>
        <v>59.365999999999985</v>
      </c>
      <c r="E363" s="115">
        <f t="shared" si="50"/>
        <v>0.30400000000001626</v>
      </c>
      <c r="F363" s="115">
        <f t="shared" si="51"/>
        <v>0.30400000000001626</v>
      </c>
      <c r="G363" s="115">
        <f t="shared" si="52"/>
        <v>9.2416000000009879E-2</v>
      </c>
      <c r="H363" s="115">
        <f t="shared" si="53"/>
        <v>5.0946874476288963E-3</v>
      </c>
      <c r="I363" s="116">
        <f t="shared" si="46"/>
        <v>56.074600000000011</v>
      </c>
      <c r="J363" s="116">
        <f t="shared" si="47"/>
        <v>3.5953999999999908</v>
      </c>
      <c r="K363" s="116">
        <f t="shared" si="48"/>
        <v>3.5953999999999908</v>
      </c>
      <c r="L363" s="116">
        <f t="shared" si="49"/>
        <v>12.926901159999934</v>
      </c>
      <c r="M363" s="117">
        <f t="shared" si="45"/>
        <v>6.0254734372381276E-2</v>
      </c>
    </row>
    <row r="364" spans="1:13">
      <c r="A364" s="112">
        <v>361</v>
      </c>
      <c r="B364" s="107">
        <v>42159</v>
      </c>
      <c r="C364" s="108">
        <v>58</v>
      </c>
      <c r="D364" s="115">
        <f t="shared" si="54"/>
        <v>59.302999999999997</v>
      </c>
      <c r="E364" s="115">
        <f t="shared" si="50"/>
        <v>-1.3029999999999973</v>
      </c>
      <c r="F364" s="115">
        <f t="shared" si="51"/>
        <v>1.3029999999999973</v>
      </c>
      <c r="G364" s="115">
        <f t="shared" si="52"/>
        <v>1.6978089999999928</v>
      </c>
      <c r="H364" s="115">
        <f t="shared" si="53"/>
        <v>2.2465517241379265E-2</v>
      </c>
      <c r="I364" s="116">
        <f t="shared" si="46"/>
        <v>56.293000000000013</v>
      </c>
      <c r="J364" s="116">
        <f t="shared" si="47"/>
        <v>1.7069999999999865</v>
      </c>
      <c r="K364" s="116">
        <f t="shared" si="48"/>
        <v>1.7069999999999865</v>
      </c>
      <c r="L364" s="116">
        <f t="shared" si="49"/>
        <v>2.9138489999999542</v>
      </c>
      <c r="M364" s="117">
        <f t="shared" si="45"/>
        <v>2.9431034482758387E-2</v>
      </c>
    </row>
    <row r="365" spans="1:13">
      <c r="A365" s="112">
        <v>362</v>
      </c>
      <c r="B365" s="113">
        <v>42160</v>
      </c>
      <c r="C365" s="114">
        <v>59.11</v>
      </c>
      <c r="D365" s="115">
        <f t="shared" si="54"/>
        <v>59.253499999999995</v>
      </c>
      <c r="E365" s="115">
        <f t="shared" si="50"/>
        <v>-0.14349999999999596</v>
      </c>
      <c r="F365" s="115">
        <f t="shared" si="51"/>
        <v>0.14349999999999596</v>
      </c>
      <c r="G365" s="115">
        <f t="shared" si="52"/>
        <v>2.0592249999998841E-2</v>
      </c>
      <c r="H365" s="115">
        <f t="shared" si="53"/>
        <v>2.4276772119776005E-3</v>
      </c>
      <c r="I365" s="116">
        <f t="shared" si="46"/>
        <v>56.424800000000012</v>
      </c>
      <c r="J365" s="116">
        <f t="shared" si="47"/>
        <v>2.6851999999999876</v>
      </c>
      <c r="K365" s="116">
        <f t="shared" si="48"/>
        <v>2.6851999999999876</v>
      </c>
      <c r="L365" s="116">
        <f t="shared" si="49"/>
        <v>7.2102990399999332</v>
      </c>
      <c r="M365" s="117">
        <f t="shared" si="45"/>
        <v>4.542716968364046E-2</v>
      </c>
    </row>
    <row r="366" spans="1:13">
      <c r="A366" s="112">
        <v>363</v>
      </c>
      <c r="B366" s="107">
        <v>42163</v>
      </c>
      <c r="C366" s="108">
        <v>58.15</v>
      </c>
      <c r="D366" s="115">
        <f t="shared" si="54"/>
        <v>59.238499999999988</v>
      </c>
      <c r="E366" s="115">
        <f t="shared" si="50"/>
        <v>-1.0884999999999891</v>
      </c>
      <c r="F366" s="115">
        <f t="shared" si="51"/>
        <v>1.0884999999999891</v>
      </c>
      <c r="G366" s="115">
        <f t="shared" si="52"/>
        <v>1.1848322499999764</v>
      </c>
      <c r="H366" s="115">
        <f t="shared" si="53"/>
        <v>1.8718830610489925E-2</v>
      </c>
      <c r="I366" s="116">
        <f t="shared" si="46"/>
        <v>56.630400000000016</v>
      </c>
      <c r="J366" s="116">
        <f t="shared" si="47"/>
        <v>1.5195999999999827</v>
      </c>
      <c r="K366" s="116">
        <f t="shared" si="48"/>
        <v>1.5195999999999827</v>
      </c>
      <c r="L366" s="116">
        <f t="shared" si="49"/>
        <v>2.3091841599999476</v>
      </c>
      <c r="M366" s="117">
        <f t="shared" si="45"/>
        <v>2.6132416165089989E-2</v>
      </c>
    </row>
    <row r="367" spans="1:13">
      <c r="A367" s="112">
        <v>364</v>
      </c>
      <c r="B367" s="113">
        <v>42164</v>
      </c>
      <c r="C367" s="114">
        <v>60.15</v>
      </c>
      <c r="D367" s="115">
        <f t="shared" si="54"/>
        <v>59.184499999999993</v>
      </c>
      <c r="E367" s="115">
        <f t="shared" si="50"/>
        <v>0.9655000000000058</v>
      </c>
      <c r="F367" s="115">
        <f t="shared" si="51"/>
        <v>0.9655000000000058</v>
      </c>
      <c r="G367" s="115">
        <f t="shared" si="52"/>
        <v>0.93219025000001121</v>
      </c>
      <c r="H367" s="115">
        <f t="shared" si="53"/>
        <v>1.6051537822111484E-2</v>
      </c>
      <c r="I367" s="116">
        <f t="shared" si="46"/>
        <v>56.820200000000014</v>
      </c>
      <c r="J367" s="116">
        <f t="shared" si="47"/>
        <v>3.3297999999999845</v>
      </c>
      <c r="K367" s="116">
        <f t="shared" si="48"/>
        <v>3.3297999999999845</v>
      </c>
      <c r="L367" s="116">
        <f t="shared" si="49"/>
        <v>11.087568039999898</v>
      </c>
      <c r="M367" s="117">
        <f t="shared" si="45"/>
        <v>5.535827098919343E-2</v>
      </c>
    </row>
    <row r="368" spans="1:13">
      <c r="A368" s="112">
        <v>365</v>
      </c>
      <c r="B368" s="107">
        <v>42165</v>
      </c>
      <c r="C368" s="108">
        <v>61.36</v>
      </c>
      <c r="D368" s="115">
        <f t="shared" si="54"/>
        <v>59.156000000000006</v>
      </c>
      <c r="E368" s="115">
        <f t="shared" si="50"/>
        <v>2.2039999999999935</v>
      </c>
      <c r="F368" s="115">
        <f t="shared" si="51"/>
        <v>2.2039999999999935</v>
      </c>
      <c r="G368" s="115">
        <f t="shared" si="52"/>
        <v>4.8576159999999717</v>
      </c>
      <c r="H368" s="115">
        <f t="shared" si="53"/>
        <v>3.5919165580182426E-2</v>
      </c>
      <c r="I368" s="116">
        <f t="shared" si="46"/>
        <v>57.068800000000017</v>
      </c>
      <c r="J368" s="116">
        <f t="shared" si="47"/>
        <v>4.2911999999999821</v>
      </c>
      <c r="K368" s="116">
        <f t="shared" si="48"/>
        <v>4.2911999999999821</v>
      </c>
      <c r="L368" s="116">
        <f t="shared" si="49"/>
        <v>18.414397439999846</v>
      </c>
      <c r="M368" s="117">
        <f t="shared" si="45"/>
        <v>6.993481095175981E-2</v>
      </c>
    </row>
    <row r="369" spans="1:13">
      <c r="A369" s="112">
        <v>366</v>
      </c>
      <c r="B369" s="113">
        <v>42166</v>
      </c>
      <c r="C369" s="114">
        <v>60.74</v>
      </c>
      <c r="D369" s="115">
        <f t="shared" si="54"/>
        <v>59.198999999999998</v>
      </c>
      <c r="E369" s="115">
        <f t="shared" si="50"/>
        <v>1.5410000000000039</v>
      </c>
      <c r="F369" s="115">
        <f t="shared" si="51"/>
        <v>1.5410000000000039</v>
      </c>
      <c r="G369" s="115">
        <f t="shared" si="52"/>
        <v>2.3746810000000123</v>
      </c>
      <c r="H369" s="115">
        <f t="shared" si="53"/>
        <v>2.5370431346723805E-2</v>
      </c>
      <c r="I369" s="116">
        <f t="shared" si="46"/>
        <v>57.293600000000026</v>
      </c>
      <c r="J369" s="116">
        <f t="shared" si="47"/>
        <v>3.4463999999999757</v>
      </c>
      <c r="K369" s="116">
        <f t="shared" si="48"/>
        <v>3.4463999999999757</v>
      </c>
      <c r="L369" s="116">
        <f t="shared" si="49"/>
        <v>11.877672959999833</v>
      </c>
      <c r="M369" s="117">
        <f t="shared" si="45"/>
        <v>5.6740204148830679E-2</v>
      </c>
    </row>
    <row r="370" spans="1:13">
      <c r="A370" s="112">
        <v>367</v>
      </c>
      <c r="B370" s="107">
        <v>42167</v>
      </c>
      <c r="C370" s="108">
        <v>59.96</v>
      </c>
      <c r="D370" s="115">
        <f t="shared" si="54"/>
        <v>59.241499999999988</v>
      </c>
      <c r="E370" s="115">
        <f t="shared" si="50"/>
        <v>0.71850000000001302</v>
      </c>
      <c r="F370" s="115">
        <f t="shared" si="51"/>
        <v>0.71850000000001302</v>
      </c>
      <c r="G370" s="115">
        <f t="shared" si="52"/>
        <v>0.51624225000001867</v>
      </c>
      <c r="H370" s="115">
        <f t="shared" si="53"/>
        <v>1.1982988659106287E-2</v>
      </c>
      <c r="I370" s="116">
        <f t="shared" si="46"/>
        <v>57.525800000000018</v>
      </c>
      <c r="J370" s="116">
        <f t="shared" si="47"/>
        <v>2.4341999999999828</v>
      </c>
      <c r="K370" s="116">
        <f t="shared" si="48"/>
        <v>2.4341999999999828</v>
      </c>
      <c r="L370" s="116">
        <f t="shared" si="49"/>
        <v>5.9253296399999167</v>
      </c>
      <c r="M370" s="117">
        <f t="shared" si="45"/>
        <v>4.0597064709806251E-2</v>
      </c>
    </row>
    <row r="371" spans="1:13">
      <c r="A371" s="112">
        <v>368</v>
      </c>
      <c r="B371" s="113">
        <v>42170</v>
      </c>
      <c r="C371" s="114">
        <v>59.53</v>
      </c>
      <c r="D371" s="115">
        <f t="shared" si="54"/>
        <v>59.253</v>
      </c>
      <c r="E371" s="115">
        <f t="shared" si="50"/>
        <v>0.27700000000000102</v>
      </c>
      <c r="F371" s="115">
        <f t="shared" si="51"/>
        <v>0.27700000000000102</v>
      </c>
      <c r="G371" s="115">
        <f t="shared" si="52"/>
        <v>7.6729000000000561E-2</v>
      </c>
      <c r="H371" s="115">
        <f t="shared" si="53"/>
        <v>4.6531160759281202E-3</v>
      </c>
      <c r="I371" s="116">
        <f t="shared" si="46"/>
        <v>57.742400000000018</v>
      </c>
      <c r="J371" s="116">
        <f t="shared" si="47"/>
        <v>1.7875999999999834</v>
      </c>
      <c r="K371" s="116">
        <f t="shared" si="48"/>
        <v>1.7875999999999834</v>
      </c>
      <c r="L371" s="116">
        <f t="shared" si="49"/>
        <v>3.1955137599999408</v>
      </c>
      <c r="M371" s="117">
        <f t="shared" si="45"/>
        <v>3.0028557030068594E-2</v>
      </c>
    </row>
    <row r="372" spans="1:13">
      <c r="A372" s="112">
        <v>369</v>
      </c>
      <c r="B372" s="107">
        <v>42171</v>
      </c>
      <c r="C372" s="108">
        <v>60.01</v>
      </c>
      <c r="D372" s="115">
        <f t="shared" si="54"/>
        <v>59.257499999999993</v>
      </c>
      <c r="E372" s="115">
        <f t="shared" si="50"/>
        <v>0.75250000000000483</v>
      </c>
      <c r="F372" s="115">
        <f t="shared" si="51"/>
        <v>0.75250000000000483</v>
      </c>
      <c r="G372" s="115">
        <f t="shared" si="52"/>
        <v>0.56625625000000723</v>
      </c>
      <c r="H372" s="115">
        <f t="shared" si="53"/>
        <v>1.2539576737210546E-2</v>
      </c>
      <c r="I372" s="116">
        <f t="shared" si="46"/>
        <v>57.891400000000033</v>
      </c>
      <c r="J372" s="116">
        <f t="shared" si="47"/>
        <v>2.1185999999999652</v>
      </c>
      <c r="K372" s="116">
        <f t="shared" si="48"/>
        <v>2.1185999999999652</v>
      </c>
      <c r="L372" s="116">
        <f t="shared" si="49"/>
        <v>4.4884659599998527</v>
      </c>
      <c r="M372" s="117">
        <f t="shared" si="45"/>
        <v>3.5304115980669307E-2</v>
      </c>
    </row>
    <row r="373" spans="1:13">
      <c r="A373" s="112">
        <v>370</v>
      </c>
      <c r="B373" s="113">
        <v>42172</v>
      </c>
      <c r="C373" s="114">
        <v>59.89</v>
      </c>
      <c r="D373" s="115">
        <f t="shared" si="54"/>
        <v>59.392999999999994</v>
      </c>
      <c r="E373" s="115">
        <f t="shared" si="50"/>
        <v>0.49700000000000699</v>
      </c>
      <c r="F373" s="115">
        <f t="shared" si="51"/>
        <v>0.49700000000000699</v>
      </c>
      <c r="G373" s="115">
        <f t="shared" si="52"/>
        <v>0.24700900000000695</v>
      </c>
      <c r="H373" s="115">
        <f t="shared" si="53"/>
        <v>8.2985473367842202E-3</v>
      </c>
      <c r="I373" s="116">
        <f t="shared" si="46"/>
        <v>58.012600000000027</v>
      </c>
      <c r="J373" s="116">
        <f t="shared" si="47"/>
        <v>1.8773999999999731</v>
      </c>
      <c r="K373" s="116">
        <f t="shared" si="48"/>
        <v>1.8773999999999731</v>
      </c>
      <c r="L373" s="116">
        <f t="shared" si="49"/>
        <v>3.5246307599998992</v>
      </c>
      <c r="M373" s="117">
        <f t="shared" si="45"/>
        <v>3.1347470362330487E-2</v>
      </c>
    </row>
    <row r="374" spans="1:13">
      <c r="A374" s="112">
        <v>371</v>
      </c>
      <c r="B374" s="107">
        <v>42173</v>
      </c>
      <c r="C374" s="108">
        <v>60.41</v>
      </c>
      <c r="D374" s="115">
        <f t="shared" si="54"/>
        <v>59.43950000000001</v>
      </c>
      <c r="E374" s="115">
        <f t="shared" si="50"/>
        <v>0.97049999999998704</v>
      </c>
      <c r="F374" s="115">
        <f t="shared" si="51"/>
        <v>0.97049999999998704</v>
      </c>
      <c r="G374" s="115">
        <f t="shared" si="52"/>
        <v>0.94187024999997482</v>
      </c>
      <c r="H374" s="115">
        <f t="shared" si="53"/>
        <v>1.606522098990212E-2</v>
      </c>
      <c r="I374" s="116">
        <f t="shared" si="46"/>
        <v>58.201600000000013</v>
      </c>
      <c r="J374" s="116">
        <f t="shared" si="47"/>
        <v>2.2083999999999833</v>
      </c>
      <c r="K374" s="116">
        <f t="shared" si="48"/>
        <v>2.2083999999999833</v>
      </c>
      <c r="L374" s="116">
        <f t="shared" si="49"/>
        <v>4.877030559999926</v>
      </c>
      <c r="M374" s="117">
        <f t="shared" si="45"/>
        <v>3.655686144678006E-2</v>
      </c>
    </row>
    <row r="375" spans="1:13">
      <c r="A375" s="112">
        <v>372</v>
      </c>
      <c r="B375" s="113">
        <v>42174</v>
      </c>
      <c r="C375" s="114">
        <v>59.62</v>
      </c>
      <c r="D375" s="115">
        <f t="shared" si="54"/>
        <v>59.451000000000008</v>
      </c>
      <c r="E375" s="115">
        <f t="shared" si="50"/>
        <v>0.16899999999998983</v>
      </c>
      <c r="F375" s="115">
        <f t="shared" si="51"/>
        <v>0.16899999999998983</v>
      </c>
      <c r="G375" s="115">
        <f t="shared" si="52"/>
        <v>2.8560999999996561E-2</v>
      </c>
      <c r="H375" s="115">
        <f t="shared" si="53"/>
        <v>2.8346192552832915E-3</v>
      </c>
      <c r="I375" s="116">
        <f t="shared" si="46"/>
        <v>58.394000000000013</v>
      </c>
      <c r="J375" s="116">
        <f t="shared" si="47"/>
        <v>1.2259999999999849</v>
      </c>
      <c r="K375" s="116">
        <f t="shared" si="48"/>
        <v>1.2259999999999849</v>
      </c>
      <c r="L375" s="116">
        <f t="shared" si="49"/>
        <v>1.503075999999963</v>
      </c>
      <c r="M375" s="117">
        <f t="shared" ref="M375:M438" si="55">J375/C375</f>
        <v>2.0563569272056104E-2</v>
      </c>
    </row>
    <row r="376" spans="1:13">
      <c r="A376" s="112">
        <v>373</v>
      </c>
      <c r="B376" s="107">
        <v>42177</v>
      </c>
      <c r="C376" s="108">
        <v>60.01</v>
      </c>
      <c r="D376" s="115">
        <f t="shared" si="54"/>
        <v>59.488</v>
      </c>
      <c r="E376" s="115">
        <f t="shared" si="50"/>
        <v>0.52199999999999847</v>
      </c>
      <c r="F376" s="115">
        <f t="shared" si="51"/>
        <v>0.52199999999999847</v>
      </c>
      <c r="G376" s="115">
        <f t="shared" si="52"/>
        <v>0.27248399999999839</v>
      </c>
      <c r="H376" s="115">
        <f t="shared" si="53"/>
        <v>8.698550241626371E-3</v>
      </c>
      <c r="I376" s="116">
        <f t="shared" ref="I376:I439" si="56">AVERAGE(C326:C375)</f>
        <v>58.553800000000017</v>
      </c>
      <c r="J376" s="116">
        <f t="shared" ref="J376:J439" si="57">C376-I376</f>
        <v>1.4561999999999813</v>
      </c>
      <c r="K376" s="116">
        <f t="shared" ref="K376:K439" si="58">ABS(J376)</f>
        <v>1.4561999999999813</v>
      </c>
      <c r="L376" s="116">
        <f t="shared" ref="L376:L439" si="59">J376^2</f>
        <v>2.1205184399999455</v>
      </c>
      <c r="M376" s="117">
        <f t="shared" si="55"/>
        <v>2.4265955674054013E-2</v>
      </c>
    </row>
    <row r="377" spans="1:13">
      <c r="A377" s="112">
        <v>374</v>
      </c>
      <c r="B377" s="113">
        <v>42178</v>
      </c>
      <c r="C377" s="114">
        <v>61.05</v>
      </c>
      <c r="D377" s="115">
        <f t="shared" si="54"/>
        <v>59.544499999999992</v>
      </c>
      <c r="E377" s="115">
        <f t="shared" si="50"/>
        <v>1.5055000000000049</v>
      </c>
      <c r="F377" s="115">
        <f t="shared" si="51"/>
        <v>1.5055000000000049</v>
      </c>
      <c r="G377" s="115">
        <f t="shared" si="52"/>
        <v>2.2665302500000148</v>
      </c>
      <c r="H377" s="115">
        <f t="shared" si="53"/>
        <v>2.4660114660114741E-2</v>
      </c>
      <c r="I377" s="116">
        <f t="shared" si="56"/>
        <v>58.715000000000018</v>
      </c>
      <c r="J377" s="116">
        <f t="shared" si="57"/>
        <v>2.3349999999999795</v>
      </c>
      <c r="K377" s="116">
        <f t="shared" si="58"/>
        <v>2.3349999999999795</v>
      </c>
      <c r="L377" s="116">
        <f t="shared" si="59"/>
        <v>5.4522249999999044</v>
      </c>
      <c r="M377" s="117">
        <f t="shared" si="55"/>
        <v>3.8247338247337913E-2</v>
      </c>
    </row>
    <row r="378" spans="1:13">
      <c r="A378" s="112">
        <v>375</v>
      </c>
      <c r="B378" s="107">
        <v>42179</v>
      </c>
      <c r="C378" s="108">
        <v>60.01</v>
      </c>
      <c r="D378" s="115">
        <f t="shared" si="54"/>
        <v>59.732499999999995</v>
      </c>
      <c r="E378" s="115">
        <f t="shared" si="50"/>
        <v>0.27750000000000341</v>
      </c>
      <c r="F378" s="115">
        <f t="shared" si="51"/>
        <v>0.27750000000000341</v>
      </c>
      <c r="G378" s="115">
        <f t="shared" si="52"/>
        <v>7.70062500000019E-2</v>
      </c>
      <c r="H378" s="115">
        <f t="shared" si="53"/>
        <v>4.6242292951175377E-3</v>
      </c>
      <c r="I378" s="116">
        <f t="shared" si="56"/>
        <v>58.870000000000019</v>
      </c>
      <c r="J378" s="116">
        <f t="shared" si="57"/>
        <v>1.1399999999999793</v>
      </c>
      <c r="K378" s="116">
        <f t="shared" si="58"/>
        <v>1.1399999999999793</v>
      </c>
      <c r="L378" s="116">
        <f t="shared" si="59"/>
        <v>1.2995999999999528</v>
      </c>
      <c r="M378" s="117">
        <f t="shared" si="55"/>
        <v>1.8996833861022817E-2</v>
      </c>
    </row>
    <row r="379" spans="1:13">
      <c r="A379" s="112">
        <v>376</v>
      </c>
      <c r="B379" s="113">
        <v>42180</v>
      </c>
      <c r="C379" s="114">
        <v>59.59</v>
      </c>
      <c r="D379" s="115">
        <f t="shared" si="54"/>
        <v>59.857500000000002</v>
      </c>
      <c r="E379" s="115">
        <f t="shared" si="50"/>
        <v>-0.26749999999999829</v>
      </c>
      <c r="F379" s="115">
        <f t="shared" si="51"/>
        <v>0.26749999999999829</v>
      </c>
      <c r="G379" s="115">
        <f t="shared" si="52"/>
        <v>7.1556249999999086E-2</v>
      </c>
      <c r="H379" s="115">
        <f t="shared" si="53"/>
        <v>4.4890082228561555E-3</v>
      </c>
      <c r="I379" s="116">
        <f t="shared" si="56"/>
        <v>58.945200000000021</v>
      </c>
      <c r="J379" s="116">
        <f t="shared" si="57"/>
        <v>0.64479999999998228</v>
      </c>
      <c r="K379" s="116">
        <f t="shared" si="58"/>
        <v>0.64479999999998228</v>
      </c>
      <c r="L379" s="116">
        <f t="shared" si="59"/>
        <v>0.41576703999997716</v>
      </c>
      <c r="M379" s="117">
        <f t="shared" si="55"/>
        <v>1.0820607484476963E-2</v>
      </c>
    </row>
    <row r="380" spans="1:13">
      <c r="A380" s="112">
        <v>377</v>
      </c>
      <c r="B380" s="107">
        <v>42181</v>
      </c>
      <c r="C380" s="108">
        <v>59.41</v>
      </c>
      <c r="D380" s="115">
        <f t="shared" si="54"/>
        <v>59.952500000000001</v>
      </c>
      <c r="E380" s="115">
        <f t="shared" si="50"/>
        <v>-0.54250000000000398</v>
      </c>
      <c r="F380" s="115">
        <f t="shared" si="51"/>
        <v>0.54250000000000398</v>
      </c>
      <c r="G380" s="115">
        <f t="shared" si="52"/>
        <v>0.29430625000000432</v>
      </c>
      <c r="H380" s="115">
        <f t="shared" si="53"/>
        <v>9.1314593502777978E-3</v>
      </c>
      <c r="I380" s="116">
        <f t="shared" si="56"/>
        <v>59.003200000000035</v>
      </c>
      <c r="J380" s="116">
        <f t="shared" si="57"/>
        <v>0.40679999999996141</v>
      </c>
      <c r="K380" s="116">
        <f t="shared" si="58"/>
        <v>0.40679999999996141</v>
      </c>
      <c r="L380" s="116">
        <f t="shared" si="59"/>
        <v>0.16548623999996862</v>
      </c>
      <c r="M380" s="117">
        <f t="shared" si="55"/>
        <v>6.8473320989725873E-3</v>
      </c>
    </row>
    <row r="381" spans="1:13">
      <c r="A381" s="112">
        <v>378</v>
      </c>
      <c r="B381" s="113">
        <v>42184</v>
      </c>
      <c r="C381" s="114">
        <v>58.34</v>
      </c>
      <c r="D381" s="115">
        <f t="shared" si="54"/>
        <v>59.910499999999992</v>
      </c>
      <c r="E381" s="115">
        <f t="shared" si="50"/>
        <v>-1.5704999999999885</v>
      </c>
      <c r="F381" s="115">
        <f t="shared" si="51"/>
        <v>1.5704999999999885</v>
      </c>
      <c r="G381" s="115">
        <f t="shared" si="52"/>
        <v>2.4664702499999636</v>
      </c>
      <c r="H381" s="115">
        <f t="shared" si="53"/>
        <v>2.6919780596503056E-2</v>
      </c>
      <c r="I381" s="116">
        <f t="shared" si="56"/>
        <v>59.077200000000033</v>
      </c>
      <c r="J381" s="116">
        <f t="shared" si="57"/>
        <v>-0.73720000000002983</v>
      </c>
      <c r="K381" s="116">
        <f t="shared" si="58"/>
        <v>0.73720000000002983</v>
      </c>
      <c r="L381" s="116">
        <f t="shared" si="59"/>
        <v>0.543463840000044</v>
      </c>
      <c r="M381" s="117">
        <f t="shared" si="55"/>
        <v>-1.2636270140555876E-2</v>
      </c>
    </row>
    <row r="382" spans="1:13">
      <c r="A382" s="112">
        <v>379</v>
      </c>
      <c r="B382" s="107">
        <v>42185</v>
      </c>
      <c r="C382" s="108">
        <v>59.48</v>
      </c>
      <c r="D382" s="115">
        <f t="shared" si="54"/>
        <v>59.815499999999986</v>
      </c>
      <c r="E382" s="115">
        <f t="shared" si="50"/>
        <v>-0.33549999999998903</v>
      </c>
      <c r="F382" s="115">
        <f t="shared" si="51"/>
        <v>0.33549999999998903</v>
      </c>
      <c r="G382" s="115">
        <f t="shared" si="52"/>
        <v>0.11256024999999265</v>
      </c>
      <c r="H382" s="115">
        <f t="shared" si="53"/>
        <v>5.6405514458639722E-3</v>
      </c>
      <c r="I382" s="116">
        <f t="shared" si="56"/>
        <v>59.116600000000027</v>
      </c>
      <c r="J382" s="116">
        <f t="shared" si="57"/>
        <v>0.36339999999997019</v>
      </c>
      <c r="K382" s="116">
        <f t="shared" si="58"/>
        <v>0.36339999999997019</v>
      </c>
      <c r="L382" s="116">
        <f t="shared" si="59"/>
        <v>0.13205955999997834</v>
      </c>
      <c r="M382" s="117">
        <f t="shared" si="55"/>
        <v>6.1096166778744155E-3</v>
      </c>
    </row>
    <row r="383" spans="1:13">
      <c r="A383" s="112">
        <v>380</v>
      </c>
      <c r="B383" s="113">
        <v>42186</v>
      </c>
      <c r="C383" s="114">
        <v>56.94</v>
      </c>
      <c r="D383" s="115">
        <f t="shared" si="54"/>
        <v>59.724499999999992</v>
      </c>
      <c r="E383" s="115">
        <f t="shared" si="50"/>
        <v>-2.7844999999999942</v>
      </c>
      <c r="F383" s="115">
        <f t="shared" si="51"/>
        <v>2.7844999999999942</v>
      </c>
      <c r="G383" s="115">
        <f t="shared" si="52"/>
        <v>7.7534402499999677</v>
      </c>
      <c r="H383" s="115">
        <f t="shared" si="53"/>
        <v>4.8902353354408047E-2</v>
      </c>
      <c r="I383" s="116">
        <f t="shared" si="56"/>
        <v>59.194600000000015</v>
      </c>
      <c r="J383" s="116">
        <f t="shared" si="57"/>
        <v>-2.2546000000000177</v>
      </c>
      <c r="K383" s="116">
        <f t="shared" si="58"/>
        <v>2.2546000000000177</v>
      </c>
      <c r="L383" s="116">
        <f t="shared" si="59"/>
        <v>5.0832211600000798</v>
      </c>
      <c r="M383" s="117">
        <f t="shared" si="55"/>
        <v>-3.9596066034422513E-2</v>
      </c>
    </row>
    <row r="384" spans="1:13">
      <c r="A384" s="112">
        <v>381</v>
      </c>
      <c r="B384" s="107">
        <v>42187</v>
      </c>
      <c r="C384" s="108">
        <v>56.93</v>
      </c>
      <c r="D384" s="115">
        <f t="shared" si="54"/>
        <v>59.588000000000001</v>
      </c>
      <c r="E384" s="115">
        <f t="shared" si="50"/>
        <v>-2.6580000000000013</v>
      </c>
      <c r="F384" s="115">
        <f t="shared" si="51"/>
        <v>2.6580000000000013</v>
      </c>
      <c r="G384" s="115">
        <f t="shared" si="52"/>
        <v>7.0649640000000069</v>
      </c>
      <c r="H384" s="115">
        <f t="shared" si="53"/>
        <v>4.6688916212893047E-2</v>
      </c>
      <c r="I384" s="116">
        <f t="shared" si="56"/>
        <v>59.210000000000029</v>
      </c>
      <c r="J384" s="116">
        <f t="shared" si="57"/>
        <v>-2.2800000000000296</v>
      </c>
      <c r="K384" s="116">
        <f t="shared" si="58"/>
        <v>2.2800000000000296</v>
      </c>
      <c r="L384" s="116">
        <f t="shared" si="59"/>
        <v>5.1984000000001345</v>
      </c>
      <c r="M384" s="117">
        <f t="shared" si="55"/>
        <v>-4.0049183207448262E-2</v>
      </c>
    </row>
    <row r="385" spans="1:13">
      <c r="A385" s="112">
        <v>382</v>
      </c>
      <c r="B385" s="113">
        <v>42188</v>
      </c>
      <c r="C385" s="114">
        <v>56.93</v>
      </c>
      <c r="D385" s="115">
        <f t="shared" si="54"/>
        <v>59.534500000000001</v>
      </c>
      <c r="E385" s="115">
        <f t="shared" si="50"/>
        <v>-2.6045000000000016</v>
      </c>
      <c r="F385" s="115">
        <f t="shared" si="51"/>
        <v>2.6045000000000016</v>
      </c>
      <c r="G385" s="115">
        <f t="shared" si="52"/>
        <v>6.7834202500000087</v>
      </c>
      <c r="H385" s="115">
        <f t="shared" si="53"/>
        <v>4.5749165642016539E-2</v>
      </c>
      <c r="I385" s="116">
        <f t="shared" si="56"/>
        <v>59.216800000000021</v>
      </c>
      <c r="J385" s="116">
        <f t="shared" si="57"/>
        <v>-2.2868000000000208</v>
      </c>
      <c r="K385" s="116">
        <f t="shared" si="58"/>
        <v>2.2868000000000208</v>
      </c>
      <c r="L385" s="116">
        <f t="shared" si="59"/>
        <v>5.229454240000095</v>
      </c>
      <c r="M385" s="117">
        <f t="shared" si="55"/>
        <v>-4.0168628139821201E-2</v>
      </c>
    </row>
    <row r="386" spans="1:13">
      <c r="A386" s="112">
        <v>383</v>
      </c>
      <c r="B386" s="107">
        <v>42191</v>
      </c>
      <c r="C386" s="108">
        <v>52.48</v>
      </c>
      <c r="D386" s="115">
        <f t="shared" si="54"/>
        <v>59.4255</v>
      </c>
      <c r="E386" s="115">
        <f t="shared" si="50"/>
        <v>-6.9455000000000027</v>
      </c>
      <c r="F386" s="115">
        <f t="shared" si="51"/>
        <v>6.9455000000000027</v>
      </c>
      <c r="G386" s="115">
        <f t="shared" si="52"/>
        <v>48.239970250000034</v>
      </c>
      <c r="H386" s="115">
        <f t="shared" si="53"/>
        <v>0.13234565548780494</v>
      </c>
      <c r="I386" s="116">
        <f t="shared" si="56"/>
        <v>59.235800000000019</v>
      </c>
      <c r="J386" s="116">
        <f t="shared" si="57"/>
        <v>-6.755800000000022</v>
      </c>
      <c r="K386" s="116">
        <f t="shared" si="58"/>
        <v>6.755800000000022</v>
      </c>
      <c r="L386" s="116">
        <f t="shared" si="59"/>
        <v>45.640833640000295</v>
      </c>
      <c r="M386" s="117">
        <f t="shared" si="55"/>
        <v>-0.12873094512195166</v>
      </c>
    </row>
    <row r="387" spans="1:13">
      <c r="A387" s="112">
        <v>384</v>
      </c>
      <c r="B387" s="113">
        <v>42192</v>
      </c>
      <c r="C387" s="114">
        <v>52.33</v>
      </c>
      <c r="D387" s="115">
        <f t="shared" si="54"/>
        <v>59.14200000000001</v>
      </c>
      <c r="E387" s="115">
        <f t="shared" si="50"/>
        <v>-6.8120000000000118</v>
      </c>
      <c r="F387" s="115">
        <f t="shared" si="51"/>
        <v>6.8120000000000118</v>
      </c>
      <c r="G387" s="115">
        <f t="shared" si="52"/>
        <v>46.40334400000016</v>
      </c>
      <c r="H387" s="115">
        <f t="shared" si="53"/>
        <v>0.13017389642652422</v>
      </c>
      <c r="I387" s="116">
        <f t="shared" si="56"/>
        <v>59.17420000000002</v>
      </c>
      <c r="J387" s="116">
        <f t="shared" si="57"/>
        <v>-6.844200000000022</v>
      </c>
      <c r="K387" s="116">
        <f t="shared" si="58"/>
        <v>6.844200000000022</v>
      </c>
      <c r="L387" s="116">
        <f t="shared" si="59"/>
        <v>46.843073640000298</v>
      </c>
      <c r="M387" s="117">
        <f t="shared" si="55"/>
        <v>-0.13078922224345543</v>
      </c>
    </row>
    <row r="388" spans="1:13">
      <c r="A388" s="112">
        <v>385</v>
      </c>
      <c r="B388" s="107">
        <v>42193</v>
      </c>
      <c r="C388" s="108">
        <v>51.61</v>
      </c>
      <c r="D388" s="115">
        <f t="shared" si="54"/>
        <v>58.750999999999991</v>
      </c>
      <c r="E388" s="115">
        <f t="shared" si="50"/>
        <v>-7.1409999999999911</v>
      </c>
      <c r="F388" s="115">
        <f t="shared" si="51"/>
        <v>7.1409999999999911</v>
      </c>
      <c r="G388" s="115">
        <f t="shared" si="52"/>
        <v>50.993880999999874</v>
      </c>
      <c r="H388" s="115">
        <f t="shared" si="53"/>
        <v>0.138364658012013</v>
      </c>
      <c r="I388" s="116">
        <f t="shared" si="56"/>
        <v>59.079800000000006</v>
      </c>
      <c r="J388" s="116">
        <f t="shared" si="57"/>
        <v>-7.4698000000000064</v>
      </c>
      <c r="K388" s="116">
        <f t="shared" si="58"/>
        <v>7.4698000000000064</v>
      </c>
      <c r="L388" s="116">
        <f t="shared" si="59"/>
        <v>55.797912040000099</v>
      </c>
      <c r="M388" s="117">
        <f t="shared" si="55"/>
        <v>-0.14473551637279611</v>
      </c>
    </row>
    <row r="389" spans="1:13">
      <c r="A389" s="112">
        <v>386</v>
      </c>
      <c r="B389" s="113">
        <v>42194</v>
      </c>
      <c r="C389" s="114">
        <v>52.76</v>
      </c>
      <c r="D389" s="115">
        <f t="shared" si="54"/>
        <v>58.263499999999986</v>
      </c>
      <c r="E389" s="115">
        <f t="shared" si="50"/>
        <v>-5.5034999999999883</v>
      </c>
      <c r="F389" s="115">
        <f t="shared" si="51"/>
        <v>5.5034999999999883</v>
      </c>
      <c r="G389" s="115">
        <f t="shared" si="52"/>
        <v>30.288512249999872</v>
      </c>
      <c r="H389" s="115">
        <f t="shared" si="53"/>
        <v>0.1043119787717966</v>
      </c>
      <c r="I389" s="116">
        <f t="shared" si="56"/>
        <v>58.94100000000001</v>
      </c>
      <c r="J389" s="116">
        <f t="shared" si="57"/>
        <v>-6.1810000000000116</v>
      </c>
      <c r="K389" s="116">
        <f t="shared" si="58"/>
        <v>6.1810000000000116</v>
      </c>
      <c r="L389" s="116">
        <f t="shared" si="59"/>
        <v>38.20476100000014</v>
      </c>
      <c r="M389" s="117">
        <f t="shared" si="55"/>
        <v>-0.11715314632297218</v>
      </c>
    </row>
    <row r="390" spans="1:13">
      <c r="A390" s="112">
        <v>387</v>
      </c>
      <c r="B390" s="107">
        <v>42195</v>
      </c>
      <c r="C390" s="108">
        <v>52.74</v>
      </c>
      <c r="D390" s="115">
        <f t="shared" si="54"/>
        <v>57.864499999999985</v>
      </c>
      <c r="E390" s="115">
        <f t="shared" si="50"/>
        <v>-5.1244999999999834</v>
      </c>
      <c r="F390" s="115">
        <f t="shared" si="51"/>
        <v>5.1244999999999834</v>
      </c>
      <c r="G390" s="115">
        <f t="shared" si="52"/>
        <v>26.260500249999829</v>
      </c>
      <c r="H390" s="115">
        <f t="shared" si="53"/>
        <v>9.7165339400833967E-2</v>
      </c>
      <c r="I390" s="116">
        <f t="shared" si="56"/>
        <v>58.803800000000017</v>
      </c>
      <c r="J390" s="116">
        <f t="shared" si="57"/>
        <v>-6.0638000000000147</v>
      </c>
      <c r="K390" s="116">
        <f t="shared" si="58"/>
        <v>6.0638000000000147</v>
      </c>
      <c r="L390" s="116">
        <f t="shared" si="59"/>
        <v>36.769670440000176</v>
      </c>
      <c r="M390" s="117">
        <f t="shared" si="55"/>
        <v>-0.11497535077739883</v>
      </c>
    </row>
    <row r="391" spans="1:13">
      <c r="A391" s="112">
        <v>388</v>
      </c>
      <c r="B391" s="113">
        <v>42198</v>
      </c>
      <c r="C391" s="114">
        <v>52.19</v>
      </c>
      <c r="D391" s="115">
        <f t="shared" si="54"/>
        <v>57.503499999999995</v>
      </c>
      <c r="E391" s="115">
        <f t="shared" si="50"/>
        <v>-5.3134999999999977</v>
      </c>
      <c r="F391" s="115">
        <f t="shared" si="51"/>
        <v>5.3134999999999977</v>
      </c>
      <c r="G391" s="115">
        <f t="shared" si="52"/>
        <v>28.233282249999974</v>
      </c>
      <c r="H391" s="115">
        <f t="shared" si="53"/>
        <v>0.10181069170339141</v>
      </c>
      <c r="I391" s="116">
        <f t="shared" si="56"/>
        <v>58.676600000000015</v>
      </c>
      <c r="J391" s="116">
        <f t="shared" si="57"/>
        <v>-6.486600000000017</v>
      </c>
      <c r="K391" s="116">
        <f t="shared" si="58"/>
        <v>6.486600000000017</v>
      </c>
      <c r="L391" s="116">
        <f t="shared" si="59"/>
        <v>42.075979560000221</v>
      </c>
      <c r="M391" s="117">
        <f t="shared" si="55"/>
        <v>-0.12428817781184168</v>
      </c>
    </row>
    <row r="392" spans="1:13">
      <c r="A392" s="112">
        <v>389</v>
      </c>
      <c r="B392" s="107">
        <v>42199</v>
      </c>
      <c r="C392" s="108">
        <v>53.05</v>
      </c>
      <c r="D392" s="115">
        <f t="shared" si="54"/>
        <v>57.136499999999998</v>
      </c>
      <c r="E392" s="115">
        <f t="shared" si="50"/>
        <v>-4.0865000000000009</v>
      </c>
      <c r="F392" s="115">
        <f t="shared" si="51"/>
        <v>4.0865000000000009</v>
      </c>
      <c r="G392" s="115">
        <f t="shared" si="52"/>
        <v>16.699482250000006</v>
      </c>
      <c r="H392" s="115">
        <f t="shared" si="53"/>
        <v>7.7031102733270518E-2</v>
      </c>
      <c r="I392" s="116">
        <f t="shared" si="56"/>
        <v>58.542000000000009</v>
      </c>
      <c r="J392" s="116">
        <f t="shared" si="57"/>
        <v>-5.4920000000000115</v>
      </c>
      <c r="K392" s="116">
        <f t="shared" si="58"/>
        <v>5.4920000000000115</v>
      </c>
      <c r="L392" s="116">
        <f t="shared" si="59"/>
        <v>30.162064000000125</v>
      </c>
      <c r="M392" s="117">
        <f t="shared" si="55"/>
        <v>-0.1035249764373235</v>
      </c>
    </row>
    <row r="393" spans="1:13">
      <c r="A393" s="112">
        <v>390</v>
      </c>
      <c r="B393" s="113">
        <v>42200</v>
      </c>
      <c r="C393" s="114">
        <v>51.4</v>
      </c>
      <c r="D393" s="115">
        <f t="shared" si="54"/>
        <v>56.788499999999999</v>
      </c>
      <c r="E393" s="115">
        <f t="shared" si="50"/>
        <v>-5.3885000000000005</v>
      </c>
      <c r="F393" s="115">
        <f t="shared" si="51"/>
        <v>5.3885000000000005</v>
      </c>
      <c r="G393" s="115">
        <f t="shared" si="52"/>
        <v>29.035932250000005</v>
      </c>
      <c r="H393" s="115">
        <f t="shared" si="53"/>
        <v>0.10483463035019457</v>
      </c>
      <c r="I393" s="116">
        <f t="shared" si="56"/>
        <v>58.395400000000009</v>
      </c>
      <c r="J393" s="116">
        <f t="shared" si="57"/>
        <v>-6.9954000000000107</v>
      </c>
      <c r="K393" s="116">
        <f t="shared" si="58"/>
        <v>6.9954000000000107</v>
      </c>
      <c r="L393" s="116">
        <f t="shared" si="59"/>
        <v>48.935621160000153</v>
      </c>
      <c r="M393" s="117">
        <f t="shared" si="55"/>
        <v>-0.13609727626459164</v>
      </c>
    </row>
    <row r="394" spans="1:13">
      <c r="A394" s="112">
        <v>391</v>
      </c>
      <c r="B394" s="107">
        <v>42201</v>
      </c>
      <c r="C394" s="108">
        <v>50.9</v>
      </c>
      <c r="D394" s="115">
        <f t="shared" si="54"/>
        <v>56.363999999999997</v>
      </c>
      <c r="E394" s="115">
        <f t="shared" si="50"/>
        <v>-5.4639999999999986</v>
      </c>
      <c r="F394" s="115">
        <f t="shared" si="51"/>
        <v>5.4639999999999986</v>
      </c>
      <c r="G394" s="115">
        <f t="shared" si="52"/>
        <v>29.855295999999985</v>
      </c>
      <c r="H394" s="115">
        <f t="shared" si="53"/>
        <v>0.10734774066797641</v>
      </c>
      <c r="I394" s="116">
        <f t="shared" si="56"/>
        <v>58.204800000000006</v>
      </c>
      <c r="J394" s="116">
        <f t="shared" si="57"/>
        <v>-7.3048000000000073</v>
      </c>
      <c r="K394" s="116">
        <f t="shared" si="58"/>
        <v>7.3048000000000073</v>
      </c>
      <c r="L394" s="116">
        <f t="shared" si="59"/>
        <v>53.360103040000105</v>
      </c>
      <c r="M394" s="117">
        <f t="shared" si="55"/>
        <v>-0.1435127701375247</v>
      </c>
    </row>
    <row r="395" spans="1:13">
      <c r="A395" s="112">
        <v>392</v>
      </c>
      <c r="B395" s="113">
        <v>42202</v>
      </c>
      <c r="C395" s="114">
        <v>50.88</v>
      </c>
      <c r="D395" s="115">
        <f t="shared" si="54"/>
        <v>55.888500000000008</v>
      </c>
      <c r="E395" s="115">
        <f t="shared" si="50"/>
        <v>-5.0085000000000051</v>
      </c>
      <c r="F395" s="115">
        <f t="shared" si="51"/>
        <v>5.0085000000000051</v>
      </c>
      <c r="G395" s="115">
        <f t="shared" si="52"/>
        <v>25.085072250000049</v>
      </c>
      <c r="H395" s="115">
        <f t="shared" si="53"/>
        <v>9.8437500000000094E-2</v>
      </c>
      <c r="I395" s="116">
        <f t="shared" si="56"/>
        <v>58.042999999999999</v>
      </c>
      <c r="J395" s="116">
        <f t="shared" si="57"/>
        <v>-7.1629999999999967</v>
      </c>
      <c r="K395" s="116">
        <f t="shared" si="58"/>
        <v>7.1629999999999967</v>
      </c>
      <c r="L395" s="116">
        <f t="shared" si="59"/>
        <v>51.308568999999956</v>
      </c>
      <c r="M395" s="117">
        <f t="shared" si="55"/>
        <v>-0.14078223270440243</v>
      </c>
    </row>
    <row r="396" spans="1:13">
      <c r="A396" s="112">
        <v>393</v>
      </c>
      <c r="B396" s="107">
        <v>42205</v>
      </c>
      <c r="C396" s="108">
        <v>50.11</v>
      </c>
      <c r="D396" s="115">
        <f t="shared" si="54"/>
        <v>55.451499999999996</v>
      </c>
      <c r="E396" s="115">
        <f t="shared" si="50"/>
        <v>-5.3414999999999964</v>
      </c>
      <c r="F396" s="115">
        <f t="shared" si="51"/>
        <v>5.3414999999999964</v>
      </c>
      <c r="G396" s="115">
        <f t="shared" si="52"/>
        <v>28.531622249999963</v>
      </c>
      <c r="H396" s="115">
        <f t="shared" si="53"/>
        <v>0.10659548992217115</v>
      </c>
      <c r="I396" s="116">
        <f t="shared" si="56"/>
        <v>57.872400000000006</v>
      </c>
      <c r="J396" s="116">
        <f t="shared" si="57"/>
        <v>-7.7624000000000066</v>
      </c>
      <c r="K396" s="116">
        <f t="shared" si="58"/>
        <v>7.7624000000000066</v>
      </c>
      <c r="L396" s="116">
        <f t="shared" si="59"/>
        <v>60.254853760000103</v>
      </c>
      <c r="M396" s="117">
        <f t="shared" si="55"/>
        <v>-0.15490720415086823</v>
      </c>
    </row>
    <row r="397" spans="1:13">
      <c r="A397" s="112">
        <v>394</v>
      </c>
      <c r="B397" s="113">
        <v>42206</v>
      </c>
      <c r="C397" s="114">
        <v>50.59</v>
      </c>
      <c r="D397" s="115">
        <f t="shared" si="54"/>
        <v>54.956499999999991</v>
      </c>
      <c r="E397" s="115">
        <f t="shared" si="50"/>
        <v>-4.3664999999999878</v>
      </c>
      <c r="F397" s="115">
        <f t="shared" si="51"/>
        <v>4.3664999999999878</v>
      </c>
      <c r="G397" s="115">
        <f t="shared" si="52"/>
        <v>19.066322249999892</v>
      </c>
      <c r="H397" s="115">
        <f t="shared" si="53"/>
        <v>8.631152401660383E-2</v>
      </c>
      <c r="I397" s="116">
        <f t="shared" si="56"/>
        <v>57.690000000000012</v>
      </c>
      <c r="J397" s="116">
        <f t="shared" si="57"/>
        <v>-7.1000000000000085</v>
      </c>
      <c r="K397" s="116">
        <f t="shared" si="58"/>
        <v>7.1000000000000085</v>
      </c>
      <c r="L397" s="116">
        <f t="shared" si="59"/>
        <v>50.410000000000124</v>
      </c>
      <c r="M397" s="117">
        <f t="shared" si="55"/>
        <v>-0.14034394149041329</v>
      </c>
    </row>
    <row r="398" spans="1:13">
      <c r="A398" s="112">
        <v>395</v>
      </c>
      <c r="B398" s="107">
        <v>42207</v>
      </c>
      <c r="C398" s="108">
        <v>49.27</v>
      </c>
      <c r="D398" s="115">
        <f t="shared" si="54"/>
        <v>54.433499999999995</v>
      </c>
      <c r="E398" s="115">
        <f t="shared" si="50"/>
        <v>-5.163499999999992</v>
      </c>
      <c r="F398" s="115">
        <f t="shared" si="51"/>
        <v>5.163499999999992</v>
      </c>
      <c r="G398" s="115">
        <f t="shared" si="52"/>
        <v>26.661732249999918</v>
      </c>
      <c r="H398" s="115">
        <f t="shared" si="53"/>
        <v>0.10480008118530529</v>
      </c>
      <c r="I398" s="116">
        <f t="shared" si="56"/>
        <v>57.487400000000008</v>
      </c>
      <c r="J398" s="116">
        <f t="shared" si="57"/>
        <v>-8.2174000000000049</v>
      </c>
      <c r="K398" s="116">
        <f t="shared" si="58"/>
        <v>8.2174000000000049</v>
      </c>
      <c r="L398" s="116">
        <f t="shared" si="59"/>
        <v>67.525662760000074</v>
      </c>
      <c r="M398" s="117">
        <f t="shared" si="55"/>
        <v>-0.16678303227115901</v>
      </c>
    </row>
    <row r="399" spans="1:13">
      <c r="A399" s="112">
        <v>396</v>
      </c>
      <c r="B399" s="113">
        <v>42208</v>
      </c>
      <c r="C399" s="114">
        <v>48.11</v>
      </c>
      <c r="D399" s="115">
        <f t="shared" si="54"/>
        <v>53.896499999999989</v>
      </c>
      <c r="E399" s="115">
        <f t="shared" si="50"/>
        <v>-5.7864999999999895</v>
      </c>
      <c r="F399" s="115">
        <f t="shared" si="51"/>
        <v>5.7864999999999895</v>
      </c>
      <c r="G399" s="115">
        <f t="shared" si="52"/>
        <v>33.483582249999877</v>
      </c>
      <c r="H399" s="115">
        <f t="shared" si="53"/>
        <v>0.12027644980253564</v>
      </c>
      <c r="I399" s="116">
        <f t="shared" si="56"/>
        <v>57.262800000000006</v>
      </c>
      <c r="J399" s="116">
        <f t="shared" si="57"/>
        <v>-9.1528000000000063</v>
      </c>
      <c r="K399" s="116">
        <f t="shared" si="58"/>
        <v>9.1528000000000063</v>
      </c>
      <c r="L399" s="116">
        <f t="shared" si="59"/>
        <v>83.773747840000112</v>
      </c>
      <c r="M399" s="117">
        <f t="shared" si="55"/>
        <v>-0.1902473498233217</v>
      </c>
    </row>
    <row r="400" spans="1:13">
      <c r="A400" s="112">
        <v>397</v>
      </c>
      <c r="B400" s="107">
        <v>42209</v>
      </c>
      <c r="C400" s="108">
        <v>47.98</v>
      </c>
      <c r="D400" s="115">
        <f t="shared" si="54"/>
        <v>53.322500000000005</v>
      </c>
      <c r="E400" s="115">
        <f t="shared" si="50"/>
        <v>-5.3425000000000082</v>
      </c>
      <c r="F400" s="115">
        <f t="shared" si="51"/>
        <v>5.3425000000000082</v>
      </c>
      <c r="G400" s="115">
        <f t="shared" si="52"/>
        <v>28.542306250000088</v>
      </c>
      <c r="H400" s="115">
        <f t="shared" si="53"/>
        <v>0.11134847853272214</v>
      </c>
      <c r="I400" s="116">
        <f t="shared" si="56"/>
        <v>57.027200000000015</v>
      </c>
      <c r="J400" s="116">
        <f t="shared" si="57"/>
        <v>-9.0472000000000179</v>
      </c>
      <c r="K400" s="116">
        <f t="shared" si="58"/>
        <v>9.0472000000000179</v>
      </c>
      <c r="L400" s="116">
        <f t="shared" si="59"/>
        <v>81.851827840000325</v>
      </c>
      <c r="M400" s="117">
        <f t="shared" si="55"/>
        <v>-0.18856190079199706</v>
      </c>
    </row>
    <row r="401" spans="1:13">
      <c r="A401" s="112">
        <v>398</v>
      </c>
      <c r="B401" s="113">
        <v>42212</v>
      </c>
      <c r="C401" s="114">
        <v>47.17</v>
      </c>
      <c r="D401" s="115">
        <f t="shared" si="54"/>
        <v>52.750999999999998</v>
      </c>
      <c r="E401" s="115">
        <f t="shared" si="50"/>
        <v>-5.580999999999996</v>
      </c>
      <c r="F401" s="115">
        <f t="shared" si="51"/>
        <v>5.580999999999996</v>
      </c>
      <c r="G401" s="115">
        <f t="shared" si="52"/>
        <v>31.147560999999953</v>
      </c>
      <c r="H401" s="115">
        <f t="shared" si="53"/>
        <v>0.11831672673309297</v>
      </c>
      <c r="I401" s="116">
        <f t="shared" si="56"/>
        <v>56.792200000000022</v>
      </c>
      <c r="J401" s="116">
        <f t="shared" si="57"/>
        <v>-9.6222000000000207</v>
      </c>
      <c r="K401" s="116">
        <f t="shared" si="58"/>
        <v>9.6222000000000207</v>
      </c>
      <c r="L401" s="116">
        <f t="shared" si="59"/>
        <v>92.586732840000394</v>
      </c>
      <c r="M401" s="117">
        <f t="shared" si="55"/>
        <v>-0.20398982404070426</v>
      </c>
    </row>
    <row r="402" spans="1:13">
      <c r="A402" s="112">
        <v>399</v>
      </c>
      <c r="B402" s="107">
        <v>42213</v>
      </c>
      <c r="C402" s="108">
        <v>47.97</v>
      </c>
      <c r="D402" s="115">
        <f t="shared" si="54"/>
        <v>52.192499999999995</v>
      </c>
      <c r="E402" s="115">
        <f t="shared" si="50"/>
        <v>-4.2224999999999966</v>
      </c>
      <c r="F402" s="115">
        <f t="shared" si="51"/>
        <v>4.2224999999999966</v>
      </c>
      <c r="G402" s="115">
        <f t="shared" si="52"/>
        <v>17.829506249999969</v>
      </c>
      <c r="H402" s="115">
        <f t="shared" si="53"/>
        <v>8.8023764853033079E-2</v>
      </c>
      <c r="I402" s="116">
        <f t="shared" si="56"/>
        <v>56.546800000000019</v>
      </c>
      <c r="J402" s="116">
        <f t="shared" si="57"/>
        <v>-8.57680000000002</v>
      </c>
      <c r="K402" s="116">
        <f t="shared" si="58"/>
        <v>8.57680000000002</v>
      </c>
      <c r="L402" s="116">
        <f t="shared" si="59"/>
        <v>73.561498240000347</v>
      </c>
      <c r="M402" s="117">
        <f t="shared" si="55"/>
        <v>-0.1787950802584953</v>
      </c>
    </row>
    <row r="403" spans="1:13">
      <c r="A403" s="112">
        <v>400</v>
      </c>
      <c r="B403" s="113">
        <v>42214</v>
      </c>
      <c r="C403" s="114">
        <v>48.77</v>
      </c>
      <c r="D403" s="115">
        <f t="shared" si="54"/>
        <v>51.616999999999997</v>
      </c>
      <c r="E403" s="115">
        <f t="shared" si="50"/>
        <v>-2.8469999999999942</v>
      </c>
      <c r="F403" s="115">
        <f t="shared" si="51"/>
        <v>2.8469999999999942</v>
      </c>
      <c r="G403" s="115">
        <f t="shared" si="52"/>
        <v>8.1054089999999661</v>
      </c>
      <c r="H403" s="115">
        <f t="shared" si="53"/>
        <v>5.837605085093283E-2</v>
      </c>
      <c r="I403" s="116">
        <f t="shared" si="56"/>
        <v>56.36020000000002</v>
      </c>
      <c r="J403" s="116">
        <f t="shared" si="57"/>
        <v>-7.5902000000000172</v>
      </c>
      <c r="K403" s="116">
        <f t="shared" si="58"/>
        <v>7.5902000000000172</v>
      </c>
      <c r="L403" s="116">
        <f t="shared" si="59"/>
        <v>57.611136040000261</v>
      </c>
      <c r="M403" s="117">
        <f t="shared" si="55"/>
        <v>-0.15563256100061548</v>
      </c>
    </row>
    <row r="404" spans="1:13">
      <c r="A404" s="112">
        <v>401</v>
      </c>
      <c r="B404" s="107">
        <v>42215</v>
      </c>
      <c r="C404" s="108">
        <v>48.53</v>
      </c>
      <c r="D404" s="115">
        <f t="shared" si="54"/>
        <v>51.208500000000001</v>
      </c>
      <c r="E404" s="115">
        <f t="shared" si="50"/>
        <v>-2.6784999999999997</v>
      </c>
      <c r="F404" s="115">
        <f t="shared" si="51"/>
        <v>2.6784999999999997</v>
      </c>
      <c r="G404" s="115">
        <f t="shared" si="52"/>
        <v>7.1743622499999979</v>
      </c>
      <c r="H404" s="115">
        <f t="shared" si="53"/>
        <v>5.5192664331341429E-2</v>
      </c>
      <c r="I404" s="116">
        <f t="shared" si="56"/>
        <v>56.156400000000019</v>
      </c>
      <c r="J404" s="116">
        <f t="shared" si="57"/>
        <v>-7.6264000000000181</v>
      </c>
      <c r="K404" s="116">
        <f t="shared" si="58"/>
        <v>7.6264000000000181</v>
      </c>
      <c r="L404" s="116">
        <f t="shared" si="59"/>
        <v>58.161976960000274</v>
      </c>
      <c r="M404" s="117">
        <f t="shared" si="55"/>
        <v>-0.1571481557799303</v>
      </c>
    </row>
    <row r="405" spans="1:13">
      <c r="A405" s="112">
        <v>402</v>
      </c>
      <c r="B405" s="113">
        <v>42216</v>
      </c>
      <c r="C405" s="114">
        <v>47.11</v>
      </c>
      <c r="D405" s="115">
        <f t="shared" si="54"/>
        <v>50.788499999999999</v>
      </c>
      <c r="E405" s="115">
        <f t="shared" si="50"/>
        <v>-3.6784999999999997</v>
      </c>
      <c r="F405" s="115">
        <f t="shared" si="51"/>
        <v>3.6784999999999997</v>
      </c>
      <c r="G405" s="115">
        <f t="shared" si="52"/>
        <v>13.531362249999997</v>
      </c>
      <c r="H405" s="115">
        <f t="shared" si="53"/>
        <v>7.8083209509658247E-2</v>
      </c>
      <c r="I405" s="116">
        <f t="shared" si="56"/>
        <v>55.923400000000022</v>
      </c>
      <c r="J405" s="116">
        <f t="shared" si="57"/>
        <v>-8.8134000000000228</v>
      </c>
      <c r="K405" s="116">
        <f t="shared" si="58"/>
        <v>8.8134000000000228</v>
      </c>
      <c r="L405" s="116">
        <f t="shared" si="59"/>
        <v>77.676019560000398</v>
      </c>
      <c r="M405" s="117">
        <f t="shared" si="55"/>
        <v>-0.18708129908724311</v>
      </c>
    </row>
    <row r="406" spans="1:13">
      <c r="A406" s="112">
        <v>403</v>
      </c>
      <c r="B406" s="107">
        <v>42219</v>
      </c>
      <c r="C406" s="108">
        <v>45.25</v>
      </c>
      <c r="D406" s="115">
        <f t="shared" si="54"/>
        <v>50.297499999999999</v>
      </c>
      <c r="E406" s="115">
        <f t="shared" si="50"/>
        <v>-5.0474999999999994</v>
      </c>
      <c r="F406" s="115">
        <f t="shared" si="51"/>
        <v>5.0474999999999994</v>
      </c>
      <c r="G406" s="115">
        <f t="shared" si="52"/>
        <v>25.477256249999993</v>
      </c>
      <c r="H406" s="115">
        <f t="shared" si="53"/>
        <v>0.11154696132596684</v>
      </c>
      <c r="I406" s="116">
        <f t="shared" si="56"/>
        <v>55.688000000000017</v>
      </c>
      <c r="J406" s="116">
        <f t="shared" si="57"/>
        <v>-10.438000000000017</v>
      </c>
      <c r="K406" s="116">
        <f t="shared" si="58"/>
        <v>10.438000000000017</v>
      </c>
      <c r="L406" s="116">
        <f t="shared" si="59"/>
        <v>108.95184400000035</v>
      </c>
      <c r="M406" s="117">
        <f t="shared" si="55"/>
        <v>-0.23067403314917165</v>
      </c>
    </row>
    <row r="407" spans="1:13">
      <c r="A407" s="112">
        <v>404</v>
      </c>
      <c r="B407" s="113">
        <v>42220</v>
      </c>
      <c r="C407" s="114">
        <v>45.75</v>
      </c>
      <c r="D407" s="115">
        <f t="shared" si="54"/>
        <v>49.935999999999993</v>
      </c>
      <c r="E407" s="115">
        <f t="shared" si="50"/>
        <v>-4.1859999999999928</v>
      </c>
      <c r="F407" s="115">
        <f t="shared" si="51"/>
        <v>4.1859999999999928</v>
      </c>
      <c r="G407" s="115">
        <f t="shared" si="52"/>
        <v>17.52259599999994</v>
      </c>
      <c r="H407" s="115">
        <f t="shared" si="53"/>
        <v>9.1497267759562684E-2</v>
      </c>
      <c r="I407" s="116">
        <f t="shared" si="56"/>
        <v>55.41540000000002</v>
      </c>
      <c r="J407" s="116">
        <f t="shared" si="57"/>
        <v>-9.6654000000000195</v>
      </c>
      <c r="K407" s="116">
        <f t="shared" si="58"/>
        <v>9.6654000000000195</v>
      </c>
      <c r="L407" s="116">
        <f t="shared" si="59"/>
        <v>93.419957160000379</v>
      </c>
      <c r="M407" s="117">
        <f t="shared" si="55"/>
        <v>-0.21126557377049224</v>
      </c>
    </row>
    <row r="408" spans="1:13">
      <c r="A408" s="112">
        <v>405</v>
      </c>
      <c r="B408" s="107">
        <v>42221</v>
      </c>
      <c r="C408" s="108">
        <v>45.13</v>
      </c>
      <c r="D408" s="115">
        <f t="shared" si="54"/>
        <v>49.606999999999999</v>
      </c>
      <c r="E408" s="115">
        <f t="shared" ref="E408:E471" si="60">C408-D408</f>
        <v>-4.4769999999999968</v>
      </c>
      <c r="F408" s="115">
        <f t="shared" ref="F408:F471" si="61">ABS(E408)</f>
        <v>4.4769999999999968</v>
      </c>
      <c r="G408" s="115">
        <f t="shared" ref="G408:G471" si="62">E408^2</f>
        <v>20.043528999999971</v>
      </c>
      <c r="H408" s="115">
        <f t="shared" ref="H408:H471" si="63">F408/C408</f>
        <v>9.9202304453800058E-2</v>
      </c>
      <c r="I408" s="116">
        <f t="shared" si="56"/>
        <v>55.18460000000001</v>
      </c>
      <c r="J408" s="116">
        <f t="shared" si="57"/>
        <v>-10.054600000000008</v>
      </c>
      <c r="K408" s="116">
        <f t="shared" si="58"/>
        <v>10.054600000000008</v>
      </c>
      <c r="L408" s="116">
        <f t="shared" si="59"/>
        <v>101.09498116000016</v>
      </c>
      <c r="M408" s="117">
        <f t="shared" si="55"/>
        <v>-0.2227919344116997</v>
      </c>
    </row>
    <row r="409" spans="1:13">
      <c r="A409" s="112">
        <v>406</v>
      </c>
      <c r="B409" s="113">
        <v>42222</v>
      </c>
      <c r="C409" s="114">
        <v>44.69</v>
      </c>
      <c r="D409" s="115">
        <f t="shared" si="54"/>
        <v>49.283000000000001</v>
      </c>
      <c r="E409" s="115">
        <f t="shared" si="60"/>
        <v>-4.5930000000000035</v>
      </c>
      <c r="F409" s="115">
        <f t="shared" si="61"/>
        <v>4.5930000000000035</v>
      </c>
      <c r="G409" s="115">
        <f t="shared" si="62"/>
        <v>21.095649000000034</v>
      </c>
      <c r="H409" s="115">
        <f t="shared" si="63"/>
        <v>0.10277466994853443</v>
      </c>
      <c r="I409" s="116">
        <f t="shared" si="56"/>
        <v>54.937000000000019</v>
      </c>
      <c r="J409" s="116">
        <f t="shared" si="57"/>
        <v>-10.247000000000021</v>
      </c>
      <c r="K409" s="116">
        <f t="shared" si="58"/>
        <v>10.247000000000021</v>
      </c>
      <c r="L409" s="116">
        <f t="shared" si="59"/>
        <v>105.00100900000044</v>
      </c>
      <c r="M409" s="117">
        <f t="shared" si="55"/>
        <v>-0.22929066905348</v>
      </c>
    </row>
    <row r="410" spans="1:13">
      <c r="A410" s="112">
        <v>407</v>
      </c>
      <c r="B410" s="107">
        <v>42223</v>
      </c>
      <c r="C410" s="108">
        <v>43.87</v>
      </c>
      <c r="D410" s="115">
        <f t="shared" ref="D410:D473" si="64">AVERAGE(C390:C409)</f>
        <v>48.879499999999993</v>
      </c>
      <c r="E410" s="115">
        <f t="shared" si="60"/>
        <v>-5.0094999999999956</v>
      </c>
      <c r="F410" s="115">
        <f t="shared" si="61"/>
        <v>5.0094999999999956</v>
      </c>
      <c r="G410" s="115">
        <f t="shared" si="62"/>
        <v>25.095090249999956</v>
      </c>
      <c r="H410" s="115">
        <f t="shared" si="63"/>
        <v>0.11418965124230672</v>
      </c>
      <c r="I410" s="116">
        <f t="shared" si="56"/>
        <v>54.677000000000014</v>
      </c>
      <c r="J410" s="116">
        <f t="shared" si="57"/>
        <v>-10.807000000000016</v>
      </c>
      <c r="K410" s="116">
        <f t="shared" si="58"/>
        <v>10.807000000000016</v>
      </c>
      <c r="L410" s="116">
        <f t="shared" si="59"/>
        <v>116.79124900000035</v>
      </c>
      <c r="M410" s="117">
        <f t="shared" si="55"/>
        <v>-0.24634146341463453</v>
      </c>
    </row>
    <row r="411" spans="1:13">
      <c r="A411" s="112">
        <v>408</v>
      </c>
      <c r="B411" s="113">
        <v>42226</v>
      </c>
      <c r="C411" s="114">
        <v>44.94</v>
      </c>
      <c r="D411" s="115">
        <f t="shared" si="64"/>
        <v>48.435999999999993</v>
      </c>
      <c r="E411" s="115">
        <f t="shared" si="60"/>
        <v>-3.4959999999999951</v>
      </c>
      <c r="F411" s="115">
        <f t="shared" si="61"/>
        <v>3.4959999999999951</v>
      </c>
      <c r="G411" s="115">
        <f t="shared" si="62"/>
        <v>12.222015999999966</v>
      </c>
      <c r="H411" s="115">
        <f t="shared" si="63"/>
        <v>7.7792612372051526E-2</v>
      </c>
      <c r="I411" s="116">
        <f t="shared" si="56"/>
        <v>54.349400000000017</v>
      </c>
      <c r="J411" s="116">
        <f t="shared" si="57"/>
        <v>-9.4094000000000193</v>
      </c>
      <c r="K411" s="116">
        <f t="shared" si="58"/>
        <v>9.4094000000000193</v>
      </c>
      <c r="L411" s="116">
        <f t="shared" si="59"/>
        <v>88.536808360000364</v>
      </c>
      <c r="M411" s="117">
        <f t="shared" si="55"/>
        <v>-0.20937694704049889</v>
      </c>
    </row>
    <row r="412" spans="1:13">
      <c r="A412" s="112">
        <v>409</v>
      </c>
      <c r="B412" s="107">
        <v>42227</v>
      </c>
      <c r="C412" s="108">
        <v>43.11</v>
      </c>
      <c r="D412" s="115">
        <f t="shared" si="64"/>
        <v>48.073499999999989</v>
      </c>
      <c r="E412" s="115">
        <f t="shared" si="60"/>
        <v>-4.9634999999999891</v>
      </c>
      <c r="F412" s="115">
        <f t="shared" si="61"/>
        <v>4.9634999999999891</v>
      </c>
      <c r="G412" s="115">
        <f t="shared" si="62"/>
        <v>24.636332249999892</v>
      </c>
      <c r="H412" s="115">
        <f t="shared" si="63"/>
        <v>0.11513569937369494</v>
      </c>
      <c r="I412" s="116">
        <f t="shared" si="56"/>
        <v>54.043400000000013</v>
      </c>
      <c r="J412" s="116">
        <f t="shared" si="57"/>
        <v>-10.933400000000013</v>
      </c>
      <c r="K412" s="116">
        <f t="shared" si="58"/>
        <v>10.933400000000013</v>
      </c>
      <c r="L412" s="116">
        <f t="shared" si="59"/>
        <v>119.53923556000029</v>
      </c>
      <c r="M412" s="117">
        <f t="shared" si="55"/>
        <v>-0.25361633031779202</v>
      </c>
    </row>
    <row r="413" spans="1:13">
      <c r="A413" s="112">
        <v>410</v>
      </c>
      <c r="B413" s="113">
        <v>42228</v>
      </c>
      <c r="C413" s="114">
        <v>43.22</v>
      </c>
      <c r="D413" s="115">
        <f t="shared" si="64"/>
        <v>47.576500000000003</v>
      </c>
      <c r="E413" s="115">
        <f t="shared" si="60"/>
        <v>-4.356500000000004</v>
      </c>
      <c r="F413" s="115">
        <f t="shared" si="61"/>
        <v>4.356500000000004</v>
      </c>
      <c r="G413" s="115">
        <f t="shared" si="62"/>
        <v>18.979092250000036</v>
      </c>
      <c r="H413" s="115">
        <f t="shared" si="63"/>
        <v>0.10079824155483583</v>
      </c>
      <c r="I413" s="116">
        <f t="shared" si="56"/>
        <v>53.679600000000008</v>
      </c>
      <c r="J413" s="116">
        <f t="shared" si="57"/>
        <v>-10.459600000000009</v>
      </c>
      <c r="K413" s="116">
        <f t="shared" si="58"/>
        <v>10.459600000000009</v>
      </c>
      <c r="L413" s="116">
        <f t="shared" si="59"/>
        <v>109.40323216000019</v>
      </c>
      <c r="M413" s="117">
        <f t="shared" si="55"/>
        <v>-0.24200832947709414</v>
      </c>
    </row>
    <row r="414" spans="1:13">
      <c r="A414" s="112">
        <v>411</v>
      </c>
      <c r="B414" s="107">
        <v>42229</v>
      </c>
      <c r="C414" s="108">
        <v>42.27</v>
      </c>
      <c r="D414" s="115">
        <f t="shared" si="64"/>
        <v>47.167500000000004</v>
      </c>
      <c r="E414" s="115">
        <f t="shared" si="60"/>
        <v>-4.8975000000000009</v>
      </c>
      <c r="F414" s="115">
        <f t="shared" si="61"/>
        <v>4.8975000000000009</v>
      </c>
      <c r="G414" s="115">
        <f t="shared" si="62"/>
        <v>23.985506250000007</v>
      </c>
      <c r="H414" s="115">
        <f t="shared" si="63"/>
        <v>0.11586231369765793</v>
      </c>
      <c r="I414" s="116">
        <f t="shared" si="56"/>
        <v>53.350600000000007</v>
      </c>
      <c r="J414" s="116">
        <f t="shared" si="57"/>
        <v>-11.080600000000004</v>
      </c>
      <c r="K414" s="116">
        <f t="shared" si="58"/>
        <v>11.080600000000004</v>
      </c>
      <c r="L414" s="116">
        <f t="shared" si="59"/>
        <v>122.77969636000009</v>
      </c>
      <c r="M414" s="117">
        <f t="shared" si="55"/>
        <v>-0.26213863259995274</v>
      </c>
    </row>
    <row r="415" spans="1:13">
      <c r="A415" s="112">
        <v>412</v>
      </c>
      <c r="B415" s="113">
        <v>42230</v>
      </c>
      <c r="C415" s="114">
        <v>42.45</v>
      </c>
      <c r="D415" s="115">
        <f t="shared" si="64"/>
        <v>46.735999999999997</v>
      </c>
      <c r="E415" s="115">
        <f t="shared" si="60"/>
        <v>-4.2859999999999943</v>
      </c>
      <c r="F415" s="115">
        <f t="shared" si="61"/>
        <v>4.2859999999999943</v>
      </c>
      <c r="G415" s="115">
        <f t="shared" si="62"/>
        <v>18.369795999999951</v>
      </c>
      <c r="H415" s="115">
        <f t="shared" si="63"/>
        <v>0.10096584216725546</v>
      </c>
      <c r="I415" s="116">
        <f t="shared" si="56"/>
        <v>53.036000000000001</v>
      </c>
      <c r="J415" s="116">
        <f t="shared" si="57"/>
        <v>-10.585999999999999</v>
      </c>
      <c r="K415" s="116">
        <f t="shared" si="58"/>
        <v>10.585999999999999</v>
      </c>
      <c r="L415" s="116">
        <f t="shared" si="59"/>
        <v>112.06339599999997</v>
      </c>
      <c r="M415" s="117">
        <f t="shared" si="55"/>
        <v>-0.2493757361601884</v>
      </c>
    </row>
    <row r="416" spans="1:13">
      <c r="A416" s="112">
        <v>413</v>
      </c>
      <c r="B416" s="107">
        <v>42233</v>
      </c>
      <c r="C416" s="108">
        <v>41.93</v>
      </c>
      <c r="D416" s="115">
        <f t="shared" si="64"/>
        <v>46.314499999999995</v>
      </c>
      <c r="E416" s="115">
        <f t="shared" si="60"/>
        <v>-4.3844999999999956</v>
      </c>
      <c r="F416" s="115">
        <f t="shared" si="61"/>
        <v>4.3844999999999956</v>
      </c>
      <c r="G416" s="115">
        <f t="shared" si="62"/>
        <v>19.223840249999963</v>
      </c>
      <c r="H416" s="115">
        <f t="shared" si="63"/>
        <v>0.10456713570236098</v>
      </c>
      <c r="I416" s="116">
        <f t="shared" si="56"/>
        <v>52.702799999999996</v>
      </c>
      <c r="J416" s="116">
        <f t="shared" si="57"/>
        <v>-10.772799999999997</v>
      </c>
      <c r="K416" s="116">
        <f t="shared" si="58"/>
        <v>10.772799999999997</v>
      </c>
      <c r="L416" s="116">
        <f t="shared" si="59"/>
        <v>116.05321983999993</v>
      </c>
      <c r="M416" s="117">
        <f t="shared" si="55"/>
        <v>-0.25692344383496296</v>
      </c>
    </row>
    <row r="417" spans="1:13">
      <c r="A417" s="112">
        <v>414</v>
      </c>
      <c r="B417" s="113">
        <v>42234</v>
      </c>
      <c r="C417" s="114">
        <v>42.58</v>
      </c>
      <c r="D417" s="115">
        <f t="shared" si="64"/>
        <v>45.905499999999996</v>
      </c>
      <c r="E417" s="115">
        <f t="shared" si="60"/>
        <v>-3.3254999999999981</v>
      </c>
      <c r="F417" s="115">
        <f t="shared" si="61"/>
        <v>3.3254999999999981</v>
      </c>
      <c r="G417" s="115">
        <f t="shared" si="62"/>
        <v>11.058950249999988</v>
      </c>
      <c r="H417" s="115">
        <f t="shared" si="63"/>
        <v>7.8100046970408607E-2</v>
      </c>
      <c r="I417" s="116">
        <f t="shared" si="56"/>
        <v>52.378399999999999</v>
      </c>
      <c r="J417" s="116">
        <f t="shared" si="57"/>
        <v>-9.7984000000000009</v>
      </c>
      <c r="K417" s="116">
        <f t="shared" si="58"/>
        <v>9.7984000000000009</v>
      </c>
      <c r="L417" s="116">
        <f t="shared" si="59"/>
        <v>96.008642560000013</v>
      </c>
      <c r="M417" s="117">
        <f t="shared" si="55"/>
        <v>-0.23011742602160642</v>
      </c>
    </row>
    <row r="418" spans="1:13">
      <c r="A418" s="112">
        <v>415</v>
      </c>
      <c r="B418" s="107">
        <v>42235</v>
      </c>
      <c r="C418" s="108">
        <v>40.75</v>
      </c>
      <c r="D418" s="115">
        <f t="shared" si="64"/>
        <v>45.505000000000003</v>
      </c>
      <c r="E418" s="115">
        <f t="shared" si="60"/>
        <v>-4.7550000000000026</v>
      </c>
      <c r="F418" s="115">
        <f t="shared" si="61"/>
        <v>4.7550000000000026</v>
      </c>
      <c r="G418" s="115">
        <f t="shared" si="62"/>
        <v>22.610025000000025</v>
      </c>
      <c r="H418" s="115">
        <f t="shared" si="63"/>
        <v>0.11668711656441724</v>
      </c>
      <c r="I418" s="116">
        <f t="shared" si="56"/>
        <v>52.026999999999987</v>
      </c>
      <c r="J418" s="116">
        <f t="shared" si="57"/>
        <v>-11.276999999999987</v>
      </c>
      <c r="K418" s="116">
        <f t="shared" si="58"/>
        <v>11.276999999999987</v>
      </c>
      <c r="L418" s="116">
        <f t="shared" si="59"/>
        <v>127.1707289999997</v>
      </c>
      <c r="M418" s="117">
        <f t="shared" si="55"/>
        <v>-0.27673619631901808</v>
      </c>
    </row>
    <row r="419" spans="1:13">
      <c r="A419" s="112">
        <v>416</v>
      </c>
      <c r="B419" s="113">
        <v>42236</v>
      </c>
      <c r="C419" s="114">
        <v>41</v>
      </c>
      <c r="D419" s="115">
        <f t="shared" si="64"/>
        <v>45.079000000000001</v>
      </c>
      <c r="E419" s="115">
        <f t="shared" si="60"/>
        <v>-4.0790000000000006</v>
      </c>
      <c r="F419" s="115">
        <f t="shared" si="61"/>
        <v>4.0790000000000006</v>
      </c>
      <c r="G419" s="115">
        <f t="shared" si="62"/>
        <v>16.638241000000004</v>
      </c>
      <c r="H419" s="115">
        <f t="shared" si="63"/>
        <v>9.9487804878048799E-2</v>
      </c>
      <c r="I419" s="116">
        <f t="shared" si="56"/>
        <v>51.614799999999988</v>
      </c>
      <c r="J419" s="116">
        <f t="shared" si="57"/>
        <v>-10.614799999999988</v>
      </c>
      <c r="K419" s="116">
        <f t="shared" si="58"/>
        <v>10.614799999999988</v>
      </c>
      <c r="L419" s="116">
        <f t="shared" si="59"/>
        <v>112.67397903999975</v>
      </c>
      <c r="M419" s="117">
        <f t="shared" si="55"/>
        <v>-0.25889756097560945</v>
      </c>
    </row>
    <row r="420" spans="1:13">
      <c r="A420" s="112">
        <v>417</v>
      </c>
      <c r="B420" s="107">
        <v>42237</v>
      </c>
      <c r="C420" s="108">
        <v>40.450000000000003</v>
      </c>
      <c r="D420" s="115">
        <f t="shared" si="64"/>
        <v>44.723500000000008</v>
      </c>
      <c r="E420" s="115">
        <f t="shared" si="60"/>
        <v>-4.2735000000000056</v>
      </c>
      <c r="F420" s="115">
        <f t="shared" si="61"/>
        <v>4.2735000000000056</v>
      </c>
      <c r="G420" s="115">
        <f t="shared" si="62"/>
        <v>18.26280225000005</v>
      </c>
      <c r="H420" s="115">
        <f t="shared" si="63"/>
        <v>0.10564894932014847</v>
      </c>
      <c r="I420" s="116">
        <f t="shared" si="56"/>
        <v>51.219999999999985</v>
      </c>
      <c r="J420" s="116">
        <f t="shared" si="57"/>
        <v>-10.769999999999982</v>
      </c>
      <c r="K420" s="116">
        <f t="shared" si="58"/>
        <v>10.769999999999982</v>
      </c>
      <c r="L420" s="116">
        <f t="shared" si="59"/>
        <v>115.99289999999961</v>
      </c>
      <c r="M420" s="117">
        <f t="shared" si="55"/>
        <v>-0.26625463535228633</v>
      </c>
    </row>
    <row r="421" spans="1:13">
      <c r="A421" s="112">
        <v>418</v>
      </c>
      <c r="B421" s="113">
        <v>42240</v>
      </c>
      <c r="C421" s="114">
        <v>38.22</v>
      </c>
      <c r="D421" s="115">
        <f t="shared" si="64"/>
        <v>44.347000000000001</v>
      </c>
      <c r="E421" s="115">
        <f t="shared" si="60"/>
        <v>-6.1270000000000024</v>
      </c>
      <c r="F421" s="115">
        <f t="shared" si="61"/>
        <v>6.1270000000000024</v>
      </c>
      <c r="G421" s="115">
        <f t="shared" si="62"/>
        <v>37.540129000000029</v>
      </c>
      <c r="H421" s="115">
        <f t="shared" si="63"/>
        <v>0.16030873888016753</v>
      </c>
      <c r="I421" s="116">
        <f t="shared" si="56"/>
        <v>50.829799999999985</v>
      </c>
      <c r="J421" s="116">
        <f t="shared" si="57"/>
        <v>-12.609799999999986</v>
      </c>
      <c r="K421" s="116">
        <f t="shared" si="58"/>
        <v>12.609799999999986</v>
      </c>
      <c r="L421" s="116">
        <f t="shared" si="59"/>
        <v>159.00705603999964</v>
      </c>
      <c r="M421" s="117">
        <f t="shared" si="55"/>
        <v>-0.32992673992673954</v>
      </c>
    </row>
    <row r="422" spans="1:13">
      <c r="A422" s="112">
        <v>419</v>
      </c>
      <c r="B422" s="107">
        <v>42241</v>
      </c>
      <c r="C422" s="108">
        <v>39.15</v>
      </c>
      <c r="D422" s="115">
        <f t="shared" si="64"/>
        <v>43.899500000000003</v>
      </c>
      <c r="E422" s="115">
        <f t="shared" si="60"/>
        <v>-4.7495000000000047</v>
      </c>
      <c r="F422" s="115">
        <f t="shared" si="61"/>
        <v>4.7495000000000047</v>
      </c>
      <c r="G422" s="115">
        <f t="shared" si="62"/>
        <v>22.557750250000044</v>
      </c>
      <c r="H422" s="115">
        <f t="shared" si="63"/>
        <v>0.12131545338441903</v>
      </c>
      <c r="I422" s="116">
        <f t="shared" si="56"/>
        <v>50.40359999999999</v>
      </c>
      <c r="J422" s="116">
        <f t="shared" si="57"/>
        <v>-11.253599999999992</v>
      </c>
      <c r="K422" s="116">
        <f t="shared" si="58"/>
        <v>11.253599999999992</v>
      </c>
      <c r="L422" s="116">
        <f t="shared" si="59"/>
        <v>126.64351295999981</v>
      </c>
      <c r="M422" s="117">
        <f t="shared" si="55"/>
        <v>-0.28744827586206878</v>
      </c>
    </row>
    <row r="423" spans="1:13">
      <c r="A423" s="112">
        <v>420</v>
      </c>
      <c r="B423" s="113">
        <v>42242</v>
      </c>
      <c r="C423" s="114">
        <v>38.5</v>
      </c>
      <c r="D423" s="115">
        <f t="shared" si="64"/>
        <v>43.458500000000001</v>
      </c>
      <c r="E423" s="115">
        <f t="shared" si="60"/>
        <v>-4.9585000000000008</v>
      </c>
      <c r="F423" s="115">
        <f t="shared" si="61"/>
        <v>4.9585000000000008</v>
      </c>
      <c r="G423" s="115">
        <f t="shared" si="62"/>
        <v>24.586722250000008</v>
      </c>
      <c r="H423" s="115">
        <f t="shared" si="63"/>
        <v>0.12879220779220782</v>
      </c>
      <c r="I423" s="116">
        <f t="shared" si="56"/>
        <v>49.986399999999982</v>
      </c>
      <c r="J423" s="116">
        <f t="shared" si="57"/>
        <v>-11.486399999999982</v>
      </c>
      <c r="K423" s="116">
        <f t="shared" si="58"/>
        <v>11.486399999999982</v>
      </c>
      <c r="L423" s="116">
        <f t="shared" si="59"/>
        <v>131.93738495999958</v>
      </c>
      <c r="M423" s="117">
        <f t="shared" si="55"/>
        <v>-0.29834805194805147</v>
      </c>
    </row>
    <row r="424" spans="1:13">
      <c r="A424" s="112">
        <v>421</v>
      </c>
      <c r="B424" s="107">
        <v>42243</v>
      </c>
      <c r="C424" s="108">
        <v>42.47</v>
      </c>
      <c r="D424" s="115">
        <f t="shared" si="64"/>
        <v>42.945000000000007</v>
      </c>
      <c r="E424" s="115">
        <f t="shared" si="60"/>
        <v>-0.47500000000000853</v>
      </c>
      <c r="F424" s="115">
        <f t="shared" si="61"/>
        <v>0.47500000000000853</v>
      </c>
      <c r="G424" s="115">
        <f t="shared" si="62"/>
        <v>0.2256250000000081</v>
      </c>
      <c r="H424" s="115">
        <f t="shared" si="63"/>
        <v>1.11843654344245E-2</v>
      </c>
      <c r="I424" s="116">
        <f t="shared" si="56"/>
        <v>49.558599999999977</v>
      </c>
      <c r="J424" s="116">
        <f t="shared" si="57"/>
        <v>-7.0885999999999783</v>
      </c>
      <c r="K424" s="116">
        <f t="shared" si="58"/>
        <v>7.0885999999999783</v>
      </c>
      <c r="L424" s="116">
        <f t="shared" si="59"/>
        <v>50.24824995999969</v>
      </c>
      <c r="M424" s="117">
        <f t="shared" si="55"/>
        <v>-0.16690840593359968</v>
      </c>
    </row>
    <row r="425" spans="1:13">
      <c r="A425" s="112">
        <v>422</v>
      </c>
      <c r="B425" s="113">
        <v>42244</v>
      </c>
      <c r="C425" s="114">
        <v>45.29</v>
      </c>
      <c r="D425" s="115">
        <f t="shared" si="64"/>
        <v>42.64200000000001</v>
      </c>
      <c r="E425" s="115">
        <f t="shared" si="60"/>
        <v>2.647999999999989</v>
      </c>
      <c r="F425" s="115">
        <f t="shared" si="61"/>
        <v>2.647999999999989</v>
      </c>
      <c r="G425" s="115">
        <f t="shared" si="62"/>
        <v>7.0119039999999417</v>
      </c>
      <c r="H425" s="115">
        <f t="shared" si="63"/>
        <v>5.846765290351047E-2</v>
      </c>
      <c r="I425" s="116">
        <f t="shared" si="56"/>
        <v>49.199799999999989</v>
      </c>
      <c r="J425" s="116">
        <f t="shared" si="57"/>
        <v>-3.90979999999999</v>
      </c>
      <c r="K425" s="116">
        <f t="shared" si="58"/>
        <v>3.90979999999999</v>
      </c>
      <c r="L425" s="116">
        <f t="shared" si="59"/>
        <v>15.286536039999921</v>
      </c>
      <c r="M425" s="117">
        <f t="shared" si="55"/>
        <v>-8.6328107750054978E-2</v>
      </c>
    </row>
    <row r="426" spans="1:13">
      <c r="A426" s="112">
        <v>423</v>
      </c>
      <c r="B426" s="107">
        <v>42247</v>
      </c>
      <c r="C426" s="108">
        <v>49.2</v>
      </c>
      <c r="D426" s="115">
        <f t="shared" si="64"/>
        <v>42.551000000000002</v>
      </c>
      <c r="E426" s="115">
        <f t="shared" si="60"/>
        <v>6.6490000000000009</v>
      </c>
      <c r="F426" s="115">
        <f t="shared" si="61"/>
        <v>6.6490000000000009</v>
      </c>
      <c r="G426" s="115">
        <f t="shared" si="62"/>
        <v>44.209201000000014</v>
      </c>
      <c r="H426" s="115">
        <f t="shared" si="63"/>
        <v>0.13514227642276425</v>
      </c>
      <c r="I426" s="116">
        <f t="shared" si="56"/>
        <v>48.913199999999982</v>
      </c>
      <c r="J426" s="116">
        <f t="shared" si="57"/>
        <v>0.28680000000002082</v>
      </c>
      <c r="K426" s="116">
        <f t="shared" si="58"/>
        <v>0.28680000000002082</v>
      </c>
      <c r="L426" s="116">
        <f t="shared" si="59"/>
        <v>8.2254240000011941E-2</v>
      </c>
      <c r="M426" s="117">
        <f t="shared" si="55"/>
        <v>5.8292682926833492E-3</v>
      </c>
    </row>
    <row r="427" spans="1:13">
      <c r="A427" s="112">
        <v>424</v>
      </c>
      <c r="B427" s="113">
        <v>42248</v>
      </c>
      <c r="C427" s="114">
        <v>45.38</v>
      </c>
      <c r="D427" s="115">
        <f t="shared" si="64"/>
        <v>42.748500000000007</v>
      </c>
      <c r="E427" s="115">
        <f t="shared" si="60"/>
        <v>2.6314999999999955</v>
      </c>
      <c r="F427" s="115">
        <f t="shared" si="61"/>
        <v>2.6314999999999955</v>
      </c>
      <c r="G427" s="115">
        <f t="shared" si="62"/>
        <v>6.9247922499999763</v>
      </c>
      <c r="H427" s="115">
        <f t="shared" si="63"/>
        <v>5.7988100484794962E-2</v>
      </c>
      <c r="I427" s="116">
        <f t="shared" si="56"/>
        <v>48.696999999999981</v>
      </c>
      <c r="J427" s="116">
        <f t="shared" si="57"/>
        <v>-3.3169999999999789</v>
      </c>
      <c r="K427" s="116">
        <f t="shared" si="58"/>
        <v>3.3169999999999789</v>
      </c>
      <c r="L427" s="116">
        <f t="shared" si="59"/>
        <v>11.00248899999986</v>
      </c>
      <c r="M427" s="117">
        <f t="shared" si="55"/>
        <v>-7.3093873953282915E-2</v>
      </c>
    </row>
    <row r="428" spans="1:13">
      <c r="A428" s="112">
        <v>425</v>
      </c>
      <c r="B428" s="107">
        <v>42249</v>
      </c>
      <c r="C428" s="108">
        <v>46.3</v>
      </c>
      <c r="D428" s="115">
        <f t="shared" si="64"/>
        <v>42.730000000000004</v>
      </c>
      <c r="E428" s="115">
        <f t="shared" si="60"/>
        <v>3.5699999999999932</v>
      </c>
      <c r="F428" s="115">
        <f t="shared" si="61"/>
        <v>3.5699999999999932</v>
      </c>
      <c r="G428" s="115">
        <f t="shared" si="62"/>
        <v>12.744899999999951</v>
      </c>
      <c r="H428" s="115">
        <f t="shared" si="63"/>
        <v>7.7105831533477179E-2</v>
      </c>
      <c r="I428" s="116">
        <f t="shared" si="56"/>
        <v>48.38359999999998</v>
      </c>
      <c r="J428" s="116">
        <f t="shared" si="57"/>
        <v>-2.0835999999999828</v>
      </c>
      <c r="K428" s="116">
        <f t="shared" si="58"/>
        <v>2.0835999999999828</v>
      </c>
      <c r="L428" s="116">
        <f t="shared" si="59"/>
        <v>4.3413889599999287</v>
      </c>
      <c r="M428" s="117">
        <f t="shared" si="55"/>
        <v>-4.5002159827213457E-2</v>
      </c>
    </row>
    <row r="429" spans="1:13">
      <c r="A429" s="112">
        <v>426</v>
      </c>
      <c r="B429" s="113">
        <v>42250</v>
      </c>
      <c r="C429" s="114">
        <v>46.75</v>
      </c>
      <c r="D429" s="115">
        <f t="shared" si="64"/>
        <v>42.788499999999999</v>
      </c>
      <c r="E429" s="115">
        <f t="shared" si="60"/>
        <v>3.9615000000000009</v>
      </c>
      <c r="F429" s="115">
        <f t="shared" si="61"/>
        <v>3.9615000000000009</v>
      </c>
      <c r="G429" s="115">
        <f t="shared" si="62"/>
        <v>15.693482250000008</v>
      </c>
      <c r="H429" s="115">
        <f t="shared" si="63"/>
        <v>8.4737967914438522E-2</v>
      </c>
      <c r="I429" s="116">
        <f t="shared" si="56"/>
        <v>48.109399999999987</v>
      </c>
      <c r="J429" s="116">
        <f t="shared" si="57"/>
        <v>-1.3593999999999866</v>
      </c>
      <c r="K429" s="116">
        <f t="shared" si="58"/>
        <v>1.3593999999999866</v>
      </c>
      <c r="L429" s="116">
        <f t="shared" si="59"/>
        <v>1.8479683599999637</v>
      </c>
      <c r="M429" s="117">
        <f t="shared" si="55"/>
        <v>-2.9078074866309873E-2</v>
      </c>
    </row>
    <row r="430" spans="1:13">
      <c r="A430" s="112">
        <v>427</v>
      </c>
      <c r="B430" s="107">
        <v>42251</v>
      </c>
      <c r="C430" s="108">
        <v>46.02</v>
      </c>
      <c r="D430" s="115">
        <f t="shared" si="64"/>
        <v>42.891499999999994</v>
      </c>
      <c r="E430" s="115">
        <f t="shared" si="60"/>
        <v>3.1285000000000096</v>
      </c>
      <c r="F430" s="115">
        <f t="shared" si="61"/>
        <v>3.1285000000000096</v>
      </c>
      <c r="G430" s="115">
        <f t="shared" si="62"/>
        <v>9.7875122500000593</v>
      </c>
      <c r="H430" s="115">
        <f t="shared" si="63"/>
        <v>6.7981312472838104E-2</v>
      </c>
      <c r="I430" s="116">
        <f t="shared" si="56"/>
        <v>47.852600000000002</v>
      </c>
      <c r="J430" s="116">
        <f t="shared" si="57"/>
        <v>-1.8325999999999993</v>
      </c>
      <c r="K430" s="116">
        <f t="shared" si="58"/>
        <v>1.8325999999999993</v>
      </c>
      <c r="L430" s="116">
        <f t="shared" si="59"/>
        <v>3.3584227599999976</v>
      </c>
      <c r="M430" s="117">
        <f t="shared" si="55"/>
        <v>-3.98218166014776E-2</v>
      </c>
    </row>
    <row r="431" spans="1:13">
      <c r="A431" s="112">
        <v>428</v>
      </c>
      <c r="B431" s="113">
        <v>42254</v>
      </c>
      <c r="C431" s="114">
        <v>46.02</v>
      </c>
      <c r="D431" s="115">
        <f t="shared" si="64"/>
        <v>42.998999999999995</v>
      </c>
      <c r="E431" s="115">
        <f t="shared" si="60"/>
        <v>3.0210000000000079</v>
      </c>
      <c r="F431" s="115">
        <f t="shared" si="61"/>
        <v>3.0210000000000079</v>
      </c>
      <c r="G431" s="115">
        <f t="shared" si="62"/>
        <v>9.1264410000000478</v>
      </c>
      <c r="H431" s="115">
        <f t="shared" si="63"/>
        <v>6.5645371577575135E-2</v>
      </c>
      <c r="I431" s="116">
        <f t="shared" si="56"/>
        <v>47.584799999999994</v>
      </c>
      <c r="J431" s="116">
        <f t="shared" si="57"/>
        <v>-1.5647999999999911</v>
      </c>
      <c r="K431" s="116">
        <f t="shared" si="58"/>
        <v>1.5647999999999911</v>
      </c>
      <c r="L431" s="116">
        <f t="shared" si="59"/>
        <v>2.448599039999972</v>
      </c>
      <c r="M431" s="117">
        <f t="shared" si="55"/>
        <v>-3.4002607561929403E-2</v>
      </c>
    </row>
    <row r="432" spans="1:13">
      <c r="A432" s="112">
        <v>429</v>
      </c>
      <c r="B432" s="107">
        <v>42255</v>
      </c>
      <c r="C432" s="108">
        <v>45.92</v>
      </c>
      <c r="D432" s="115">
        <f t="shared" si="64"/>
        <v>43.052999999999997</v>
      </c>
      <c r="E432" s="115">
        <f t="shared" si="60"/>
        <v>2.8670000000000044</v>
      </c>
      <c r="F432" s="115">
        <f t="shared" si="61"/>
        <v>2.8670000000000044</v>
      </c>
      <c r="G432" s="115">
        <f t="shared" si="62"/>
        <v>8.2196890000000256</v>
      </c>
      <c r="H432" s="115">
        <f t="shared" si="63"/>
        <v>6.243466898954713E-2</v>
      </c>
      <c r="I432" s="116">
        <f t="shared" si="56"/>
        <v>47.3384</v>
      </c>
      <c r="J432" s="116">
        <f t="shared" si="57"/>
        <v>-1.4183999999999983</v>
      </c>
      <c r="K432" s="116">
        <f t="shared" si="58"/>
        <v>1.4183999999999983</v>
      </c>
      <c r="L432" s="116">
        <f t="shared" si="59"/>
        <v>2.0118585599999954</v>
      </c>
      <c r="M432" s="117">
        <f t="shared" si="55"/>
        <v>-3.0888501742160242E-2</v>
      </c>
    </row>
    <row r="433" spans="1:13">
      <c r="A433" s="112">
        <v>430</v>
      </c>
      <c r="B433" s="113">
        <v>42256</v>
      </c>
      <c r="C433" s="114">
        <v>44.13</v>
      </c>
      <c r="D433" s="115">
        <f t="shared" si="64"/>
        <v>43.193499999999993</v>
      </c>
      <c r="E433" s="115">
        <f t="shared" si="60"/>
        <v>0.93650000000000944</v>
      </c>
      <c r="F433" s="115">
        <f t="shared" si="61"/>
        <v>0.93650000000000944</v>
      </c>
      <c r="G433" s="115">
        <f t="shared" si="62"/>
        <v>0.87703225000001772</v>
      </c>
      <c r="H433" s="115">
        <f t="shared" si="63"/>
        <v>2.1221391343757293E-2</v>
      </c>
      <c r="I433" s="116">
        <f t="shared" si="56"/>
        <v>47.0672</v>
      </c>
      <c r="J433" s="116">
        <f t="shared" si="57"/>
        <v>-2.9371999999999971</v>
      </c>
      <c r="K433" s="116">
        <f t="shared" si="58"/>
        <v>2.9371999999999971</v>
      </c>
      <c r="L433" s="116">
        <f t="shared" si="59"/>
        <v>8.6271438399999827</v>
      </c>
      <c r="M433" s="117">
        <f t="shared" si="55"/>
        <v>-6.6557897122139068E-2</v>
      </c>
    </row>
    <row r="434" spans="1:13">
      <c r="A434" s="112">
        <v>431</v>
      </c>
      <c r="B434" s="107">
        <v>42257</v>
      </c>
      <c r="C434" s="108">
        <v>45.85</v>
      </c>
      <c r="D434" s="115">
        <f t="shared" si="64"/>
        <v>43.23899999999999</v>
      </c>
      <c r="E434" s="115">
        <f t="shared" si="60"/>
        <v>2.6110000000000113</v>
      </c>
      <c r="F434" s="115">
        <f t="shared" si="61"/>
        <v>2.6110000000000113</v>
      </c>
      <c r="G434" s="115">
        <f t="shared" si="62"/>
        <v>6.8173210000000593</v>
      </c>
      <c r="H434" s="115">
        <f t="shared" si="63"/>
        <v>5.6946564885496431E-2</v>
      </c>
      <c r="I434" s="116">
        <f t="shared" si="56"/>
        <v>46.811000000000014</v>
      </c>
      <c r="J434" s="116">
        <f t="shared" si="57"/>
        <v>-0.96100000000001273</v>
      </c>
      <c r="K434" s="116">
        <f t="shared" si="58"/>
        <v>0.96100000000001273</v>
      </c>
      <c r="L434" s="116">
        <f t="shared" si="59"/>
        <v>0.92352100000002446</v>
      </c>
      <c r="M434" s="117">
        <f t="shared" si="55"/>
        <v>-2.0959651035987192E-2</v>
      </c>
    </row>
    <row r="435" spans="1:13">
      <c r="A435" s="112">
        <v>432</v>
      </c>
      <c r="B435" s="113">
        <v>42258</v>
      </c>
      <c r="C435" s="114">
        <v>44.75</v>
      </c>
      <c r="D435" s="115">
        <f t="shared" si="64"/>
        <v>43.417999999999992</v>
      </c>
      <c r="E435" s="115">
        <f t="shared" si="60"/>
        <v>1.3320000000000078</v>
      </c>
      <c r="F435" s="115">
        <f t="shared" si="61"/>
        <v>1.3320000000000078</v>
      </c>
      <c r="G435" s="115">
        <f t="shared" si="62"/>
        <v>1.7742240000000209</v>
      </c>
      <c r="H435" s="115">
        <f t="shared" si="63"/>
        <v>2.9765363128491797E-2</v>
      </c>
      <c r="I435" s="116">
        <f t="shared" si="56"/>
        <v>46.589400000000005</v>
      </c>
      <c r="J435" s="116">
        <f t="shared" si="57"/>
        <v>-1.8394000000000048</v>
      </c>
      <c r="K435" s="116">
        <f t="shared" si="58"/>
        <v>1.8394000000000048</v>
      </c>
      <c r="L435" s="116">
        <f t="shared" si="59"/>
        <v>3.3833923600000175</v>
      </c>
      <c r="M435" s="117">
        <f t="shared" si="55"/>
        <v>-4.1103910614525251E-2</v>
      </c>
    </row>
    <row r="436" spans="1:13">
      <c r="A436" s="112">
        <v>433</v>
      </c>
      <c r="B436" s="107">
        <v>42261</v>
      </c>
      <c r="C436" s="108">
        <v>44.07</v>
      </c>
      <c r="D436" s="115">
        <f t="shared" si="64"/>
        <v>43.532999999999994</v>
      </c>
      <c r="E436" s="115">
        <f t="shared" si="60"/>
        <v>0.53700000000000614</v>
      </c>
      <c r="F436" s="115">
        <f t="shared" si="61"/>
        <v>0.53700000000000614</v>
      </c>
      <c r="G436" s="115">
        <f t="shared" si="62"/>
        <v>0.28836900000000659</v>
      </c>
      <c r="H436" s="115">
        <f t="shared" si="63"/>
        <v>1.2185159972770731E-2</v>
      </c>
      <c r="I436" s="116">
        <f t="shared" si="56"/>
        <v>46.345800000000011</v>
      </c>
      <c r="J436" s="116">
        <f t="shared" si="57"/>
        <v>-2.2758000000000109</v>
      </c>
      <c r="K436" s="116">
        <f t="shared" si="58"/>
        <v>2.2758000000000109</v>
      </c>
      <c r="L436" s="116">
        <f t="shared" si="59"/>
        <v>5.1792656400000494</v>
      </c>
      <c r="M436" s="117">
        <f t="shared" si="55"/>
        <v>-5.1640571817563215E-2</v>
      </c>
    </row>
    <row r="437" spans="1:13">
      <c r="A437" s="112">
        <v>434</v>
      </c>
      <c r="B437" s="113">
        <v>42262</v>
      </c>
      <c r="C437" s="114">
        <v>44.58</v>
      </c>
      <c r="D437" s="115">
        <f t="shared" si="64"/>
        <v>43.64</v>
      </c>
      <c r="E437" s="115">
        <f t="shared" si="60"/>
        <v>0.93999999999999773</v>
      </c>
      <c r="F437" s="115">
        <f t="shared" si="61"/>
        <v>0.93999999999999773</v>
      </c>
      <c r="G437" s="115">
        <f t="shared" si="62"/>
        <v>0.88359999999999572</v>
      </c>
      <c r="H437" s="115">
        <f t="shared" si="63"/>
        <v>2.1085688649618614E-2</v>
      </c>
      <c r="I437" s="116">
        <f t="shared" si="56"/>
        <v>46.177600000000012</v>
      </c>
      <c r="J437" s="116">
        <f t="shared" si="57"/>
        <v>-1.5976000000000141</v>
      </c>
      <c r="K437" s="116">
        <f t="shared" si="58"/>
        <v>1.5976000000000141</v>
      </c>
      <c r="L437" s="116">
        <f t="shared" si="59"/>
        <v>2.5523257600000453</v>
      </c>
      <c r="M437" s="117">
        <f t="shared" si="55"/>
        <v>-3.5836698070884125E-2</v>
      </c>
    </row>
    <row r="438" spans="1:13">
      <c r="A438" s="112">
        <v>435</v>
      </c>
      <c r="B438" s="107">
        <v>42263</v>
      </c>
      <c r="C438" s="108">
        <v>47.12</v>
      </c>
      <c r="D438" s="115">
        <f t="shared" si="64"/>
        <v>43.74</v>
      </c>
      <c r="E438" s="115">
        <f t="shared" si="60"/>
        <v>3.3799999999999955</v>
      </c>
      <c r="F438" s="115">
        <f t="shared" si="61"/>
        <v>3.3799999999999955</v>
      </c>
      <c r="G438" s="115">
        <f t="shared" si="62"/>
        <v>11.42439999999997</v>
      </c>
      <c r="H438" s="115">
        <f t="shared" si="63"/>
        <v>7.1731748726655262E-2</v>
      </c>
      <c r="I438" s="116">
        <f t="shared" si="56"/>
        <v>46.022600000000004</v>
      </c>
      <c r="J438" s="116">
        <f t="shared" si="57"/>
        <v>1.0973999999999933</v>
      </c>
      <c r="K438" s="116">
        <f t="shared" si="58"/>
        <v>1.0973999999999933</v>
      </c>
      <c r="L438" s="116">
        <f t="shared" si="59"/>
        <v>1.2042867599999851</v>
      </c>
      <c r="M438" s="117">
        <f t="shared" si="55"/>
        <v>2.3289473684210384E-2</v>
      </c>
    </row>
    <row r="439" spans="1:13">
      <c r="A439" s="112">
        <v>436</v>
      </c>
      <c r="B439" s="113">
        <v>42264</v>
      </c>
      <c r="C439" s="114">
        <v>46.93</v>
      </c>
      <c r="D439" s="115">
        <f t="shared" si="64"/>
        <v>44.058500000000002</v>
      </c>
      <c r="E439" s="115">
        <f t="shared" si="60"/>
        <v>2.8714999999999975</v>
      </c>
      <c r="F439" s="115">
        <f t="shared" si="61"/>
        <v>2.8714999999999975</v>
      </c>
      <c r="G439" s="115">
        <f t="shared" si="62"/>
        <v>8.2455122499999849</v>
      </c>
      <c r="H439" s="115">
        <f t="shared" si="63"/>
        <v>6.1186874067760438E-2</v>
      </c>
      <c r="I439" s="116">
        <f t="shared" si="56"/>
        <v>45.9328</v>
      </c>
      <c r="J439" s="116">
        <f t="shared" si="57"/>
        <v>0.99719999999999942</v>
      </c>
      <c r="K439" s="116">
        <f t="shared" si="58"/>
        <v>0.99719999999999942</v>
      </c>
      <c r="L439" s="116">
        <f t="shared" si="59"/>
        <v>0.99440783999999882</v>
      </c>
      <c r="M439" s="117">
        <f t="shared" ref="M439:M502" si="65">J439/C439</f>
        <v>2.1248668229277637E-2</v>
      </c>
    </row>
    <row r="440" spans="1:13">
      <c r="A440" s="112">
        <v>437</v>
      </c>
      <c r="B440" s="107">
        <v>42265</v>
      </c>
      <c r="C440" s="108">
        <v>44.71</v>
      </c>
      <c r="D440" s="115">
        <f t="shared" si="64"/>
        <v>44.355000000000004</v>
      </c>
      <c r="E440" s="115">
        <f t="shared" si="60"/>
        <v>0.35499999999999687</v>
      </c>
      <c r="F440" s="115">
        <f t="shared" si="61"/>
        <v>0.35499999999999687</v>
      </c>
      <c r="G440" s="115">
        <f t="shared" si="62"/>
        <v>0.12602499999999778</v>
      </c>
      <c r="H440" s="115">
        <f t="shared" si="63"/>
        <v>7.9400581525385112E-3</v>
      </c>
      <c r="I440" s="116">
        <f t="shared" ref="I440:I503" si="66">AVERAGE(C390:C439)</f>
        <v>45.816200000000002</v>
      </c>
      <c r="J440" s="116">
        <f t="shared" ref="J440:J503" si="67">C440-I440</f>
        <v>-1.1062000000000012</v>
      </c>
      <c r="K440" s="116">
        <f t="shared" ref="K440:K503" si="68">ABS(J440)</f>
        <v>1.1062000000000012</v>
      </c>
      <c r="L440" s="116">
        <f t="shared" ref="L440:L503" si="69">J440^2</f>
        <v>1.2236784400000027</v>
      </c>
      <c r="M440" s="117">
        <f t="shared" si="65"/>
        <v>-2.4741668530530107E-2</v>
      </c>
    </row>
    <row r="441" spans="1:13">
      <c r="A441" s="112">
        <v>438</v>
      </c>
      <c r="B441" s="113">
        <v>42268</v>
      </c>
      <c r="C441" s="114">
        <v>46.67</v>
      </c>
      <c r="D441" s="115">
        <f t="shared" si="64"/>
        <v>44.567999999999998</v>
      </c>
      <c r="E441" s="115">
        <f t="shared" si="60"/>
        <v>2.1020000000000039</v>
      </c>
      <c r="F441" s="115">
        <f t="shared" si="61"/>
        <v>2.1020000000000039</v>
      </c>
      <c r="G441" s="115">
        <f t="shared" si="62"/>
        <v>4.4184040000000167</v>
      </c>
      <c r="H441" s="115">
        <f t="shared" si="63"/>
        <v>4.5039640025712528E-2</v>
      </c>
      <c r="I441" s="116">
        <f t="shared" si="66"/>
        <v>45.655599999999993</v>
      </c>
      <c r="J441" s="116">
        <f t="shared" si="67"/>
        <v>1.0144000000000091</v>
      </c>
      <c r="K441" s="116">
        <f t="shared" si="68"/>
        <v>1.0144000000000091</v>
      </c>
      <c r="L441" s="116">
        <f t="shared" si="69"/>
        <v>1.0290073600000185</v>
      </c>
      <c r="M441" s="117">
        <f t="shared" si="65"/>
        <v>2.1735590314977696E-2</v>
      </c>
    </row>
    <row r="442" spans="1:13">
      <c r="A442" s="112">
        <v>439</v>
      </c>
      <c r="B442" s="107">
        <v>42269</v>
      </c>
      <c r="C442" s="108">
        <v>46.17</v>
      </c>
      <c r="D442" s="115">
        <f t="shared" si="64"/>
        <v>44.990500000000004</v>
      </c>
      <c r="E442" s="115">
        <f t="shared" si="60"/>
        <v>1.1794999999999973</v>
      </c>
      <c r="F442" s="115">
        <f t="shared" si="61"/>
        <v>1.1794999999999973</v>
      </c>
      <c r="G442" s="115">
        <f t="shared" si="62"/>
        <v>1.3912202499999937</v>
      </c>
      <c r="H442" s="115">
        <f t="shared" si="63"/>
        <v>2.5546891921160868E-2</v>
      </c>
      <c r="I442" s="116">
        <f t="shared" si="66"/>
        <v>45.545199999999994</v>
      </c>
      <c r="J442" s="116">
        <f t="shared" si="67"/>
        <v>0.62480000000000757</v>
      </c>
      <c r="K442" s="116">
        <f t="shared" si="68"/>
        <v>0.62480000000000757</v>
      </c>
      <c r="L442" s="116">
        <f t="shared" si="69"/>
        <v>0.39037504000000944</v>
      </c>
      <c r="M442" s="117">
        <f t="shared" si="65"/>
        <v>1.3532596924409954E-2</v>
      </c>
    </row>
    <row r="443" spans="1:13">
      <c r="A443" s="112">
        <v>440</v>
      </c>
      <c r="B443" s="113">
        <v>42270</v>
      </c>
      <c r="C443" s="114">
        <v>44.53</v>
      </c>
      <c r="D443" s="115">
        <f t="shared" si="64"/>
        <v>45.341499999999996</v>
      </c>
      <c r="E443" s="115">
        <f t="shared" si="60"/>
        <v>-0.81149999999999523</v>
      </c>
      <c r="F443" s="115">
        <f t="shared" si="61"/>
        <v>0.81149999999999523</v>
      </c>
      <c r="G443" s="115">
        <f t="shared" si="62"/>
        <v>0.65853224999999227</v>
      </c>
      <c r="H443" s="115">
        <f t="shared" si="63"/>
        <v>1.8223669436334949E-2</v>
      </c>
      <c r="I443" s="116">
        <f t="shared" si="66"/>
        <v>45.407600000000009</v>
      </c>
      <c r="J443" s="116">
        <f t="shared" si="67"/>
        <v>-0.87760000000000815</v>
      </c>
      <c r="K443" s="116">
        <f t="shared" si="68"/>
        <v>0.87760000000000815</v>
      </c>
      <c r="L443" s="116">
        <f t="shared" si="69"/>
        <v>0.77018176000001426</v>
      </c>
      <c r="M443" s="117">
        <f t="shared" si="65"/>
        <v>-1.970806198068736E-2</v>
      </c>
    </row>
    <row r="444" spans="1:13">
      <c r="A444" s="112">
        <v>441</v>
      </c>
      <c r="B444" s="107">
        <v>42271</v>
      </c>
      <c r="C444" s="108">
        <v>44.94</v>
      </c>
      <c r="D444" s="115">
        <f t="shared" si="64"/>
        <v>45.642999999999994</v>
      </c>
      <c r="E444" s="115">
        <f t="shared" si="60"/>
        <v>-0.70299999999999585</v>
      </c>
      <c r="F444" s="115">
        <f t="shared" si="61"/>
        <v>0.70299999999999585</v>
      </c>
      <c r="G444" s="115">
        <f t="shared" si="62"/>
        <v>0.49420899999999418</v>
      </c>
      <c r="H444" s="115">
        <f t="shared" si="63"/>
        <v>1.5643079661771159E-2</v>
      </c>
      <c r="I444" s="116">
        <f t="shared" si="66"/>
        <v>45.270200000000003</v>
      </c>
      <c r="J444" s="116">
        <f t="shared" si="67"/>
        <v>-0.33020000000000493</v>
      </c>
      <c r="K444" s="116">
        <f t="shared" si="68"/>
        <v>0.33020000000000493</v>
      </c>
      <c r="L444" s="116">
        <f t="shared" si="69"/>
        <v>0.10903204000000326</v>
      </c>
      <c r="M444" s="117">
        <f t="shared" si="65"/>
        <v>-7.3475745438363362E-3</v>
      </c>
    </row>
    <row r="445" spans="1:13">
      <c r="A445" s="112">
        <v>442</v>
      </c>
      <c r="B445" s="113">
        <v>42272</v>
      </c>
      <c r="C445" s="114">
        <v>45.55</v>
      </c>
      <c r="D445" s="115">
        <f t="shared" si="64"/>
        <v>45.766499999999994</v>
      </c>
      <c r="E445" s="115">
        <f t="shared" si="60"/>
        <v>-0.21649999999999636</v>
      </c>
      <c r="F445" s="115">
        <f t="shared" si="61"/>
        <v>0.21649999999999636</v>
      </c>
      <c r="G445" s="115">
        <f t="shared" si="62"/>
        <v>4.6872249999998422E-2</v>
      </c>
      <c r="H445" s="115">
        <f t="shared" si="63"/>
        <v>4.7530186608122143E-3</v>
      </c>
      <c r="I445" s="116">
        <f t="shared" si="66"/>
        <v>45.151000000000003</v>
      </c>
      <c r="J445" s="116">
        <f t="shared" si="67"/>
        <v>0.3989999999999938</v>
      </c>
      <c r="K445" s="116">
        <f t="shared" si="68"/>
        <v>0.3989999999999938</v>
      </c>
      <c r="L445" s="116">
        <f t="shared" si="69"/>
        <v>0.15920099999999507</v>
      </c>
      <c r="M445" s="117">
        <f t="shared" si="65"/>
        <v>8.7596048298571646E-3</v>
      </c>
    </row>
    <row r="446" spans="1:13">
      <c r="A446" s="112">
        <v>443</v>
      </c>
      <c r="B446" s="107">
        <v>42275</v>
      </c>
      <c r="C446" s="108">
        <v>44.4</v>
      </c>
      <c r="D446" s="115">
        <f t="shared" si="64"/>
        <v>45.779499999999999</v>
      </c>
      <c r="E446" s="115">
        <f t="shared" si="60"/>
        <v>-1.3795000000000002</v>
      </c>
      <c r="F446" s="115">
        <f t="shared" si="61"/>
        <v>1.3795000000000002</v>
      </c>
      <c r="G446" s="115">
        <f t="shared" si="62"/>
        <v>1.9030202500000004</v>
      </c>
      <c r="H446" s="115">
        <f t="shared" si="63"/>
        <v>3.1069819819819825E-2</v>
      </c>
      <c r="I446" s="116">
        <f t="shared" si="66"/>
        <v>45.044400000000003</v>
      </c>
      <c r="J446" s="116">
        <f t="shared" si="67"/>
        <v>-0.64440000000000452</v>
      </c>
      <c r="K446" s="116">
        <f t="shared" si="68"/>
        <v>0.64440000000000452</v>
      </c>
      <c r="L446" s="116">
        <f t="shared" si="69"/>
        <v>0.41525136000000584</v>
      </c>
      <c r="M446" s="117">
        <f t="shared" si="65"/>
        <v>-1.4513513513513616E-2</v>
      </c>
    </row>
    <row r="447" spans="1:13">
      <c r="A447" s="112">
        <v>444</v>
      </c>
      <c r="B447" s="113">
        <v>42276</v>
      </c>
      <c r="C447" s="114">
        <v>45.24</v>
      </c>
      <c r="D447" s="115">
        <f t="shared" si="64"/>
        <v>45.53949999999999</v>
      </c>
      <c r="E447" s="115">
        <f t="shared" si="60"/>
        <v>-0.29949999999998766</v>
      </c>
      <c r="F447" s="115">
        <f t="shared" si="61"/>
        <v>0.29949999999998766</v>
      </c>
      <c r="G447" s="115">
        <f t="shared" si="62"/>
        <v>8.9700249999992612E-2</v>
      </c>
      <c r="H447" s="115">
        <f t="shared" si="63"/>
        <v>6.6202475685231575E-3</v>
      </c>
      <c r="I447" s="116">
        <f t="shared" si="66"/>
        <v>44.930200000000013</v>
      </c>
      <c r="J447" s="116">
        <f t="shared" si="67"/>
        <v>0.30979999999998853</v>
      </c>
      <c r="K447" s="116">
        <f t="shared" si="68"/>
        <v>0.30979999999998853</v>
      </c>
      <c r="L447" s="116">
        <f t="shared" si="69"/>
        <v>9.5976039999992893E-2</v>
      </c>
      <c r="M447" s="117">
        <f t="shared" si="65"/>
        <v>6.8479221927495249E-3</v>
      </c>
    </row>
    <row r="448" spans="1:13">
      <c r="A448" s="112">
        <v>445</v>
      </c>
      <c r="B448" s="107">
        <v>42277</v>
      </c>
      <c r="C448" s="108">
        <v>45.06</v>
      </c>
      <c r="D448" s="115">
        <f t="shared" si="64"/>
        <v>45.532499999999985</v>
      </c>
      <c r="E448" s="115">
        <f t="shared" si="60"/>
        <v>-0.47249999999998238</v>
      </c>
      <c r="F448" s="115">
        <f t="shared" si="61"/>
        <v>0.47249999999998238</v>
      </c>
      <c r="G448" s="115">
        <f t="shared" si="62"/>
        <v>0.22325624999998334</v>
      </c>
      <c r="H448" s="115">
        <f t="shared" si="63"/>
        <v>1.0486018641810526E-2</v>
      </c>
      <c r="I448" s="116">
        <f t="shared" si="66"/>
        <v>44.823200000000007</v>
      </c>
      <c r="J448" s="116">
        <f t="shared" si="67"/>
        <v>0.23679999999999524</v>
      </c>
      <c r="K448" s="116">
        <f t="shared" si="68"/>
        <v>0.23679999999999524</v>
      </c>
      <c r="L448" s="116">
        <f t="shared" si="69"/>
        <v>5.6074239999997742E-2</v>
      </c>
      <c r="M448" s="117">
        <f t="shared" si="65"/>
        <v>5.2552152685307416E-3</v>
      </c>
    </row>
    <row r="449" spans="1:13">
      <c r="A449" s="112">
        <v>446</v>
      </c>
      <c r="B449" s="113">
        <v>42278</v>
      </c>
      <c r="C449" s="114">
        <v>44.75</v>
      </c>
      <c r="D449" s="115">
        <f t="shared" si="64"/>
        <v>45.470499999999994</v>
      </c>
      <c r="E449" s="115">
        <f t="shared" si="60"/>
        <v>-0.72049999999999415</v>
      </c>
      <c r="F449" s="115">
        <f t="shared" si="61"/>
        <v>0.72049999999999415</v>
      </c>
      <c r="G449" s="115">
        <f t="shared" si="62"/>
        <v>0.51912024999999151</v>
      </c>
      <c r="H449" s="115">
        <f t="shared" si="63"/>
        <v>1.6100558659217747E-2</v>
      </c>
      <c r="I449" s="116">
        <f t="shared" si="66"/>
        <v>44.739000000000004</v>
      </c>
      <c r="J449" s="116">
        <f t="shared" si="67"/>
        <v>1.099999999999568E-2</v>
      </c>
      <c r="K449" s="116">
        <f t="shared" si="68"/>
        <v>1.099999999999568E-2</v>
      </c>
      <c r="L449" s="116">
        <f t="shared" si="69"/>
        <v>1.2099999999990496E-4</v>
      </c>
      <c r="M449" s="117">
        <f t="shared" si="65"/>
        <v>2.4581005586582526E-4</v>
      </c>
    </row>
    <row r="450" spans="1:13">
      <c r="A450" s="112">
        <v>447</v>
      </c>
      <c r="B450" s="107">
        <v>42279</v>
      </c>
      <c r="C450" s="108">
        <v>45.54</v>
      </c>
      <c r="D450" s="115">
        <f t="shared" si="64"/>
        <v>45.370499999999993</v>
      </c>
      <c r="E450" s="115">
        <f t="shared" si="60"/>
        <v>0.16950000000000642</v>
      </c>
      <c r="F450" s="115">
        <f t="shared" si="61"/>
        <v>0.16950000000000642</v>
      </c>
      <c r="G450" s="115">
        <f t="shared" si="62"/>
        <v>2.8730250000002178E-2</v>
      </c>
      <c r="H450" s="115">
        <f t="shared" si="63"/>
        <v>3.7220026350462546E-3</v>
      </c>
      <c r="I450" s="116">
        <f t="shared" si="66"/>
        <v>44.671800000000005</v>
      </c>
      <c r="J450" s="116">
        <f t="shared" si="67"/>
        <v>0.86819999999999453</v>
      </c>
      <c r="K450" s="116">
        <f t="shared" si="68"/>
        <v>0.86819999999999453</v>
      </c>
      <c r="L450" s="116">
        <f t="shared" si="69"/>
        <v>0.75377123999999052</v>
      </c>
      <c r="M450" s="117">
        <f t="shared" si="65"/>
        <v>1.90645586297759E-2</v>
      </c>
    </row>
    <row r="451" spans="1:13">
      <c r="A451" s="112">
        <v>448</v>
      </c>
      <c r="B451" s="113">
        <v>42282</v>
      </c>
      <c r="C451" s="114">
        <v>46.28</v>
      </c>
      <c r="D451" s="115">
        <f t="shared" si="64"/>
        <v>45.346499999999992</v>
      </c>
      <c r="E451" s="115">
        <f t="shared" si="60"/>
        <v>0.93350000000000932</v>
      </c>
      <c r="F451" s="115">
        <f t="shared" si="61"/>
        <v>0.93350000000000932</v>
      </c>
      <c r="G451" s="115">
        <f t="shared" si="62"/>
        <v>0.87142225000001738</v>
      </c>
      <c r="H451" s="115">
        <f t="shared" si="63"/>
        <v>2.0170700086430623E-2</v>
      </c>
      <c r="I451" s="116">
        <f t="shared" si="66"/>
        <v>44.62299999999999</v>
      </c>
      <c r="J451" s="116">
        <f t="shared" si="67"/>
        <v>1.6570000000000107</v>
      </c>
      <c r="K451" s="116">
        <f t="shared" si="68"/>
        <v>1.6570000000000107</v>
      </c>
      <c r="L451" s="116">
        <f t="shared" si="69"/>
        <v>2.7456490000000353</v>
      </c>
      <c r="M451" s="117">
        <f t="shared" si="65"/>
        <v>3.5803802938634631E-2</v>
      </c>
    </row>
    <row r="452" spans="1:13">
      <c r="A452" s="112">
        <v>449</v>
      </c>
      <c r="B452" s="107">
        <v>42283</v>
      </c>
      <c r="C452" s="108">
        <v>48.53</v>
      </c>
      <c r="D452" s="115">
        <f t="shared" si="64"/>
        <v>45.359500000000004</v>
      </c>
      <c r="E452" s="115">
        <f t="shared" si="60"/>
        <v>3.170499999999997</v>
      </c>
      <c r="F452" s="115">
        <f t="shared" si="61"/>
        <v>3.170499999999997</v>
      </c>
      <c r="G452" s="115">
        <f t="shared" si="62"/>
        <v>10.05207024999998</v>
      </c>
      <c r="H452" s="115">
        <f t="shared" si="63"/>
        <v>6.5330723263960375E-2</v>
      </c>
      <c r="I452" s="116">
        <f t="shared" si="66"/>
        <v>44.605200000000004</v>
      </c>
      <c r="J452" s="116">
        <f t="shared" si="67"/>
        <v>3.9247999999999976</v>
      </c>
      <c r="K452" s="116">
        <f t="shared" si="68"/>
        <v>3.9247999999999976</v>
      </c>
      <c r="L452" s="116">
        <f t="shared" si="69"/>
        <v>15.404055039999982</v>
      </c>
      <c r="M452" s="117">
        <f t="shared" si="65"/>
        <v>8.0873686379558982E-2</v>
      </c>
    </row>
    <row r="453" spans="1:13">
      <c r="A453" s="112">
        <v>450</v>
      </c>
      <c r="B453" s="113">
        <v>42284</v>
      </c>
      <c r="C453" s="114">
        <v>47.86</v>
      </c>
      <c r="D453" s="115">
        <f t="shared" si="64"/>
        <v>45.489999999999995</v>
      </c>
      <c r="E453" s="115">
        <f t="shared" si="60"/>
        <v>2.3700000000000045</v>
      </c>
      <c r="F453" s="115">
        <f t="shared" si="61"/>
        <v>2.3700000000000045</v>
      </c>
      <c r="G453" s="115">
        <f t="shared" si="62"/>
        <v>5.6169000000000215</v>
      </c>
      <c r="H453" s="115">
        <f t="shared" si="63"/>
        <v>4.9519431675720947E-2</v>
      </c>
      <c r="I453" s="116">
        <f t="shared" si="66"/>
        <v>44.616400000000013</v>
      </c>
      <c r="J453" s="116">
        <f t="shared" si="67"/>
        <v>3.2435999999999865</v>
      </c>
      <c r="K453" s="116">
        <f t="shared" si="68"/>
        <v>3.2435999999999865</v>
      </c>
      <c r="L453" s="116">
        <f t="shared" si="69"/>
        <v>10.520940959999912</v>
      </c>
      <c r="M453" s="117">
        <f t="shared" si="65"/>
        <v>6.7772670288340719E-2</v>
      </c>
    </row>
    <row r="454" spans="1:13">
      <c r="A454" s="112">
        <v>451</v>
      </c>
      <c r="B454" s="107">
        <v>42285</v>
      </c>
      <c r="C454" s="108">
        <v>49.46</v>
      </c>
      <c r="D454" s="115">
        <f t="shared" si="64"/>
        <v>45.67649999999999</v>
      </c>
      <c r="E454" s="115">
        <f t="shared" si="60"/>
        <v>3.7835000000000107</v>
      </c>
      <c r="F454" s="115">
        <f t="shared" si="61"/>
        <v>3.7835000000000107</v>
      </c>
      <c r="G454" s="115">
        <f t="shared" si="62"/>
        <v>14.31487225000008</v>
      </c>
      <c r="H454" s="115">
        <f t="shared" si="63"/>
        <v>7.6496158511929049E-2</v>
      </c>
      <c r="I454" s="116">
        <f t="shared" si="66"/>
        <v>44.598200000000013</v>
      </c>
      <c r="J454" s="116">
        <f t="shared" si="67"/>
        <v>4.8617999999999881</v>
      </c>
      <c r="K454" s="116">
        <f t="shared" si="68"/>
        <v>4.8617999999999881</v>
      </c>
      <c r="L454" s="116">
        <f t="shared" si="69"/>
        <v>23.637099239999884</v>
      </c>
      <c r="M454" s="117">
        <f t="shared" si="65"/>
        <v>9.8297614233723976E-2</v>
      </c>
    </row>
    <row r="455" spans="1:13">
      <c r="A455" s="112">
        <v>452</v>
      </c>
      <c r="B455" s="113">
        <v>42286</v>
      </c>
      <c r="C455" s="114">
        <v>49.67</v>
      </c>
      <c r="D455" s="115">
        <f t="shared" si="64"/>
        <v>45.856999999999999</v>
      </c>
      <c r="E455" s="115">
        <f t="shared" si="60"/>
        <v>3.8130000000000024</v>
      </c>
      <c r="F455" s="115">
        <f t="shared" si="61"/>
        <v>3.8130000000000024</v>
      </c>
      <c r="G455" s="115">
        <f t="shared" si="62"/>
        <v>14.538969000000018</v>
      </c>
      <c r="H455" s="115">
        <f t="shared" si="63"/>
        <v>7.6766659955707722E-2</v>
      </c>
      <c r="I455" s="116">
        <f t="shared" si="66"/>
        <v>44.616800000000012</v>
      </c>
      <c r="J455" s="116">
        <f t="shared" si="67"/>
        <v>5.0531999999999897</v>
      </c>
      <c r="K455" s="116">
        <f t="shared" si="68"/>
        <v>5.0531999999999897</v>
      </c>
      <c r="L455" s="116">
        <f t="shared" si="69"/>
        <v>25.534830239999895</v>
      </c>
      <c r="M455" s="117">
        <f t="shared" si="65"/>
        <v>0.10173545399637587</v>
      </c>
    </row>
    <row r="456" spans="1:13">
      <c r="A456" s="112">
        <v>453</v>
      </c>
      <c r="B456" s="107">
        <v>42289</v>
      </c>
      <c r="C456" s="108">
        <v>47.09</v>
      </c>
      <c r="D456" s="115">
        <f t="shared" si="64"/>
        <v>46.102999999999994</v>
      </c>
      <c r="E456" s="115">
        <f t="shared" si="60"/>
        <v>0.98700000000000898</v>
      </c>
      <c r="F456" s="115">
        <f t="shared" si="61"/>
        <v>0.98700000000000898</v>
      </c>
      <c r="G456" s="115">
        <f t="shared" si="62"/>
        <v>0.97416900000001772</v>
      </c>
      <c r="H456" s="115">
        <f t="shared" si="63"/>
        <v>2.0959864090040539E-2</v>
      </c>
      <c r="I456" s="116">
        <f t="shared" si="66"/>
        <v>44.668000000000013</v>
      </c>
      <c r="J456" s="116">
        <f t="shared" si="67"/>
        <v>2.4219999999999899</v>
      </c>
      <c r="K456" s="116">
        <f t="shared" si="68"/>
        <v>2.4219999999999899</v>
      </c>
      <c r="L456" s="116">
        <f t="shared" si="69"/>
        <v>5.866083999999951</v>
      </c>
      <c r="M456" s="117">
        <f t="shared" si="65"/>
        <v>5.1433425355701633E-2</v>
      </c>
    </row>
    <row r="457" spans="1:13">
      <c r="A457" s="112">
        <v>454</v>
      </c>
      <c r="B457" s="113">
        <v>42290</v>
      </c>
      <c r="C457" s="114">
        <v>46.7</v>
      </c>
      <c r="D457" s="115">
        <f t="shared" si="64"/>
        <v>46.254000000000005</v>
      </c>
      <c r="E457" s="115">
        <f t="shared" si="60"/>
        <v>0.44599999999999795</v>
      </c>
      <c r="F457" s="115">
        <f t="shared" si="61"/>
        <v>0.44599999999999795</v>
      </c>
      <c r="G457" s="115">
        <f t="shared" si="62"/>
        <v>0.19891599999999818</v>
      </c>
      <c r="H457" s="115">
        <f t="shared" si="63"/>
        <v>9.5503211991434245E-3</v>
      </c>
      <c r="I457" s="116">
        <f t="shared" si="66"/>
        <v>44.704800000000006</v>
      </c>
      <c r="J457" s="116">
        <f t="shared" si="67"/>
        <v>1.995199999999997</v>
      </c>
      <c r="K457" s="116">
        <f t="shared" si="68"/>
        <v>1.995199999999997</v>
      </c>
      <c r="L457" s="116">
        <f t="shared" si="69"/>
        <v>3.9808230399999878</v>
      </c>
      <c r="M457" s="117">
        <f t="shared" si="65"/>
        <v>4.2723768736616638E-2</v>
      </c>
    </row>
    <row r="458" spans="1:13">
      <c r="A458" s="112">
        <v>455</v>
      </c>
      <c r="B458" s="107">
        <v>42291</v>
      </c>
      <c r="C458" s="108">
        <v>46.63</v>
      </c>
      <c r="D458" s="115">
        <f t="shared" si="64"/>
        <v>46.36</v>
      </c>
      <c r="E458" s="115">
        <f t="shared" si="60"/>
        <v>0.27000000000000313</v>
      </c>
      <c r="F458" s="115">
        <f t="shared" si="61"/>
        <v>0.27000000000000313</v>
      </c>
      <c r="G458" s="115">
        <f t="shared" si="62"/>
        <v>7.2900000000001686E-2</v>
      </c>
      <c r="H458" s="115">
        <f t="shared" si="63"/>
        <v>5.7902637786833178E-3</v>
      </c>
      <c r="I458" s="116">
        <f t="shared" si="66"/>
        <v>44.723800000000004</v>
      </c>
      <c r="J458" s="116">
        <f t="shared" si="67"/>
        <v>1.9061999999999983</v>
      </c>
      <c r="K458" s="116">
        <f t="shared" si="68"/>
        <v>1.9061999999999983</v>
      </c>
      <c r="L458" s="116">
        <f t="shared" si="69"/>
        <v>3.6335984399999939</v>
      </c>
      <c r="M458" s="117">
        <f t="shared" si="65"/>
        <v>4.0879262277503714E-2</v>
      </c>
    </row>
    <row r="459" spans="1:13">
      <c r="A459" s="112">
        <v>456</v>
      </c>
      <c r="B459" s="113">
        <v>42292</v>
      </c>
      <c r="C459" s="114">
        <v>46.38</v>
      </c>
      <c r="D459" s="115">
        <f t="shared" si="64"/>
        <v>46.335500000000003</v>
      </c>
      <c r="E459" s="115">
        <f t="shared" si="60"/>
        <v>4.4499999999999318E-2</v>
      </c>
      <c r="F459" s="115">
        <f t="shared" si="61"/>
        <v>4.4499999999999318E-2</v>
      </c>
      <c r="G459" s="115">
        <f t="shared" si="62"/>
        <v>1.9802499999999391E-3</v>
      </c>
      <c r="H459" s="115">
        <f t="shared" si="63"/>
        <v>9.594652867615204E-4</v>
      </c>
      <c r="I459" s="116">
        <f t="shared" si="66"/>
        <v>44.753799999999998</v>
      </c>
      <c r="J459" s="116">
        <f t="shared" si="67"/>
        <v>1.6262000000000043</v>
      </c>
      <c r="K459" s="116">
        <f t="shared" si="68"/>
        <v>1.6262000000000043</v>
      </c>
      <c r="L459" s="116">
        <f t="shared" si="69"/>
        <v>2.6445264400000141</v>
      </c>
      <c r="M459" s="117">
        <f t="shared" si="65"/>
        <v>3.506252695127219E-2</v>
      </c>
    </row>
    <row r="460" spans="1:13">
      <c r="A460" s="112">
        <v>457</v>
      </c>
      <c r="B460" s="107">
        <v>42293</v>
      </c>
      <c r="C460" s="108">
        <v>47.3</v>
      </c>
      <c r="D460" s="115">
        <f t="shared" si="64"/>
        <v>46.308000000000007</v>
      </c>
      <c r="E460" s="115">
        <f t="shared" si="60"/>
        <v>0.99199999999999022</v>
      </c>
      <c r="F460" s="115">
        <f t="shared" si="61"/>
        <v>0.99199999999999022</v>
      </c>
      <c r="G460" s="115">
        <f t="shared" si="62"/>
        <v>0.98406399999998062</v>
      </c>
      <c r="H460" s="115">
        <f t="shared" si="63"/>
        <v>2.0972515856236582E-2</v>
      </c>
      <c r="I460" s="116">
        <f t="shared" si="66"/>
        <v>44.787599999999991</v>
      </c>
      <c r="J460" s="116">
        <f t="shared" si="67"/>
        <v>2.5124000000000066</v>
      </c>
      <c r="K460" s="116">
        <f t="shared" si="68"/>
        <v>2.5124000000000066</v>
      </c>
      <c r="L460" s="116">
        <f t="shared" si="69"/>
        <v>6.312153760000033</v>
      </c>
      <c r="M460" s="117">
        <f t="shared" si="65"/>
        <v>5.3116279069767583E-2</v>
      </c>
    </row>
    <row r="461" spans="1:13">
      <c r="A461" s="112">
        <v>458</v>
      </c>
      <c r="B461" s="113">
        <v>42296</v>
      </c>
      <c r="C461" s="114">
        <v>45.91</v>
      </c>
      <c r="D461" s="115">
        <f t="shared" si="64"/>
        <v>46.4375</v>
      </c>
      <c r="E461" s="115">
        <f t="shared" si="60"/>
        <v>-0.52750000000000341</v>
      </c>
      <c r="F461" s="115">
        <f t="shared" si="61"/>
        <v>0.52750000000000341</v>
      </c>
      <c r="G461" s="115">
        <f t="shared" si="62"/>
        <v>0.27825625000000359</v>
      </c>
      <c r="H461" s="115">
        <f t="shared" si="63"/>
        <v>1.1489871487693388E-2</v>
      </c>
      <c r="I461" s="116">
        <f t="shared" si="66"/>
        <v>44.856200000000001</v>
      </c>
      <c r="J461" s="116">
        <f t="shared" si="67"/>
        <v>1.0537999999999954</v>
      </c>
      <c r="K461" s="116">
        <f t="shared" si="68"/>
        <v>1.0537999999999954</v>
      </c>
      <c r="L461" s="116">
        <f t="shared" si="69"/>
        <v>1.1104944399999903</v>
      </c>
      <c r="M461" s="117">
        <f t="shared" si="65"/>
        <v>2.2953604879111206E-2</v>
      </c>
    </row>
    <row r="462" spans="1:13">
      <c r="A462" s="112">
        <v>459</v>
      </c>
      <c r="B462" s="107">
        <v>42297</v>
      </c>
      <c r="C462" s="108">
        <v>45.84</v>
      </c>
      <c r="D462" s="115">
        <f t="shared" si="64"/>
        <v>46.399500000000003</v>
      </c>
      <c r="E462" s="115">
        <f t="shared" si="60"/>
        <v>-0.55949999999999989</v>
      </c>
      <c r="F462" s="115">
        <f t="shared" si="61"/>
        <v>0.55949999999999989</v>
      </c>
      <c r="G462" s="115">
        <f t="shared" si="62"/>
        <v>0.31304024999999985</v>
      </c>
      <c r="H462" s="115">
        <f t="shared" si="63"/>
        <v>1.2205497382198949E-2</v>
      </c>
      <c r="I462" s="116">
        <f t="shared" si="66"/>
        <v>44.875600000000006</v>
      </c>
      <c r="J462" s="116">
        <f t="shared" si="67"/>
        <v>0.9643999999999977</v>
      </c>
      <c r="K462" s="116">
        <f t="shared" si="68"/>
        <v>0.9643999999999977</v>
      </c>
      <c r="L462" s="116">
        <f t="shared" si="69"/>
        <v>0.93006735999999557</v>
      </c>
      <c r="M462" s="117">
        <f t="shared" si="65"/>
        <v>2.1038394415357715E-2</v>
      </c>
    </row>
    <row r="463" spans="1:13">
      <c r="A463" s="112">
        <v>460</v>
      </c>
      <c r="B463" s="113">
        <v>42298</v>
      </c>
      <c r="C463" s="114">
        <v>45.22</v>
      </c>
      <c r="D463" s="115">
        <f t="shared" si="64"/>
        <v>46.383000000000003</v>
      </c>
      <c r="E463" s="115">
        <f t="shared" si="60"/>
        <v>-1.1630000000000038</v>
      </c>
      <c r="F463" s="115">
        <f t="shared" si="61"/>
        <v>1.1630000000000038</v>
      </c>
      <c r="G463" s="115">
        <f t="shared" si="62"/>
        <v>1.3525690000000088</v>
      </c>
      <c r="H463" s="115">
        <f t="shared" si="63"/>
        <v>2.5718708536046082E-2</v>
      </c>
      <c r="I463" s="116">
        <f t="shared" si="66"/>
        <v>44.930200000000006</v>
      </c>
      <c r="J463" s="116">
        <f t="shared" si="67"/>
        <v>0.28979999999999251</v>
      </c>
      <c r="K463" s="116">
        <f t="shared" si="68"/>
        <v>0.28979999999999251</v>
      </c>
      <c r="L463" s="116">
        <f t="shared" si="69"/>
        <v>8.3984039999995652E-2</v>
      </c>
      <c r="M463" s="117">
        <f t="shared" si="65"/>
        <v>6.4086687306499895E-3</v>
      </c>
    </row>
    <row r="464" spans="1:13">
      <c r="A464" s="112">
        <v>461</v>
      </c>
      <c r="B464" s="107">
        <v>42299</v>
      </c>
      <c r="C464" s="108">
        <v>44.9</v>
      </c>
      <c r="D464" s="115">
        <f t="shared" si="64"/>
        <v>46.417500000000004</v>
      </c>
      <c r="E464" s="115">
        <f t="shared" si="60"/>
        <v>-1.5175000000000054</v>
      </c>
      <c r="F464" s="115">
        <f t="shared" si="61"/>
        <v>1.5175000000000054</v>
      </c>
      <c r="G464" s="115">
        <f t="shared" si="62"/>
        <v>2.3028062500000166</v>
      </c>
      <c r="H464" s="115">
        <f t="shared" si="63"/>
        <v>3.3797327394209473E-2</v>
      </c>
      <c r="I464" s="116">
        <f t="shared" si="66"/>
        <v>44.970200000000006</v>
      </c>
      <c r="J464" s="116">
        <f t="shared" si="67"/>
        <v>-7.0200000000006924E-2</v>
      </c>
      <c r="K464" s="116">
        <f t="shared" si="68"/>
        <v>7.0200000000006924E-2</v>
      </c>
      <c r="L464" s="116">
        <f t="shared" si="69"/>
        <v>4.9280400000009722E-3</v>
      </c>
      <c r="M464" s="117">
        <f t="shared" si="65"/>
        <v>-1.5634743875279939E-3</v>
      </c>
    </row>
    <row r="465" spans="1:13">
      <c r="A465" s="112">
        <v>462</v>
      </c>
      <c r="B465" s="113">
        <v>42300</v>
      </c>
      <c r="C465" s="114">
        <v>43.91</v>
      </c>
      <c r="D465" s="115">
        <f t="shared" si="64"/>
        <v>46.415500000000002</v>
      </c>
      <c r="E465" s="115">
        <f t="shared" si="60"/>
        <v>-2.5055000000000049</v>
      </c>
      <c r="F465" s="115">
        <f t="shared" si="61"/>
        <v>2.5055000000000049</v>
      </c>
      <c r="G465" s="115">
        <f t="shared" si="62"/>
        <v>6.2775302500000247</v>
      </c>
      <c r="H465" s="115">
        <f t="shared" si="63"/>
        <v>5.7059895240264294E-2</v>
      </c>
      <c r="I465" s="116">
        <f t="shared" si="66"/>
        <v>45.022800000000004</v>
      </c>
      <c r="J465" s="116">
        <f t="shared" si="67"/>
        <v>-1.1128000000000071</v>
      </c>
      <c r="K465" s="116">
        <f t="shared" si="68"/>
        <v>1.1128000000000071</v>
      </c>
      <c r="L465" s="116">
        <f t="shared" si="69"/>
        <v>1.2383238400000158</v>
      </c>
      <c r="M465" s="117">
        <f t="shared" si="65"/>
        <v>-2.5342746526987182E-2</v>
      </c>
    </row>
    <row r="466" spans="1:13">
      <c r="A466" s="112">
        <v>463</v>
      </c>
      <c r="B466" s="107">
        <v>42303</v>
      </c>
      <c r="C466" s="108">
        <v>43.19</v>
      </c>
      <c r="D466" s="115">
        <f t="shared" si="64"/>
        <v>46.333500000000001</v>
      </c>
      <c r="E466" s="115">
        <f t="shared" si="60"/>
        <v>-3.1435000000000031</v>
      </c>
      <c r="F466" s="115">
        <f t="shared" si="61"/>
        <v>3.1435000000000031</v>
      </c>
      <c r="G466" s="115">
        <f t="shared" si="62"/>
        <v>9.8815922500000202</v>
      </c>
      <c r="H466" s="115">
        <f t="shared" si="63"/>
        <v>7.2783051632322376E-2</v>
      </c>
      <c r="I466" s="116">
        <f t="shared" si="66"/>
        <v>45.052</v>
      </c>
      <c r="J466" s="116">
        <f t="shared" si="67"/>
        <v>-1.8620000000000019</v>
      </c>
      <c r="K466" s="116">
        <f t="shared" si="68"/>
        <v>1.8620000000000019</v>
      </c>
      <c r="L466" s="116">
        <f t="shared" si="69"/>
        <v>3.4670440000000071</v>
      </c>
      <c r="M466" s="117">
        <f t="shared" si="65"/>
        <v>-4.3111831442463576E-2</v>
      </c>
    </row>
    <row r="467" spans="1:13">
      <c r="A467" s="112">
        <v>464</v>
      </c>
      <c r="B467" s="113">
        <v>42304</v>
      </c>
      <c r="C467" s="114">
        <v>43.21</v>
      </c>
      <c r="D467" s="115">
        <f t="shared" si="64"/>
        <v>46.273000000000003</v>
      </c>
      <c r="E467" s="115">
        <f t="shared" si="60"/>
        <v>-3.0630000000000024</v>
      </c>
      <c r="F467" s="115">
        <f t="shared" si="61"/>
        <v>3.0630000000000024</v>
      </c>
      <c r="G467" s="115">
        <f t="shared" si="62"/>
        <v>9.381969000000014</v>
      </c>
      <c r="H467" s="115">
        <f t="shared" si="63"/>
        <v>7.0886368896088917E-2</v>
      </c>
      <c r="I467" s="116">
        <f t="shared" si="66"/>
        <v>45.077200000000005</v>
      </c>
      <c r="J467" s="116">
        <f t="shared" si="67"/>
        <v>-1.867200000000004</v>
      </c>
      <c r="K467" s="116">
        <f t="shared" si="68"/>
        <v>1.867200000000004</v>
      </c>
      <c r="L467" s="116">
        <f t="shared" si="69"/>
        <v>3.4864358400000146</v>
      </c>
      <c r="M467" s="117">
        <f t="shared" si="65"/>
        <v>-4.321221939365897E-2</v>
      </c>
    </row>
    <row r="468" spans="1:13">
      <c r="A468" s="112">
        <v>465</v>
      </c>
      <c r="B468" s="107">
        <v>42305</v>
      </c>
      <c r="C468" s="108">
        <v>45.93</v>
      </c>
      <c r="D468" s="115">
        <f t="shared" si="64"/>
        <v>46.171500000000002</v>
      </c>
      <c r="E468" s="115">
        <f t="shared" si="60"/>
        <v>-0.24150000000000205</v>
      </c>
      <c r="F468" s="115">
        <f t="shared" si="61"/>
        <v>0.24150000000000205</v>
      </c>
      <c r="G468" s="115">
        <f t="shared" si="62"/>
        <v>5.8322250000000991E-2</v>
      </c>
      <c r="H468" s="115">
        <f t="shared" si="63"/>
        <v>5.2580013063357727E-3</v>
      </c>
      <c r="I468" s="116">
        <f t="shared" si="66"/>
        <v>45.089800000000004</v>
      </c>
      <c r="J468" s="116">
        <f t="shared" si="67"/>
        <v>0.84019999999999584</v>
      </c>
      <c r="K468" s="116">
        <f t="shared" si="68"/>
        <v>0.84019999999999584</v>
      </c>
      <c r="L468" s="116">
        <f t="shared" si="69"/>
        <v>0.70593603999999299</v>
      </c>
      <c r="M468" s="117">
        <f t="shared" si="65"/>
        <v>1.8293054648377875E-2</v>
      </c>
    </row>
    <row r="469" spans="1:13">
      <c r="A469" s="112">
        <v>466</v>
      </c>
      <c r="B469" s="113">
        <v>42306</v>
      </c>
      <c r="C469" s="114">
        <v>46.02</v>
      </c>
      <c r="D469" s="115">
        <f t="shared" si="64"/>
        <v>46.214999999999989</v>
      </c>
      <c r="E469" s="115">
        <f t="shared" si="60"/>
        <v>-0.19499999999998607</v>
      </c>
      <c r="F469" s="115">
        <f t="shared" si="61"/>
        <v>0.19499999999998607</v>
      </c>
      <c r="G469" s="115">
        <f t="shared" si="62"/>
        <v>3.802499999999457E-2</v>
      </c>
      <c r="H469" s="115">
        <f t="shared" si="63"/>
        <v>4.2372881355929176E-3</v>
      </c>
      <c r="I469" s="116">
        <f t="shared" si="66"/>
        <v>45.193400000000004</v>
      </c>
      <c r="J469" s="116">
        <f t="shared" si="67"/>
        <v>0.82659999999999911</v>
      </c>
      <c r="K469" s="116">
        <f t="shared" si="68"/>
        <v>0.82659999999999911</v>
      </c>
      <c r="L469" s="116">
        <f t="shared" si="69"/>
        <v>0.68326755999999855</v>
      </c>
      <c r="M469" s="117">
        <f t="shared" si="65"/>
        <v>1.7961755758365908E-2</v>
      </c>
    </row>
    <row r="470" spans="1:13">
      <c r="A470" s="112">
        <v>467</v>
      </c>
      <c r="B470" s="107">
        <v>42307</v>
      </c>
      <c r="C470" s="108">
        <v>46.6</v>
      </c>
      <c r="D470" s="115">
        <f t="shared" si="64"/>
        <v>46.278499999999994</v>
      </c>
      <c r="E470" s="115">
        <f t="shared" si="60"/>
        <v>0.32150000000000745</v>
      </c>
      <c r="F470" s="115">
        <f t="shared" si="61"/>
        <v>0.32150000000000745</v>
      </c>
      <c r="G470" s="115">
        <f t="shared" si="62"/>
        <v>0.10336225000000479</v>
      </c>
      <c r="H470" s="115">
        <f t="shared" si="63"/>
        <v>6.8991416309014475E-3</v>
      </c>
      <c r="I470" s="116">
        <f t="shared" si="66"/>
        <v>45.293800000000005</v>
      </c>
      <c r="J470" s="116">
        <f t="shared" si="67"/>
        <v>1.3061999999999969</v>
      </c>
      <c r="K470" s="116">
        <f t="shared" si="68"/>
        <v>1.3061999999999969</v>
      </c>
      <c r="L470" s="116">
        <f t="shared" si="69"/>
        <v>1.7061584399999921</v>
      </c>
      <c r="M470" s="117">
        <f t="shared" si="65"/>
        <v>2.8030042918454869E-2</v>
      </c>
    </row>
    <row r="471" spans="1:13">
      <c r="A471" s="112">
        <v>468</v>
      </c>
      <c r="B471" s="113">
        <v>42310</v>
      </c>
      <c r="C471" s="114">
        <v>46.12</v>
      </c>
      <c r="D471" s="115">
        <f t="shared" si="64"/>
        <v>46.331499999999991</v>
      </c>
      <c r="E471" s="115">
        <f t="shared" si="60"/>
        <v>-0.2114999999999938</v>
      </c>
      <c r="F471" s="115">
        <f t="shared" si="61"/>
        <v>0.2114999999999938</v>
      </c>
      <c r="G471" s="115">
        <f t="shared" si="62"/>
        <v>4.4732249999997378E-2</v>
      </c>
      <c r="H471" s="115">
        <f t="shared" si="63"/>
        <v>4.5858629661750614E-3</v>
      </c>
      <c r="I471" s="116">
        <f t="shared" si="66"/>
        <v>45.416800000000002</v>
      </c>
      <c r="J471" s="116">
        <f t="shared" si="67"/>
        <v>0.70319999999999538</v>
      </c>
      <c r="K471" s="116">
        <f t="shared" si="68"/>
        <v>0.70319999999999538</v>
      </c>
      <c r="L471" s="116">
        <f t="shared" si="69"/>
        <v>0.49449023999999353</v>
      </c>
      <c r="M471" s="117">
        <f t="shared" si="65"/>
        <v>1.5247181266261825E-2</v>
      </c>
    </row>
    <row r="472" spans="1:13">
      <c r="A472" s="112">
        <v>469</v>
      </c>
      <c r="B472" s="107">
        <v>42311</v>
      </c>
      <c r="C472" s="108">
        <v>47.88</v>
      </c>
      <c r="D472" s="115">
        <f t="shared" si="64"/>
        <v>46.323499999999996</v>
      </c>
      <c r="E472" s="115">
        <f t="shared" ref="E472:E535" si="70">C472-D472</f>
        <v>1.5565000000000069</v>
      </c>
      <c r="F472" s="115">
        <f t="shared" ref="F472:F535" si="71">ABS(E472)</f>
        <v>1.5565000000000069</v>
      </c>
      <c r="G472" s="115">
        <f t="shared" ref="G472:G535" si="72">E472^2</f>
        <v>2.4226922500000212</v>
      </c>
      <c r="H472" s="115">
        <f t="shared" ref="H472:H535" si="73">F472/C472</f>
        <v>3.2508354218880674E-2</v>
      </c>
      <c r="I472" s="116">
        <f t="shared" si="66"/>
        <v>45.574799999999996</v>
      </c>
      <c r="J472" s="116">
        <f t="shared" si="67"/>
        <v>2.3052000000000064</v>
      </c>
      <c r="K472" s="116">
        <f t="shared" si="68"/>
        <v>2.3052000000000064</v>
      </c>
      <c r="L472" s="116">
        <f t="shared" si="69"/>
        <v>5.3139470400000297</v>
      </c>
      <c r="M472" s="117">
        <f t="shared" si="65"/>
        <v>4.8145363408521435E-2</v>
      </c>
    </row>
    <row r="473" spans="1:13">
      <c r="A473" s="112">
        <v>470</v>
      </c>
      <c r="B473" s="113">
        <v>42312</v>
      </c>
      <c r="C473" s="114">
        <v>46.32</v>
      </c>
      <c r="D473" s="115">
        <f t="shared" si="64"/>
        <v>46.290999999999997</v>
      </c>
      <c r="E473" s="115">
        <f t="shared" si="70"/>
        <v>2.9000000000003467E-2</v>
      </c>
      <c r="F473" s="115">
        <f t="shared" si="71"/>
        <v>2.9000000000003467E-2</v>
      </c>
      <c r="G473" s="115">
        <f t="shared" si="72"/>
        <v>8.4100000000020107E-4</v>
      </c>
      <c r="H473" s="115">
        <f t="shared" si="73"/>
        <v>6.2607944732304545E-4</v>
      </c>
      <c r="I473" s="116">
        <f t="shared" si="66"/>
        <v>45.749399999999994</v>
      </c>
      <c r="J473" s="116">
        <f t="shared" si="67"/>
        <v>0.57060000000000599</v>
      </c>
      <c r="K473" s="116">
        <f t="shared" si="68"/>
        <v>0.57060000000000599</v>
      </c>
      <c r="L473" s="116">
        <f t="shared" si="69"/>
        <v>0.32558436000000684</v>
      </c>
      <c r="M473" s="117">
        <f t="shared" si="65"/>
        <v>1.2318652849741062E-2</v>
      </c>
    </row>
    <row r="474" spans="1:13">
      <c r="A474" s="112">
        <v>471</v>
      </c>
      <c r="B474" s="107">
        <v>42313</v>
      </c>
      <c r="C474" s="108">
        <v>45.27</v>
      </c>
      <c r="D474" s="115">
        <f t="shared" ref="D474:D537" si="74">AVERAGE(C454:C473)</f>
        <v>46.214000000000006</v>
      </c>
      <c r="E474" s="115">
        <f t="shared" si="70"/>
        <v>-0.94400000000000261</v>
      </c>
      <c r="F474" s="115">
        <f t="shared" si="71"/>
        <v>0.94400000000000261</v>
      </c>
      <c r="G474" s="115">
        <f t="shared" si="72"/>
        <v>0.89113600000000492</v>
      </c>
      <c r="H474" s="115">
        <f t="shared" si="73"/>
        <v>2.0852661806936217E-2</v>
      </c>
      <c r="I474" s="116">
        <f t="shared" si="66"/>
        <v>45.905800000000006</v>
      </c>
      <c r="J474" s="116">
        <f t="shared" si="67"/>
        <v>-0.63580000000000325</v>
      </c>
      <c r="K474" s="116">
        <f t="shared" si="68"/>
        <v>0.63580000000000325</v>
      </c>
      <c r="L474" s="116">
        <f t="shared" si="69"/>
        <v>0.40424164000000412</v>
      </c>
      <c r="M474" s="117">
        <f t="shared" si="65"/>
        <v>-1.4044621161917455E-2</v>
      </c>
    </row>
    <row r="475" spans="1:13">
      <c r="A475" s="112">
        <v>472</v>
      </c>
      <c r="B475" s="113">
        <v>42314</v>
      </c>
      <c r="C475" s="114">
        <v>44.32</v>
      </c>
      <c r="D475" s="115">
        <f t="shared" si="74"/>
        <v>46.0045</v>
      </c>
      <c r="E475" s="115">
        <f t="shared" si="70"/>
        <v>-1.6844999999999999</v>
      </c>
      <c r="F475" s="115">
        <f t="shared" si="71"/>
        <v>1.6844999999999999</v>
      </c>
      <c r="G475" s="115">
        <f t="shared" si="72"/>
        <v>2.8375402499999995</v>
      </c>
      <c r="H475" s="115">
        <f t="shared" si="73"/>
        <v>3.8007671480144403E-2</v>
      </c>
      <c r="I475" s="116">
        <f t="shared" si="66"/>
        <v>45.961800000000004</v>
      </c>
      <c r="J475" s="116">
        <f t="shared" si="67"/>
        <v>-1.6418000000000035</v>
      </c>
      <c r="K475" s="116">
        <f t="shared" si="68"/>
        <v>1.6418000000000035</v>
      </c>
      <c r="L475" s="116">
        <f t="shared" si="69"/>
        <v>2.6955072400000115</v>
      </c>
      <c r="M475" s="117">
        <f t="shared" si="65"/>
        <v>-3.7044223826714878E-2</v>
      </c>
    </row>
    <row r="476" spans="1:13">
      <c r="A476" s="112">
        <v>473</v>
      </c>
      <c r="B476" s="107">
        <v>42317</v>
      </c>
      <c r="C476" s="108">
        <v>43.87</v>
      </c>
      <c r="D476" s="115">
        <f t="shared" si="74"/>
        <v>45.737000000000002</v>
      </c>
      <c r="E476" s="115">
        <f t="shared" si="70"/>
        <v>-1.8670000000000044</v>
      </c>
      <c r="F476" s="115">
        <f t="shared" si="71"/>
        <v>1.8670000000000044</v>
      </c>
      <c r="G476" s="115">
        <f t="shared" si="72"/>
        <v>3.4856890000000167</v>
      </c>
      <c r="H476" s="115">
        <f t="shared" si="73"/>
        <v>4.2557556416685766E-2</v>
      </c>
      <c r="I476" s="116">
        <f t="shared" si="66"/>
        <v>45.942400000000013</v>
      </c>
      <c r="J476" s="116">
        <f t="shared" si="67"/>
        <v>-2.072400000000016</v>
      </c>
      <c r="K476" s="116">
        <f t="shared" si="68"/>
        <v>2.072400000000016</v>
      </c>
      <c r="L476" s="116">
        <f t="shared" si="69"/>
        <v>4.2948417600000663</v>
      </c>
      <c r="M476" s="117">
        <f t="shared" si="65"/>
        <v>-4.7239571461135541E-2</v>
      </c>
    </row>
    <row r="477" spans="1:13">
      <c r="A477" s="112">
        <v>474</v>
      </c>
      <c r="B477" s="113">
        <v>42318</v>
      </c>
      <c r="C477" s="114">
        <v>44.23</v>
      </c>
      <c r="D477" s="115">
        <f t="shared" si="74"/>
        <v>45.576000000000001</v>
      </c>
      <c r="E477" s="115">
        <f t="shared" si="70"/>
        <v>-1.3460000000000036</v>
      </c>
      <c r="F477" s="115">
        <f t="shared" si="71"/>
        <v>1.3460000000000036</v>
      </c>
      <c r="G477" s="115">
        <f t="shared" si="72"/>
        <v>1.8117160000000099</v>
      </c>
      <c r="H477" s="115">
        <f t="shared" si="73"/>
        <v>3.043183359710612E-2</v>
      </c>
      <c r="I477" s="116">
        <f t="shared" si="66"/>
        <v>45.835800000000006</v>
      </c>
      <c r="J477" s="116">
        <f t="shared" si="67"/>
        <v>-1.6058000000000092</v>
      </c>
      <c r="K477" s="116">
        <f t="shared" si="68"/>
        <v>1.6058000000000092</v>
      </c>
      <c r="L477" s="116">
        <f t="shared" si="69"/>
        <v>2.5785936400000296</v>
      </c>
      <c r="M477" s="117">
        <f t="shared" si="65"/>
        <v>-3.6305674881302492E-2</v>
      </c>
    </row>
    <row r="478" spans="1:13">
      <c r="A478" s="112">
        <v>475</v>
      </c>
      <c r="B478" s="107">
        <v>42319</v>
      </c>
      <c r="C478" s="108">
        <v>42.95</v>
      </c>
      <c r="D478" s="115">
        <f t="shared" si="74"/>
        <v>45.452500000000001</v>
      </c>
      <c r="E478" s="115">
        <f t="shared" si="70"/>
        <v>-2.5024999999999977</v>
      </c>
      <c r="F478" s="115">
        <f t="shared" si="71"/>
        <v>2.5024999999999977</v>
      </c>
      <c r="G478" s="115">
        <f t="shared" si="72"/>
        <v>6.2625062499999888</v>
      </c>
      <c r="H478" s="115">
        <f t="shared" si="73"/>
        <v>5.8265424912689115E-2</v>
      </c>
      <c r="I478" s="116">
        <f t="shared" si="66"/>
        <v>45.81280000000001</v>
      </c>
      <c r="J478" s="116">
        <f t="shared" si="67"/>
        <v>-2.8628000000000071</v>
      </c>
      <c r="K478" s="116">
        <f t="shared" si="68"/>
        <v>2.8628000000000071</v>
      </c>
      <c r="L478" s="116">
        <f t="shared" si="69"/>
        <v>8.1956238400000405</v>
      </c>
      <c r="M478" s="117">
        <f t="shared" si="65"/>
        <v>-6.6654249126891899E-2</v>
      </c>
    </row>
    <row r="479" spans="1:13">
      <c r="A479" s="112">
        <v>476</v>
      </c>
      <c r="B479" s="113">
        <v>42320</v>
      </c>
      <c r="C479" s="114">
        <v>41.74</v>
      </c>
      <c r="D479" s="115">
        <f t="shared" si="74"/>
        <v>45.268500000000003</v>
      </c>
      <c r="E479" s="115">
        <f t="shared" si="70"/>
        <v>-3.5285000000000011</v>
      </c>
      <c r="F479" s="115">
        <f t="shared" si="71"/>
        <v>3.5285000000000011</v>
      </c>
      <c r="G479" s="115">
        <f t="shared" si="72"/>
        <v>12.450312250000007</v>
      </c>
      <c r="H479" s="115">
        <f t="shared" si="73"/>
        <v>8.4535218016291352E-2</v>
      </c>
      <c r="I479" s="116">
        <f t="shared" si="66"/>
        <v>45.745800000000003</v>
      </c>
      <c r="J479" s="116">
        <f t="shared" si="67"/>
        <v>-4.0058000000000007</v>
      </c>
      <c r="K479" s="116">
        <f t="shared" si="68"/>
        <v>4.0058000000000007</v>
      </c>
      <c r="L479" s="116">
        <f t="shared" si="69"/>
        <v>16.046433640000007</v>
      </c>
      <c r="M479" s="117">
        <f t="shared" si="65"/>
        <v>-9.5970292285577394E-2</v>
      </c>
    </row>
    <row r="480" spans="1:13">
      <c r="A480" s="112">
        <v>477</v>
      </c>
      <c r="B480" s="107">
        <v>42321</v>
      </c>
      <c r="C480" s="108">
        <v>40.69</v>
      </c>
      <c r="D480" s="115">
        <f t="shared" si="74"/>
        <v>45.036500000000004</v>
      </c>
      <c r="E480" s="115">
        <f t="shared" si="70"/>
        <v>-4.346500000000006</v>
      </c>
      <c r="F480" s="115">
        <f t="shared" si="71"/>
        <v>4.346500000000006</v>
      </c>
      <c r="G480" s="115">
        <f t="shared" si="72"/>
        <v>18.892062250000052</v>
      </c>
      <c r="H480" s="115">
        <f t="shared" si="73"/>
        <v>0.10681985745883525</v>
      </c>
      <c r="I480" s="116">
        <f t="shared" si="66"/>
        <v>45.645599999999995</v>
      </c>
      <c r="J480" s="116">
        <f t="shared" si="67"/>
        <v>-4.9555999999999969</v>
      </c>
      <c r="K480" s="116">
        <f t="shared" si="68"/>
        <v>4.9555999999999969</v>
      </c>
      <c r="L480" s="116">
        <f t="shared" si="69"/>
        <v>24.557971359999968</v>
      </c>
      <c r="M480" s="117">
        <f t="shared" si="65"/>
        <v>-0.12178913738019162</v>
      </c>
    </row>
    <row r="481" spans="1:13">
      <c r="A481" s="112">
        <v>478</v>
      </c>
      <c r="B481" s="113">
        <v>42324</v>
      </c>
      <c r="C481" s="114">
        <v>41.68</v>
      </c>
      <c r="D481" s="115">
        <f t="shared" si="74"/>
        <v>44.706000000000003</v>
      </c>
      <c r="E481" s="115">
        <f t="shared" si="70"/>
        <v>-3.0260000000000034</v>
      </c>
      <c r="F481" s="115">
        <f t="shared" si="71"/>
        <v>3.0260000000000034</v>
      </c>
      <c r="G481" s="115">
        <f t="shared" si="72"/>
        <v>9.1566760000000205</v>
      </c>
      <c r="H481" s="115">
        <f t="shared" si="73"/>
        <v>7.2600767754318701E-2</v>
      </c>
      <c r="I481" s="116">
        <f t="shared" si="66"/>
        <v>45.538999999999994</v>
      </c>
      <c r="J481" s="116">
        <f t="shared" si="67"/>
        <v>-3.8589999999999947</v>
      </c>
      <c r="K481" s="116">
        <f t="shared" si="68"/>
        <v>3.8589999999999947</v>
      </c>
      <c r="L481" s="116">
        <f t="shared" si="69"/>
        <v>14.891880999999959</v>
      </c>
      <c r="M481" s="117">
        <f t="shared" si="65"/>
        <v>-9.2586372360844396E-2</v>
      </c>
    </row>
    <row r="482" spans="1:13">
      <c r="A482" s="112">
        <v>479</v>
      </c>
      <c r="B482" s="107">
        <v>42325</v>
      </c>
      <c r="C482" s="108">
        <v>40.729999999999997</v>
      </c>
      <c r="D482" s="115">
        <f t="shared" si="74"/>
        <v>44.494500000000002</v>
      </c>
      <c r="E482" s="115">
        <f t="shared" si="70"/>
        <v>-3.7645000000000053</v>
      </c>
      <c r="F482" s="115">
        <f t="shared" si="71"/>
        <v>3.7645000000000053</v>
      </c>
      <c r="G482" s="115">
        <f t="shared" si="72"/>
        <v>14.17146025000004</v>
      </c>
      <c r="H482" s="115">
        <f t="shared" si="73"/>
        <v>9.2425730419838092E-2</v>
      </c>
      <c r="I482" s="116">
        <f t="shared" si="66"/>
        <v>45.452199999999991</v>
      </c>
      <c r="J482" s="116">
        <f t="shared" si="67"/>
        <v>-4.7221999999999937</v>
      </c>
      <c r="K482" s="116">
        <f t="shared" si="68"/>
        <v>4.7221999999999937</v>
      </c>
      <c r="L482" s="116">
        <f t="shared" si="69"/>
        <v>22.29917283999994</v>
      </c>
      <c r="M482" s="117">
        <f t="shared" si="65"/>
        <v>-0.11593911122023064</v>
      </c>
    </row>
    <row r="483" spans="1:13">
      <c r="A483" s="112">
        <v>480</v>
      </c>
      <c r="B483" s="113">
        <v>42326</v>
      </c>
      <c r="C483" s="114">
        <v>40.75</v>
      </c>
      <c r="D483" s="115">
        <f t="shared" si="74"/>
        <v>44.239000000000004</v>
      </c>
      <c r="E483" s="115">
        <f t="shared" si="70"/>
        <v>-3.4890000000000043</v>
      </c>
      <c r="F483" s="115">
        <f t="shared" si="71"/>
        <v>3.4890000000000043</v>
      </c>
      <c r="G483" s="115">
        <f t="shared" si="72"/>
        <v>12.17312100000003</v>
      </c>
      <c r="H483" s="115">
        <f t="shared" si="73"/>
        <v>8.561963190184059E-2</v>
      </c>
      <c r="I483" s="116">
        <f t="shared" si="66"/>
        <v>45.348399999999991</v>
      </c>
      <c r="J483" s="116">
        <f t="shared" si="67"/>
        <v>-4.5983999999999909</v>
      </c>
      <c r="K483" s="116">
        <f t="shared" si="68"/>
        <v>4.5983999999999909</v>
      </c>
      <c r="L483" s="116">
        <f t="shared" si="69"/>
        <v>21.145282559999917</v>
      </c>
      <c r="M483" s="117">
        <f t="shared" si="65"/>
        <v>-0.11284417177914088</v>
      </c>
    </row>
    <row r="484" spans="1:13">
      <c r="A484" s="112">
        <v>481</v>
      </c>
      <c r="B484" s="107">
        <v>42327</v>
      </c>
      <c r="C484" s="108">
        <v>40.549999999999997</v>
      </c>
      <c r="D484" s="115">
        <f t="shared" si="74"/>
        <v>44.015500000000003</v>
      </c>
      <c r="E484" s="115">
        <f t="shared" si="70"/>
        <v>-3.4655000000000058</v>
      </c>
      <c r="F484" s="115">
        <f t="shared" si="71"/>
        <v>3.4655000000000058</v>
      </c>
      <c r="G484" s="115">
        <f t="shared" si="72"/>
        <v>12.009690250000039</v>
      </c>
      <c r="H484" s="115">
        <f t="shared" si="73"/>
        <v>8.5462392108508159E-2</v>
      </c>
      <c r="I484" s="116">
        <f t="shared" si="66"/>
        <v>45.280799999999992</v>
      </c>
      <c r="J484" s="116">
        <f t="shared" si="67"/>
        <v>-4.730799999999995</v>
      </c>
      <c r="K484" s="116">
        <f t="shared" si="68"/>
        <v>4.730799999999995</v>
      </c>
      <c r="L484" s="116">
        <f t="shared" si="69"/>
        <v>22.380468639999954</v>
      </c>
      <c r="M484" s="117">
        <f t="shared" si="65"/>
        <v>-0.11666584463625143</v>
      </c>
    </row>
    <row r="485" spans="1:13">
      <c r="A485" s="112">
        <v>482</v>
      </c>
      <c r="B485" s="113">
        <v>42328</v>
      </c>
      <c r="C485" s="114">
        <v>39.39</v>
      </c>
      <c r="D485" s="115">
        <f t="shared" si="74"/>
        <v>43.797999999999995</v>
      </c>
      <c r="E485" s="115">
        <f t="shared" si="70"/>
        <v>-4.4079999999999941</v>
      </c>
      <c r="F485" s="115">
        <f t="shared" si="71"/>
        <v>4.4079999999999941</v>
      </c>
      <c r="G485" s="115">
        <f t="shared" si="72"/>
        <v>19.430463999999947</v>
      </c>
      <c r="H485" s="115">
        <f t="shared" si="73"/>
        <v>0.11190657527291176</v>
      </c>
      <c r="I485" s="116">
        <f t="shared" si="66"/>
        <v>45.174800000000005</v>
      </c>
      <c r="J485" s="116">
        <f t="shared" si="67"/>
        <v>-5.7848000000000042</v>
      </c>
      <c r="K485" s="116">
        <f t="shared" si="68"/>
        <v>5.7848000000000042</v>
      </c>
      <c r="L485" s="116">
        <f t="shared" si="69"/>
        <v>33.463911040000049</v>
      </c>
      <c r="M485" s="117">
        <f t="shared" si="65"/>
        <v>-0.14685960903782697</v>
      </c>
    </row>
    <row r="486" spans="1:13">
      <c r="A486" s="112">
        <v>483</v>
      </c>
      <c r="B486" s="107">
        <v>42331</v>
      </c>
      <c r="C486" s="108">
        <v>39.270000000000003</v>
      </c>
      <c r="D486" s="115">
        <f t="shared" si="74"/>
        <v>43.571999999999989</v>
      </c>
      <c r="E486" s="115">
        <f t="shared" si="70"/>
        <v>-4.3019999999999854</v>
      </c>
      <c r="F486" s="115">
        <f t="shared" si="71"/>
        <v>4.3019999999999854</v>
      </c>
      <c r="G486" s="115">
        <f t="shared" si="72"/>
        <v>18.507203999999874</v>
      </c>
      <c r="H486" s="115">
        <f t="shared" si="73"/>
        <v>0.10954927425515623</v>
      </c>
      <c r="I486" s="116">
        <f t="shared" si="66"/>
        <v>45.067599999999999</v>
      </c>
      <c r="J486" s="116">
        <f t="shared" si="67"/>
        <v>-5.7975999999999956</v>
      </c>
      <c r="K486" s="116">
        <f t="shared" si="68"/>
        <v>5.7975999999999956</v>
      </c>
      <c r="L486" s="116">
        <f t="shared" si="69"/>
        <v>33.612165759999947</v>
      </c>
      <c r="M486" s="117">
        <f t="shared" si="65"/>
        <v>-0.14763432645785574</v>
      </c>
    </row>
    <row r="487" spans="1:13">
      <c r="A487" s="112">
        <v>484</v>
      </c>
      <c r="B487" s="113">
        <v>42332</v>
      </c>
      <c r="C487" s="114">
        <v>40.89</v>
      </c>
      <c r="D487" s="115">
        <f t="shared" si="74"/>
        <v>43.375999999999998</v>
      </c>
      <c r="E487" s="115">
        <f t="shared" si="70"/>
        <v>-2.4859999999999971</v>
      </c>
      <c r="F487" s="115">
        <f t="shared" si="71"/>
        <v>2.4859999999999971</v>
      </c>
      <c r="G487" s="115">
        <f t="shared" si="72"/>
        <v>6.1801959999999854</v>
      </c>
      <c r="H487" s="115">
        <f t="shared" si="73"/>
        <v>6.0797260943996012E-2</v>
      </c>
      <c r="I487" s="116">
        <f t="shared" si="66"/>
        <v>44.971600000000009</v>
      </c>
      <c r="J487" s="116">
        <f t="shared" si="67"/>
        <v>-4.0816000000000088</v>
      </c>
      <c r="K487" s="116">
        <f t="shared" si="68"/>
        <v>4.0816000000000088</v>
      </c>
      <c r="L487" s="116">
        <f t="shared" si="69"/>
        <v>16.659458560000072</v>
      </c>
      <c r="M487" s="117">
        <f t="shared" si="65"/>
        <v>-9.9819026656884538E-2</v>
      </c>
    </row>
    <row r="488" spans="1:13">
      <c r="A488" s="112">
        <v>485</v>
      </c>
      <c r="B488" s="107">
        <v>42333</v>
      </c>
      <c r="C488" s="108">
        <v>41.22</v>
      </c>
      <c r="D488" s="115">
        <f t="shared" si="74"/>
        <v>43.26</v>
      </c>
      <c r="E488" s="115">
        <f t="shared" si="70"/>
        <v>-2.0399999999999991</v>
      </c>
      <c r="F488" s="115">
        <f t="shared" si="71"/>
        <v>2.0399999999999991</v>
      </c>
      <c r="G488" s="115">
        <f t="shared" si="72"/>
        <v>4.1615999999999964</v>
      </c>
      <c r="H488" s="115">
        <f t="shared" si="73"/>
        <v>4.9490538573507985E-2</v>
      </c>
      <c r="I488" s="116">
        <f t="shared" si="66"/>
        <v>44.897799999999997</v>
      </c>
      <c r="J488" s="116">
        <f t="shared" si="67"/>
        <v>-3.6777999999999977</v>
      </c>
      <c r="K488" s="116">
        <f t="shared" si="68"/>
        <v>3.6777999999999977</v>
      </c>
      <c r="L488" s="116">
        <f t="shared" si="69"/>
        <v>13.526212839999983</v>
      </c>
      <c r="M488" s="117">
        <f t="shared" si="65"/>
        <v>-8.9223677826297865E-2</v>
      </c>
    </row>
    <row r="489" spans="1:13">
      <c r="A489" s="112">
        <v>486</v>
      </c>
      <c r="B489" s="113">
        <v>42334</v>
      </c>
      <c r="C489" s="114">
        <v>41.22</v>
      </c>
      <c r="D489" s="115">
        <f t="shared" si="74"/>
        <v>43.024499999999996</v>
      </c>
      <c r="E489" s="115">
        <f t="shared" si="70"/>
        <v>-1.8044999999999973</v>
      </c>
      <c r="F489" s="115">
        <f t="shared" si="71"/>
        <v>1.8044999999999973</v>
      </c>
      <c r="G489" s="115">
        <f t="shared" si="72"/>
        <v>3.2562202499999904</v>
      </c>
      <c r="H489" s="115">
        <f t="shared" si="73"/>
        <v>4.3777292576419151E-2</v>
      </c>
      <c r="I489" s="116">
        <f t="shared" si="66"/>
        <v>44.779799999999994</v>
      </c>
      <c r="J489" s="116">
        <f t="shared" si="67"/>
        <v>-3.5597999999999956</v>
      </c>
      <c r="K489" s="116">
        <f t="shared" si="68"/>
        <v>3.5597999999999956</v>
      </c>
      <c r="L489" s="116">
        <f t="shared" si="69"/>
        <v>12.672176039999968</v>
      </c>
      <c r="M489" s="117">
        <f t="shared" si="65"/>
        <v>-8.6360989810771366E-2</v>
      </c>
    </row>
    <row r="490" spans="1:13">
      <c r="A490" s="112">
        <v>487</v>
      </c>
      <c r="B490" s="107">
        <v>42335</v>
      </c>
      <c r="C490" s="108">
        <v>40.57</v>
      </c>
      <c r="D490" s="115">
        <f t="shared" si="74"/>
        <v>42.784499999999994</v>
      </c>
      <c r="E490" s="115">
        <f t="shared" si="70"/>
        <v>-2.2144999999999939</v>
      </c>
      <c r="F490" s="115">
        <f t="shared" si="71"/>
        <v>2.2144999999999939</v>
      </c>
      <c r="G490" s="115">
        <f t="shared" si="72"/>
        <v>4.9040102499999731</v>
      </c>
      <c r="H490" s="115">
        <f t="shared" si="73"/>
        <v>5.4584668474241899E-2</v>
      </c>
      <c r="I490" s="116">
        <f t="shared" si="66"/>
        <v>44.665599999999998</v>
      </c>
      <c r="J490" s="116">
        <f t="shared" si="67"/>
        <v>-4.0955999999999975</v>
      </c>
      <c r="K490" s="116">
        <f t="shared" si="68"/>
        <v>4.0955999999999975</v>
      </c>
      <c r="L490" s="116">
        <f t="shared" si="69"/>
        <v>16.773939359999979</v>
      </c>
      <c r="M490" s="117">
        <f t="shared" si="65"/>
        <v>-0.10095144195218135</v>
      </c>
    </row>
    <row r="491" spans="1:13">
      <c r="A491" s="112">
        <v>488</v>
      </c>
      <c r="B491" s="113">
        <v>42338</v>
      </c>
      <c r="C491" s="114">
        <v>40.43</v>
      </c>
      <c r="D491" s="115">
        <f t="shared" si="74"/>
        <v>42.482999999999997</v>
      </c>
      <c r="E491" s="115">
        <f t="shared" si="70"/>
        <v>-2.0529999999999973</v>
      </c>
      <c r="F491" s="115">
        <f t="shared" si="71"/>
        <v>2.0529999999999973</v>
      </c>
      <c r="G491" s="115">
        <f t="shared" si="72"/>
        <v>4.2148089999999891</v>
      </c>
      <c r="H491" s="115">
        <f t="shared" si="73"/>
        <v>5.0779124412564859E-2</v>
      </c>
      <c r="I491" s="116">
        <f t="shared" si="66"/>
        <v>44.582799999999999</v>
      </c>
      <c r="J491" s="116">
        <f t="shared" si="67"/>
        <v>-4.1527999999999992</v>
      </c>
      <c r="K491" s="116">
        <f t="shared" si="68"/>
        <v>4.1527999999999992</v>
      </c>
      <c r="L491" s="116">
        <f t="shared" si="69"/>
        <v>17.245747839999993</v>
      </c>
      <c r="M491" s="117">
        <f t="shared" si="65"/>
        <v>-0.10271580509522629</v>
      </c>
    </row>
    <row r="492" spans="1:13">
      <c r="A492" s="112">
        <v>489</v>
      </c>
      <c r="B492" s="107">
        <v>42339</v>
      </c>
      <c r="C492" s="108">
        <v>40.58</v>
      </c>
      <c r="D492" s="115">
        <f t="shared" si="74"/>
        <v>42.198500000000003</v>
      </c>
      <c r="E492" s="115">
        <f t="shared" si="70"/>
        <v>-1.6185000000000045</v>
      </c>
      <c r="F492" s="115">
        <f t="shared" si="71"/>
        <v>1.6185000000000045</v>
      </c>
      <c r="G492" s="115">
        <f t="shared" si="72"/>
        <v>2.6195422500000145</v>
      </c>
      <c r="H492" s="115">
        <f t="shared" si="73"/>
        <v>3.9884179398718696E-2</v>
      </c>
      <c r="I492" s="116">
        <f t="shared" si="66"/>
        <v>44.457999999999991</v>
      </c>
      <c r="J492" s="116">
        <f t="shared" si="67"/>
        <v>-3.877999999999993</v>
      </c>
      <c r="K492" s="116">
        <f t="shared" si="68"/>
        <v>3.877999999999993</v>
      </c>
      <c r="L492" s="116">
        <f t="shared" si="69"/>
        <v>15.038883999999946</v>
      </c>
      <c r="M492" s="117">
        <f t="shared" si="65"/>
        <v>-9.5564317397732704E-2</v>
      </c>
    </row>
    <row r="493" spans="1:13">
      <c r="A493" s="112">
        <v>490</v>
      </c>
      <c r="B493" s="113">
        <v>42340</v>
      </c>
      <c r="C493" s="114">
        <v>39.93</v>
      </c>
      <c r="D493" s="115">
        <f t="shared" si="74"/>
        <v>41.833500000000001</v>
      </c>
      <c r="E493" s="115">
        <f t="shared" si="70"/>
        <v>-1.9035000000000011</v>
      </c>
      <c r="F493" s="115">
        <f t="shared" si="71"/>
        <v>1.9035000000000011</v>
      </c>
      <c r="G493" s="115">
        <f t="shared" si="72"/>
        <v>3.6233122500000041</v>
      </c>
      <c r="H493" s="115">
        <f t="shared" si="73"/>
        <v>4.7670924117205138E-2</v>
      </c>
      <c r="I493" s="116">
        <f t="shared" si="66"/>
        <v>44.346199999999996</v>
      </c>
      <c r="J493" s="116">
        <f t="shared" si="67"/>
        <v>-4.4161999999999964</v>
      </c>
      <c r="K493" s="116">
        <f t="shared" si="68"/>
        <v>4.4161999999999964</v>
      </c>
      <c r="L493" s="116">
        <f t="shared" si="69"/>
        <v>19.502822439999967</v>
      </c>
      <c r="M493" s="117">
        <f t="shared" si="65"/>
        <v>-0.1105985474580515</v>
      </c>
    </row>
    <row r="494" spans="1:13">
      <c r="A494" s="112">
        <v>491</v>
      </c>
      <c r="B494" s="107">
        <v>42341</v>
      </c>
      <c r="C494" s="108">
        <v>41.08</v>
      </c>
      <c r="D494" s="115">
        <f t="shared" si="74"/>
        <v>41.514000000000003</v>
      </c>
      <c r="E494" s="115">
        <f t="shared" si="70"/>
        <v>-0.4340000000000046</v>
      </c>
      <c r="F494" s="115">
        <f t="shared" si="71"/>
        <v>0.4340000000000046</v>
      </c>
      <c r="G494" s="115">
        <f t="shared" si="72"/>
        <v>0.18835600000000399</v>
      </c>
      <c r="H494" s="115">
        <f t="shared" si="73"/>
        <v>1.0564751703992323E-2</v>
      </c>
      <c r="I494" s="116">
        <f t="shared" si="66"/>
        <v>44.25419999999999</v>
      </c>
      <c r="J494" s="116">
        <f t="shared" si="67"/>
        <v>-3.1741999999999919</v>
      </c>
      <c r="K494" s="116">
        <f t="shared" si="68"/>
        <v>3.1741999999999919</v>
      </c>
      <c r="L494" s="116">
        <f t="shared" si="69"/>
        <v>10.075545639999948</v>
      </c>
      <c r="M494" s="117">
        <f t="shared" si="65"/>
        <v>-7.7268743914313334E-2</v>
      </c>
    </row>
    <row r="495" spans="1:13">
      <c r="A495" s="112">
        <v>492</v>
      </c>
      <c r="B495" s="113">
        <v>42342</v>
      </c>
      <c r="C495" s="114">
        <v>40</v>
      </c>
      <c r="D495" s="115">
        <f t="shared" si="74"/>
        <v>41.304500000000004</v>
      </c>
      <c r="E495" s="115">
        <f t="shared" si="70"/>
        <v>-1.3045000000000044</v>
      </c>
      <c r="F495" s="115">
        <f t="shared" si="71"/>
        <v>1.3045000000000044</v>
      </c>
      <c r="G495" s="115">
        <f t="shared" si="72"/>
        <v>1.7017202500000115</v>
      </c>
      <c r="H495" s="115">
        <f t="shared" si="73"/>
        <v>3.2612500000000114E-2</v>
      </c>
      <c r="I495" s="116">
        <f t="shared" si="66"/>
        <v>44.177</v>
      </c>
      <c r="J495" s="116">
        <f t="shared" si="67"/>
        <v>-4.1769999999999996</v>
      </c>
      <c r="K495" s="116">
        <f t="shared" si="68"/>
        <v>4.1769999999999996</v>
      </c>
      <c r="L495" s="116">
        <f t="shared" si="69"/>
        <v>17.447328999999996</v>
      </c>
      <c r="M495" s="117">
        <f t="shared" si="65"/>
        <v>-0.10442499999999999</v>
      </c>
    </row>
    <row r="496" spans="1:13">
      <c r="A496" s="112">
        <v>493</v>
      </c>
      <c r="B496" s="107">
        <v>42345</v>
      </c>
      <c r="C496" s="108">
        <v>37.64</v>
      </c>
      <c r="D496" s="115">
        <f t="shared" si="74"/>
        <v>41.088500000000003</v>
      </c>
      <c r="E496" s="115">
        <f t="shared" si="70"/>
        <v>-3.4485000000000028</v>
      </c>
      <c r="F496" s="115">
        <f t="shared" si="71"/>
        <v>3.4485000000000028</v>
      </c>
      <c r="G496" s="115">
        <f t="shared" si="72"/>
        <v>11.89215225000002</v>
      </c>
      <c r="H496" s="115">
        <f t="shared" si="73"/>
        <v>9.1617959617428343E-2</v>
      </c>
      <c r="I496" s="116">
        <f t="shared" si="66"/>
        <v>44.065999999999995</v>
      </c>
      <c r="J496" s="116">
        <f t="shared" si="67"/>
        <v>-6.4259999999999948</v>
      </c>
      <c r="K496" s="116">
        <f t="shared" si="68"/>
        <v>6.4259999999999948</v>
      </c>
      <c r="L496" s="116">
        <f t="shared" si="69"/>
        <v>41.293475999999934</v>
      </c>
      <c r="M496" s="117">
        <f t="shared" si="65"/>
        <v>-0.17072263549415501</v>
      </c>
    </row>
    <row r="497" spans="1:13">
      <c r="A497" s="112">
        <v>494</v>
      </c>
      <c r="B497" s="113">
        <v>42346</v>
      </c>
      <c r="C497" s="114">
        <v>37.46</v>
      </c>
      <c r="D497" s="115">
        <f t="shared" si="74"/>
        <v>40.777000000000001</v>
      </c>
      <c r="E497" s="115">
        <f t="shared" si="70"/>
        <v>-3.3170000000000002</v>
      </c>
      <c r="F497" s="115">
        <f t="shared" si="71"/>
        <v>3.3170000000000002</v>
      </c>
      <c r="G497" s="115">
        <f t="shared" si="72"/>
        <v>11.002489000000001</v>
      </c>
      <c r="H497" s="115">
        <f t="shared" si="73"/>
        <v>8.8547784303256813E-2</v>
      </c>
      <c r="I497" s="116">
        <f t="shared" si="66"/>
        <v>43.930799999999998</v>
      </c>
      <c r="J497" s="116">
        <f t="shared" si="67"/>
        <v>-6.470799999999997</v>
      </c>
      <c r="K497" s="116">
        <f t="shared" si="68"/>
        <v>6.470799999999997</v>
      </c>
      <c r="L497" s="116">
        <f t="shared" si="69"/>
        <v>41.871252639999959</v>
      </c>
      <c r="M497" s="117">
        <f t="shared" si="65"/>
        <v>-0.17273892151628395</v>
      </c>
    </row>
    <row r="498" spans="1:13">
      <c r="A498" s="112">
        <v>495</v>
      </c>
      <c r="B498" s="107">
        <v>42347</v>
      </c>
      <c r="C498" s="108">
        <v>37.159999999999997</v>
      </c>
      <c r="D498" s="115">
        <f t="shared" si="74"/>
        <v>40.438499999999998</v>
      </c>
      <c r="E498" s="115">
        <f t="shared" si="70"/>
        <v>-3.2785000000000011</v>
      </c>
      <c r="F498" s="115">
        <f t="shared" si="71"/>
        <v>3.2785000000000011</v>
      </c>
      <c r="G498" s="115">
        <f t="shared" si="72"/>
        <v>10.748562250000006</v>
      </c>
      <c r="H498" s="115">
        <f t="shared" si="73"/>
        <v>8.8226587728740619E-2</v>
      </c>
      <c r="I498" s="116">
        <f t="shared" si="66"/>
        <v>43.775200000000005</v>
      </c>
      <c r="J498" s="116">
        <f t="shared" si="67"/>
        <v>-6.6152000000000086</v>
      </c>
      <c r="K498" s="116">
        <f t="shared" si="68"/>
        <v>6.6152000000000086</v>
      </c>
      <c r="L498" s="116">
        <f t="shared" si="69"/>
        <v>43.760871040000112</v>
      </c>
      <c r="M498" s="117">
        <f t="shared" si="65"/>
        <v>-0.17801937567276666</v>
      </c>
    </row>
    <row r="499" spans="1:13">
      <c r="A499" s="112">
        <v>496</v>
      </c>
      <c r="B499" s="113">
        <v>42348</v>
      </c>
      <c r="C499" s="114">
        <v>36.76</v>
      </c>
      <c r="D499" s="115">
        <f t="shared" si="74"/>
        <v>40.149000000000001</v>
      </c>
      <c r="E499" s="115">
        <f t="shared" si="70"/>
        <v>-3.3890000000000029</v>
      </c>
      <c r="F499" s="115">
        <f t="shared" si="71"/>
        <v>3.3890000000000029</v>
      </c>
      <c r="G499" s="115">
        <f t="shared" si="72"/>
        <v>11.48532100000002</v>
      </c>
      <c r="H499" s="115">
        <f t="shared" si="73"/>
        <v>9.2192600652883649E-2</v>
      </c>
      <c r="I499" s="116">
        <f t="shared" si="66"/>
        <v>43.617199999999997</v>
      </c>
      <c r="J499" s="116">
        <f t="shared" si="67"/>
        <v>-6.8571999999999989</v>
      </c>
      <c r="K499" s="116">
        <f t="shared" si="68"/>
        <v>6.8571999999999989</v>
      </c>
      <c r="L499" s="116">
        <f t="shared" si="69"/>
        <v>47.021191839999986</v>
      </c>
      <c r="M499" s="117">
        <f t="shared" si="65"/>
        <v>-0.18653971708378669</v>
      </c>
    </row>
    <row r="500" spans="1:13">
      <c r="A500" s="112">
        <v>497</v>
      </c>
      <c r="B500" s="107">
        <v>42349</v>
      </c>
      <c r="C500" s="108">
        <v>35.65</v>
      </c>
      <c r="D500" s="115">
        <f t="shared" si="74"/>
        <v>39.9</v>
      </c>
      <c r="E500" s="115">
        <f t="shared" si="70"/>
        <v>-4.25</v>
      </c>
      <c r="F500" s="115">
        <f t="shared" si="71"/>
        <v>4.25</v>
      </c>
      <c r="G500" s="115">
        <f t="shared" si="72"/>
        <v>18.0625</v>
      </c>
      <c r="H500" s="115">
        <f t="shared" si="73"/>
        <v>0.11921458625525948</v>
      </c>
      <c r="I500" s="116">
        <f t="shared" si="66"/>
        <v>43.4574</v>
      </c>
      <c r="J500" s="116">
        <f t="shared" si="67"/>
        <v>-7.8074000000000012</v>
      </c>
      <c r="K500" s="116">
        <f t="shared" si="68"/>
        <v>7.8074000000000012</v>
      </c>
      <c r="L500" s="116">
        <f t="shared" si="69"/>
        <v>60.955494760000022</v>
      </c>
      <c r="M500" s="117">
        <f t="shared" si="65"/>
        <v>-0.21900140252454423</v>
      </c>
    </row>
    <row r="501" spans="1:13">
      <c r="A501" s="112">
        <v>498</v>
      </c>
      <c r="B501" s="113">
        <v>42352</v>
      </c>
      <c r="C501" s="114">
        <v>36.31</v>
      </c>
      <c r="D501" s="115">
        <f t="shared" si="74"/>
        <v>39.648000000000003</v>
      </c>
      <c r="E501" s="115">
        <f t="shared" si="70"/>
        <v>-3.338000000000001</v>
      </c>
      <c r="F501" s="115">
        <f t="shared" si="71"/>
        <v>3.338000000000001</v>
      </c>
      <c r="G501" s="115">
        <f t="shared" si="72"/>
        <v>11.142244000000007</v>
      </c>
      <c r="H501" s="115">
        <f t="shared" si="73"/>
        <v>9.1930597631506489E-2</v>
      </c>
      <c r="I501" s="116">
        <f t="shared" si="66"/>
        <v>43.259599999999999</v>
      </c>
      <c r="J501" s="116">
        <f t="shared" si="67"/>
        <v>-6.9495999999999967</v>
      </c>
      <c r="K501" s="116">
        <f t="shared" si="68"/>
        <v>6.9495999999999967</v>
      </c>
      <c r="L501" s="116">
        <f t="shared" si="69"/>
        <v>48.296940159999956</v>
      </c>
      <c r="M501" s="117">
        <f t="shared" si="65"/>
        <v>-0.19139630955659587</v>
      </c>
    </row>
    <row r="502" spans="1:13">
      <c r="A502" s="112">
        <v>499</v>
      </c>
      <c r="B502" s="107">
        <v>42353</v>
      </c>
      <c r="C502" s="108">
        <v>37.32</v>
      </c>
      <c r="D502" s="115">
        <f t="shared" si="74"/>
        <v>39.379499999999993</v>
      </c>
      <c r="E502" s="115">
        <f t="shared" si="70"/>
        <v>-2.0594999999999928</v>
      </c>
      <c r="F502" s="115">
        <f t="shared" si="71"/>
        <v>2.0594999999999928</v>
      </c>
      <c r="G502" s="115">
        <f t="shared" si="72"/>
        <v>4.2415402499999706</v>
      </c>
      <c r="H502" s="115">
        <f t="shared" si="73"/>
        <v>5.5184887459806882E-2</v>
      </c>
      <c r="I502" s="116">
        <f t="shared" si="66"/>
        <v>43.060200000000016</v>
      </c>
      <c r="J502" s="116">
        <f t="shared" si="67"/>
        <v>-5.7402000000000157</v>
      </c>
      <c r="K502" s="116">
        <f t="shared" si="68"/>
        <v>5.7402000000000157</v>
      </c>
      <c r="L502" s="116">
        <f t="shared" si="69"/>
        <v>32.949896040000183</v>
      </c>
      <c r="M502" s="117">
        <f t="shared" si="65"/>
        <v>-0.15381028938906793</v>
      </c>
    </row>
    <row r="503" spans="1:13">
      <c r="A503" s="112">
        <v>500</v>
      </c>
      <c r="B503" s="113">
        <v>42354</v>
      </c>
      <c r="C503" s="114">
        <v>35.549999999999997</v>
      </c>
      <c r="D503" s="115">
        <f t="shared" si="74"/>
        <v>39.208999999999996</v>
      </c>
      <c r="E503" s="115">
        <f t="shared" si="70"/>
        <v>-3.6589999999999989</v>
      </c>
      <c r="F503" s="115">
        <f t="shared" si="71"/>
        <v>3.6589999999999989</v>
      </c>
      <c r="G503" s="115">
        <f t="shared" si="72"/>
        <v>13.388280999999992</v>
      </c>
      <c r="H503" s="115">
        <f t="shared" si="73"/>
        <v>0.10292545710267227</v>
      </c>
      <c r="I503" s="116">
        <f t="shared" si="66"/>
        <v>42.836000000000013</v>
      </c>
      <c r="J503" s="116">
        <f t="shared" si="67"/>
        <v>-7.2860000000000156</v>
      </c>
      <c r="K503" s="116">
        <f t="shared" si="68"/>
        <v>7.2860000000000156</v>
      </c>
      <c r="L503" s="116">
        <f t="shared" si="69"/>
        <v>53.085796000000229</v>
      </c>
      <c r="M503" s="117">
        <f t="shared" ref="M503:M566" si="75">J503/C503</f>
        <v>-0.20495077355836894</v>
      </c>
    </row>
    <row r="504" spans="1:13">
      <c r="A504" s="112">
        <v>501</v>
      </c>
      <c r="B504" s="107">
        <v>42355</v>
      </c>
      <c r="C504" s="108">
        <v>34.979999999999997</v>
      </c>
      <c r="D504" s="115">
        <f t="shared" si="74"/>
        <v>38.948999999999998</v>
      </c>
      <c r="E504" s="115">
        <f t="shared" si="70"/>
        <v>-3.9690000000000012</v>
      </c>
      <c r="F504" s="115">
        <f t="shared" si="71"/>
        <v>3.9690000000000012</v>
      </c>
      <c r="G504" s="115">
        <f t="shared" si="72"/>
        <v>15.75296100000001</v>
      </c>
      <c r="H504" s="115">
        <f t="shared" si="73"/>
        <v>0.11346483704974275</v>
      </c>
      <c r="I504" s="116">
        <f t="shared" ref="I504:I567" si="76">AVERAGE(C454:C503)</f>
        <v>42.589800000000025</v>
      </c>
      <c r="J504" s="116">
        <f t="shared" ref="J504:J567" si="77">C504-I504</f>
        <v>-7.6098000000000283</v>
      </c>
      <c r="K504" s="116">
        <f t="shared" ref="K504:K567" si="78">ABS(J504)</f>
        <v>7.6098000000000283</v>
      </c>
      <c r="L504" s="116">
        <f t="shared" ref="L504:L567" si="79">J504^2</f>
        <v>57.909056040000429</v>
      </c>
      <c r="M504" s="117">
        <f t="shared" si="75"/>
        <v>-0.21754716981132158</v>
      </c>
    </row>
    <row r="505" spans="1:13">
      <c r="A505" s="112">
        <v>502</v>
      </c>
      <c r="B505" s="113">
        <v>42356</v>
      </c>
      <c r="C505" s="114">
        <v>34.72</v>
      </c>
      <c r="D505" s="115">
        <f t="shared" si="74"/>
        <v>38.670499999999997</v>
      </c>
      <c r="E505" s="115">
        <f t="shared" si="70"/>
        <v>-3.9504999999999981</v>
      </c>
      <c r="F505" s="115">
        <f t="shared" si="71"/>
        <v>3.9504999999999981</v>
      </c>
      <c r="G505" s="115">
        <f t="shared" si="72"/>
        <v>15.606450249999986</v>
      </c>
      <c r="H505" s="115">
        <f t="shared" si="73"/>
        <v>0.11378168202764972</v>
      </c>
      <c r="I505" s="116">
        <f t="shared" si="76"/>
        <v>42.300200000000011</v>
      </c>
      <c r="J505" s="116">
        <f t="shared" si="77"/>
        <v>-7.580200000000012</v>
      </c>
      <c r="K505" s="116">
        <f t="shared" si="78"/>
        <v>7.580200000000012</v>
      </c>
      <c r="L505" s="116">
        <f t="shared" si="79"/>
        <v>57.459432040000181</v>
      </c>
      <c r="M505" s="117">
        <f t="shared" si="75"/>
        <v>-0.21832373271889435</v>
      </c>
    </row>
    <row r="506" spans="1:13">
      <c r="A506" s="112">
        <v>503</v>
      </c>
      <c r="B506" s="107">
        <v>42359</v>
      </c>
      <c r="C506" s="108">
        <v>34.549999999999997</v>
      </c>
      <c r="D506" s="115">
        <f t="shared" si="74"/>
        <v>38.436999999999998</v>
      </c>
      <c r="E506" s="115">
        <f t="shared" si="70"/>
        <v>-3.8870000000000005</v>
      </c>
      <c r="F506" s="115">
        <f t="shared" si="71"/>
        <v>3.8870000000000005</v>
      </c>
      <c r="G506" s="115">
        <f t="shared" si="72"/>
        <v>15.108769000000004</v>
      </c>
      <c r="H506" s="115">
        <f t="shared" si="73"/>
        <v>0.11250361794500725</v>
      </c>
      <c r="I506" s="116">
        <f t="shared" si="76"/>
        <v>42.001199999999997</v>
      </c>
      <c r="J506" s="116">
        <f t="shared" si="77"/>
        <v>-7.4512</v>
      </c>
      <c r="K506" s="116">
        <f t="shared" si="78"/>
        <v>7.4512</v>
      </c>
      <c r="L506" s="116">
        <f t="shared" si="79"/>
        <v>55.520381440000001</v>
      </c>
      <c r="M506" s="117">
        <f t="shared" si="75"/>
        <v>-0.21566425470332853</v>
      </c>
    </row>
    <row r="507" spans="1:13">
      <c r="A507" s="112">
        <v>504</v>
      </c>
      <c r="B507" s="113">
        <v>42360</v>
      </c>
      <c r="C507" s="114">
        <v>36.119999999999997</v>
      </c>
      <c r="D507" s="115">
        <f t="shared" si="74"/>
        <v>38.200999999999993</v>
      </c>
      <c r="E507" s="115">
        <f t="shared" si="70"/>
        <v>-2.080999999999996</v>
      </c>
      <c r="F507" s="115">
        <f t="shared" si="71"/>
        <v>2.080999999999996</v>
      </c>
      <c r="G507" s="115">
        <f t="shared" si="72"/>
        <v>4.3305609999999835</v>
      </c>
      <c r="H507" s="115">
        <f t="shared" si="73"/>
        <v>5.761351052048716E-2</v>
      </c>
      <c r="I507" s="116">
        <f t="shared" si="76"/>
        <v>41.750400000000006</v>
      </c>
      <c r="J507" s="116">
        <f t="shared" si="77"/>
        <v>-5.6304000000000087</v>
      </c>
      <c r="K507" s="116">
        <f t="shared" si="78"/>
        <v>5.6304000000000087</v>
      </c>
      <c r="L507" s="116">
        <f t="shared" si="79"/>
        <v>31.701404160000099</v>
      </c>
      <c r="M507" s="117">
        <f t="shared" si="75"/>
        <v>-0.1558803986710966</v>
      </c>
    </row>
    <row r="508" spans="1:13">
      <c r="A508" s="112">
        <v>505</v>
      </c>
      <c r="B508" s="107">
        <v>42361</v>
      </c>
      <c r="C508" s="108">
        <v>36.76</v>
      </c>
      <c r="D508" s="115">
        <f t="shared" si="74"/>
        <v>37.962499999999999</v>
      </c>
      <c r="E508" s="115">
        <f t="shared" si="70"/>
        <v>-1.2025000000000006</v>
      </c>
      <c r="F508" s="115">
        <f t="shared" si="71"/>
        <v>1.2025000000000006</v>
      </c>
      <c r="G508" s="115">
        <f t="shared" si="72"/>
        <v>1.4460062500000013</v>
      </c>
      <c r="H508" s="115">
        <f t="shared" si="73"/>
        <v>3.2712187159956489E-2</v>
      </c>
      <c r="I508" s="116">
        <f t="shared" si="76"/>
        <v>41.538800000000009</v>
      </c>
      <c r="J508" s="116">
        <f t="shared" si="77"/>
        <v>-4.778800000000011</v>
      </c>
      <c r="K508" s="116">
        <f t="shared" si="78"/>
        <v>4.778800000000011</v>
      </c>
      <c r="L508" s="116">
        <f t="shared" si="79"/>
        <v>22.836929440000105</v>
      </c>
      <c r="M508" s="117">
        <f t="shared" si="75"/>
        <v>-0.13000000000000031</v>
      </c>
    </row>
    <row r="509" spans="1:13">
      <c r="A509" s="112">
        <v>506</v>
      </c>
      <c r="B509" s="113">
        <v>42362</v>
      </c>
      <c r="C509" s="114">
        <v>37.619999999999997</v>
      </c>
      <c r="D509" s="115">
        <f t="shared" si="74"/>
        <v>37.739499999999992</v>
      </c>
      <c r="E509" s="115">
        <f t="shared" si="70"/>
        <v>-0.11949999999999505</v>
      </c>
      <c r="F509" s="115">
        <f t="shared" si="71"/>
        <v>0.11949999999999505</v>
      </c>
      <c r="G509" s="115">
        <f t="shared" si="72"/>
        <v>1.4280249999998818E-2</v>
      </c>
      <c r="H509" s="115">
        <f t="shared" si="73"/>
        <v>3.1765018607122558E-3</v>
      </c>
      <c r="I509" s="116">
        <f t="shared" si="76"/>
        <v>41.341400000000014</v>
      </c>
      <c r="J509" s="116">
        <f t="shared" si="77"/>
        <v>-3.7214000000000169</v>
      </c>
      <c r="K509" s="116">
        <f t="shared" si="78"/>
        <v>3.7214000000000169</v>
      </c>
      <c r="L509" s="116">
        <f t="shared" si="79"/>
        <v>13.848817960000126</v>
      </c>
      <c r="M509" s="117">
        <f t="shared" si="75"/>
        <v>-9.8920786815524117E-2</v>
      </c>
    </row>
    <row r="510" spans="1:13">
      <c r="A510" s="112">
        <v>507</v>
      </c>
      <c r="B510" s="107">
        <v>42363</v>
      </c>
      <c r="C510" s="108">
        <v>37.6</v>
      </c>
      <c r="D510" s="115">
        <f t="shared" si="74"/>
        <v>37.559499999999993</v>
      </c>
      <c r="E510" s="115">
        <f t="shared" si="70"/>
        <v>4.050000000000864E-2</v>
      </c>
      <c r="F510" s="115">
        <f t="shared" si="71"/>
        <v>4.050000000000864E-2</v>
      </c>
      <c r="G510" s="115">
        <f t="shared" si="72"/>
        <v>1.6402500000007E-3</v>
      </c>
      <c r="H510" s="115">
        <f t="shared" si="73"/>
        <v>1.0771276595746978E-3</v>
      </c>
      <c r="I510" s="116">
        <f t="shared" si="76"/>
        <v>41.166199999999996</v>
      </c>
      <c r="J510" s="116">
        <f t="shared" si="77"/>
        <v>-3.5661999999999949</v>
      </c>
      <c r="K510" s="116">
        <f t="shared" si="78"/>
        <v>3.5661999999999949</v>
      </c>
      <c r="L510" s="116">
        <f t="shared" si="79"/>
        <v>12.717782439999963</v>
      </c>
      <c r="M510" s="117">
        <f t="shared" si="75"/>
        <v>-9.4845744680850927E-2</v>
      </c>
    </row>
    <row r="511" spans="1:13">
      <c r="A511" s="112">
        <v>508</v>
      </c>
      <c r="B511" s="113">
        <v>42366</v>
      </c>
      <c r="C511" s="114">
        <v>36.36</v>
      </c>
      <c r="D511" s="115">
        <f t="shared" si="74"/>
        <v>37.410999999999994</v>
      </c>
      <c r="E511" s="115">
        <f t="shared" si="70"/>
        <v>-1.0509999999999948</v>
      </c>
      <c r="F511" s="115">
        <f t="shared" si="71"/>
        <v>1.0509999999999948</v>
      </c>
      <c r="G511" s="115">
        <f t="shared" si="72"/>
        <v>1.1046009999999891</v>
      </c>
      <c r="H511" s="115">
        <f t="shared" si="73"/>
        <v>2.8905390539053763E-2</v>
      </c>
      <c r="I511" s="116">
        <f t="shared" si="76"/>
        <v>40.972200000000001</v>
      </c>
      <c r="J511" s="116">
        <f t="shared" si="77"/>
        <v>-4.6122000000000014</v>
      </c>
      <c r="K511" s="116">
        <f t="shared" si="78"/>
        <v>4.6122000000000014</v>
      </c>
      <c r="L511" s="116">
        <f t="shared" si="79"/>
        <v>21.272388840000012</v>
      </c>
      <c r="M511" s="117">
        <f t="shared" si="75"/>
        <v>-0.1268481848184819</v>
      </c>
    </row>
    <row r="512" spans="1:13">
      <c r="A512" s="112">
        <v>509</v>
      </c>
      <c r="B512" s="107">
        <v>42367</v>
      </c>
      <c r="C512" s="108">
        <v>37.880000000000003</v>
      </c>
      <c r="D512" s="115">
        <f t="shared" si="74"/>
        <v>37.207499999999996</v>
      </c>
      <c r="E512" s="115">
        <f t="shared" si="70"/>
        <v>0.67250000000000654</v>
      </c>
      <c r="F512" s="115">
        <f t="shared" si="71"/>
        <v>0.67250000000000654</v>
      </c>
      <c r="G512" s="115">
        <f t="shared" si="72"/>
        <v>0.4522562500000088</v>
      </c>
      <c r="H512" s="115">
        <f t="shared" si="73"/>
        <v>1.7753431890179687E-2</v>
      </c>
      <c r="I512" s="116">
        <f t="shared" si="76"/>
        <v>40.781199999999991</v>
      </c>
      <c r="J512" s="116">
        <f t="shared" si="77"/>
        <v>-2.9011999999999887</v>
      </c>
      <c r="K512" s="116">
        <f t="shared" si="78"/>
        <v>2.9011999999999887</v>
      </c>
      <c r="L512" s="116">
        <f t="shared" si="79"/>
        <v>8.416961439999934</v>
      </c>
      <c r="M512" s="117">
        <f t="shared" si="75"/>
        <v>-7.6589229144667065E-2</v>
      </c>
    </row>
    <row r="513" spans="1:13">
      <c r="A513" s="112">
        <v>510</v>
      </c>
      <c r="B513" s="113">
        <v>42368</v>
      </c>
      <c r="C513" s="114">
        <v>36.590000000000003</v>
      </c>
      <c r="D513" s="115">
        <f t="shared" si="74"/>
        <v>37.072499999999998</v>
      </c>
      <c r="E513" s="115">
        <f t="shared" si="70"/>
        <v>-0.4824999999999946</v>
      </c>
      <c r="F513" s="115">
        <f t="shared" si="71"/>
        <v>0.4824999999999946</v>
      </c>
      <c r="G513" s="115">
        <f t="shared" si="72"/>
        <v>0.2328062499999948</v>
      </c>
      <c r="H513" s="115">
        <f t="shared" si="73"/>
        <v>1.3186663022683644E-2</v>
      </c>
      <c r="I513" s="116">
        <f t="shared" si="76"/>
        <v>40.622</v>
      </c>
      <c r="J513" s="116">
        <f t="shared" si="77"/>
        <v>-4.0319999999999965</v>
      </c>
      <c r="K513" s="116">
        <f t="shared" si="78"/>
        <v>4.0319999999999965</v>
      </c>
      <c r="L513" s="116">
        <f t="shared" si="79"/>
        <v>16.257023999999973</v>
      </c>
      <c r="M513" s="117">
        <f t="shared" si="75"/>
        <v>-0.11019404208800208</v>
      </c>
    </row>
    <row r="514" spans="1:13">
      <c r="A514" s="112">
        <v>511</v>
      </c>
      <c r="B514" s="107">
        <v>42369</v>
      </c>
      <c r="C514" s="108">
        <v>37.130000000000003</v>
      </c>
      <c r="D514" s="115">
        <f t="shared" si="74"/>
        <v>36.905500000000004</v>
      </c>
      <c r="E514" s="115">
        <f t="shared" si="70"/>
        <v>0.22449999999999903</v>
      </c>
      <c r="F514" s="115">
        <f t="shared" si="71"/>
        <v>0.22449999999999903</v>
      </c>
      <c r="G514" s="115">
        <f t="shared" si="72"/>
        <v>5.0400249999999563E-2</v>
      </c>
      <c r="H514" s="115">
        <f t="shared" si="73"/>
        <v>6.0463237274440886E-3</v>
      </c>
      <c r="I514" s="116">
        <f t="shared" si="76"/>
        <v>40.449399999999997</v>
      </c>
      <c r="J514" s="116">
        <f t="shared" si="77"/>
        <v>-3.3193999999999946</v>
      </c>
      <c r="K514" s="116">
        <f t="shared" si="78"/>
        <v>3.3193999999999946</v>
      </c>
      <c r="L514" s="116">
        <f t="shared" si="79"/>
        <v>11.018416359999964</v>
      </c>
      <c r="M514" s="117">
        <f t="shared" si="75"/>
        <v>-8.9399407487206956E-2</v>
      </c>
    </row>
    <row r="515" spans="1:13">
      <c r="A515" s="112">
        <v>512</v>
      </c>
      <c r="B515" s="113">
        <v>42370</v>
      </c>
      <c r="C515" s="114">
        <v>37.130000000000003</v>
      </c>
      <c r="D515" s="115">
        <f t="shared" si="74"/>
        <v>36.708000000000006</v>
      </c>
      <c r="E515" s="115">
        <f t="shared" si="70"/>
        <v>0.42199999999999704</v>
      </c>
      <c r="F515" s="115">
        <f t="shared" si="71"/>
        <v>0.42199999999999704</v>
      </c>
      <c r="G515" s="115">
        <f t="shared" si="72"/>
        <v>0.17808399999999749</v>
      </c>
      <c r="H515" s="115">
        <f t="shared" si="73"/>
        <v>1.1365472663614248E-2</v>
      </c>
      <c r="I515" s="116">
        <f t="shared" si="76"/>
        <v>40.29399999999999</v>
      </c>
      <c r="J515" s="116">
        <f t="shared" si="77"/>
        <v>-3.1639999999999873</v>
      </c>
      <c r="K515" s="116">
        <f t="shared" si="78"/>
        <v>3.1639999999999873</v>
      </c>
      <c r="L515" s="116">
        <f t="shared" si="79"/>
        <v>10.010895999999919</v>
      </c>
      <c r="M515" s="117">
        <f t="shared" si="75"/>
        <v>-8.5214112577430307E-2</v>
      </c>
    </row>
    <row r="516" spans="1:13">
      <c r="A516" s="112">
        <v>513</v>
      </c>
      <c r="B516" s="107">
        <v>42373</v>
      </c>
      <c r="C516" s="108">
        <v>36.81</v>
      </c>
      <c r="D516" s="115">
        <f t="shared" si="74"/>
        <v>36.564500000000002</v>
      </c>
      <c r="E516" s="115">
        <f t="shared" si="70"/>
        <v>0.24549999999999983</v>
      </c>
      <c r="F516" s="115">
        <f t="shared" si="71"/>
        <v>0.24549999999999983</v>
      </c>
      <c r="G516" s="115">
        <f t="shared" si="72"/>
        <v>6.0270249999999914E-2</v>
      </c>
      <c r="H516" s="115">
        <f t="shared" si="73"/>
        <v>6.6693833197500624E-3</v>
      </c>
      <c r="I516" s="116">
        <f t="shared" si="76"/>
        <v>40.158399999999993</v>
      </c>
      <c r="J516" s="116">
        <f t="shared" si="77"/>
        <v>-3.3483999999999909</v>
      </c>
      <c r="K516" s="116">
        <f t="shared" si="78"/>
        <v>3.3483999999999909</v>
      </c>
      <c r="L516" s="116">
        <f t="shared" si="79"/>
        <v>11.211782559999939</v>
      </c>
      <c r="M516" s="117">
        <f t="shared" si="75"/>
        <v>-9.0964411844607199E-2</v>
      </c>
    </row>
    <row r="517" spans="1:13">
      <c r="A517" s="112">
        <v>514</v>
      </c>
      <c r="B517" s="113">
        <v>42374</v>
      </c>
      <c r="C517" s="114">
        <v>35.97</v>
      </c>
      <c r="D517" s="115">
        <f t="shared" si="74"/>
        <v>36.523000000000003</v>
      </c>
      <c r="E517" s="115">
        <f t="shared" si="70"/>
        <v>-0.55300000000000438</v>
      </c>
      <c r="F517" s="115">
        <f t="shared" si="71"/>
        <v>0.55300000000000438</v>
      </c>
      <c r="G517" s="115">
        <f t="shared" si="72"/>
        <v>0.30580900000000483</v>
      </c>
      <c r="H517" s="115">
        <f t="shared" si="73"/>
        <v>1.5373922713372377E-2</v>
      </c>
      <c r="I517" s="116">
        <f t="shared" si="76"/>
        <v>40.030799999999999</v>
      </c>
      <c r="J517" s="116">
        <f t="shared" si="77"/>
        <v>-4.0608000000000004</v>
      </c>
      <c r="K517" s="116">
        <f t="shared" si="78"/>
        <v>4.0608000000000004</v>
      </c>
      <c r="L517" s="116">
        <f t="shared" si="79"/>
        <v>16.490096640000004</v>
      </c>
      <c r="M517" s="117">
        <f t="shared" si="75"/>
        <v>-0.11289407839866557</v>
      </c>
    </row>
    <row r="518" spans="1:13">
      <c r="A518" s="112">
        <v>515</v>
      </c>
      <c r="B518" s="107">
        <v>42375</v>
      </c>
      <c r="C518" s="108">
        <v>33.97</v>
      </c>
      <c r="D518" s="115">
        <f t="shared" si="74"/>
        <v>36.448500000000003</v>
      </c>
      <c r="E518" s="115">
        <f t="shared" si="70"/>
        <v>-2.4785000000000039</v>
      </c>
      <c r="F518" s="115">
        <f t="shared" si="71"/>
        <v>2.4785000000000039</v>
      </c>
      <c r="G518" s="115">
        <f t="shared" si="72"/>
        <v>6.1429622500000196</v>
      </c>
      <c r="H518" s="115">
        <f t="shared" si="73"/>
        <v>7.2961436561672185E-2</v>
      </c>
      <c r="I518" s="116">
        <f t="shared" si="76"/>
        <v>39.885999999999996</v>
      </c>
      <c r="J518" s="116">
        <f t="shared" si="77"/>
        <v>-5.9159999999999968</v>
      </c>
      <c r="K518" s="116">
        <f t="shared" si="78"/>
        <v>5.9159999999999968</v>
      </c>
      <c r="L518" s="116">
        <f t="shared" si="79"/>
        <v>34.99905599999996</v>
      </c>
      <c r="M518" s="117">
        <f t="shared" si="75"/>
        <v>-0.17415366499852802</v>
      </c>
    </row>
    <row r="519" spans="1:13">
      <c r="A519" s="112">
        <v>516</v>
      </c>
      <c r="B519" s="113">
        <v>42376</v>
      </c>
      <c r="C519" s="114">
        <v>33.29</v>
      </c>
      <c r="D519" s="115">
        <f t="shared" si="74"/>
        <v>36.289000000000001</v>
      </c>
      <c r="E519" s="115">
        <f t="shared" si="70"/>
        <v>-2.9990000000000023</v>
      </c>
      <c r="F519" s="115">
        <f t="shared" si="71"/>
        <v>2.9990000000000023</v>
      </c>
      <c r="G519" s="115">
        <f t="shared" si="72"/>
        <v>8.9940010000000132</v>
      </c>
      <c r="H519" s="115">
        <f t="shared" si="73"/>
        <v>9.0087113247221462E-2</v>
      </c>
      <c r="I519" s="116">
        <f t="shared" si="76"/>
        <v>39.646799999999999</v>
      </c>
      <c r="J519" s="116">
        <f t="shared" si="77"/>
        <v>-6.3567999999999998</v>
      </c>
      <c r="K519" s="116">
        <f t="shared" si="78"/>
        <v>6.3567999999999998</v>
      </c>
      <c r="L519" s="116">
        <f t="shared" si="79"/>
        <v>40.40890624</v>
      </c>
      <c r="M519" s="117">
        <f t="shared" si="75"/>
        <v>-0.19095223790928206</v>
      </c>
    </row>
    <row r="520" spans="1:13">
      <c r="A520" s="112">
        <v>517</v>
      </c>
      <c r="B520" s="107">
        <v>42377</v>
      </c>
      <c r="C520" s="108">
        <v>33.200000000000003</v>
      </c>
      <c r="D520" s="115">
        <f t="shared" si="74"/>
        <v>36.115499999999997</v>
      </c>
      <c r="E520" s="115">
        <f t="shared" si="70"/>
        <v>-2.9154999999999944</v>
      </c>
      <c r="F520" s="115">
        <f t="shared" si="71"/>
        <v>2.9154999999999944</v>
      </c>
      <c r="G520" s="115">
        <f t="shared" si="72"/>
        <v>8.5001402499999674</v>
      </c>
      <c r="H520" s="115">
        <f t="shared" si="73"/>
        <v>8.7816265060240789E-2</v>
      </c>
      <c r="I520" s="116">
        <f t="shared" si="76"/>
        <v>39.392199999999995</v>
      </c>
      <c r="J520" s="116">
        <f t="shared" si="77"/>
        <v>-6.1921999999999926</v>
      </c>
      <c r="K520" s="116">
        <f t="shared" si="78"/>
        <v>6.1921999999999926</v>
      </c>
      <c r="L520" s="116">
        <f t="shared" si="79"/>
        <v>38.343340839999911</v>
      </c>
      <c r="M520" s="117">
        <f t="shared" si="75"/>
        <v>-0.18651204819277084</v>
      </c>
    </row>
    <row r="521" spans="1:13">
      <c r="A521" s="112">
        <v>518</v>
      </c>
      <c r="B521" s="113">
        <v>42380</v>
      </c>
      <c r="C521" s="114">
        <v>31.42</v>
      </c>
      <c r="D521" s="115">
        <f t="shared" si="74"/>
        <v>35.993000000000009</v>
      </c>
      <c r="E521" s="115">
        <f t="shared" si="70"/>
        <v>-4.5730000000000075</v>
      </c>
      <c r="F521" s="115">
        <f t="shared" si="71"/>
        <v>4.5730000000000075</v>
      </c>
      <c r="G521" s="115">
        <f t="shared" si="72"/>
        <v>20.912329000000067</v>
      </c>
      <c r="H521" s="115">
        <f t="shared" si="73"/>
        <v>0.14554423933800151</v>
      </c>
      <c r="I521" s="116">
        <f t="shared" si="76"/>
        <v>39.124199999999995</v>
      </c>
      <c r="J521" s="116">
        <f t="shared" si="77"/>
        <v>-7.7041999999999931</v>
      </c>
      <c r="K521" s="116">
        <f t="shared" si="78"/>
        <v>7.7041999999999931</v>
      </c>
      <c r="L521" s="116">
        <f t="shared" si="79"/>
        <v>59.354697639999891</v>
      </c>
      <c r="M521" s="117">
        <f t="shared" si="75"/>
        <v>-0.2452005092297897</v>
      </c>
    </row>
    <row r="522" spans="1:13">
      <c r="A522" s="112">
        <v>519</v>
      </c>
      <c r="B522" s="107">
        <v>42381</v>
      </c>
      <c r="C522" s="108">
        <v>30.42</v>
      </c>
      <c r="D522" s="115">
        <f t="shared" si="74"/>
        <v>35.748500000000007</v>
      </c>
      <c r="E522" s="115">
        <f t="shared" si="70"/>
        <v>-5.3285000000000053</v>
      </c>
      <c r="F522" s="115">
        <f t="shared" si="71"/>
        <v>5.3285000000000053</v>
      </c>
      <c r="G522" s="115">
        <f t="shared" si="72"/>
        <v>28.392912250000055</v>
      </c>
      <c r="H522" s="115">
        <f t="shared" si="73"/>
        <v>0.1751643655489811</v>
      </c>
      <c r="I522" s="116">
        <f t="shared" si="76"/>
        <v>38.830199999999998</v>
      </c>
      <c r="J522" s="116">
        <f t="shared" si="77"/>
        <v>-8.4101999999999961</v>
      </c>
      <c r="K522" s="116">
        <f t="shared" si="78"/>
        <v>8.4101999999999961</v>
      </c>
      <c r="L522" s="116">
        <f t="shared" si="79"/>
        <v>70.731464039999935</v>
      </c>
      <c r="M522" s="117">
        <f t="shared" si="75"/>
        <v>-0.27646942800788943</v>
      </c>
    </row>
    <row r="523" spans="1:13">
      <c r="A523" s="112">
        <v>520</v>
      </c>
      <c r="B523" s="113">
        <v>42382</v>
      </c>
      <c r="C523" s="114">
        <v>30.42</v>
      </c>
      <c r="D523" s="115">
        <f t="shared" si="74"/>
        <v>35.403499999999994</v>
      </c>
      <c r="E523" s="115">
        <f t="shared" si="70"/>
        <v>-4.9834999999999923</v>
      </c>
      <c r="F523" s="115">
        <f t="shared" si="71"/>
        <v>4.9834999999999923</v>
      </c>
      <c r="G523" s="115">
        <f t="shared" si="72"/>
        <v>24.835272249999925</v>
      </c>
      <c r="H523" s="115">
        <f t="shared" si="73"/>
        <v>0.16382314266929626</v>
      </c>
      <c r="I523" s="116">
        <f t="shared" si="76"/>
        <v>38.481000000000002</v>
      </c>
      <c r="J523" s="116">
        <f t="shared" si="77"/>
        <v>-8.0609999999999999</v>
      </c>
      <c r="K523" s="116">
        <f t="shared" si="78"/>
        <v>8.0609999999999999</v>
      </c>
      <c r="L523" s="116">
        <f t="shared" si="79"/>
        <v>64.979720999999998</v>
      </c>
      <c r="M523" s="117">
        <f t="shared" si="75"/>
        <v>-0.26499013806706112</v>
      </c>
    </row>
    <row r="524" spans="1:13">
      <c r="A524" s="112">
        <v>521</v>
      </c>
      <c r="B524" s="107">
        <v>42383</v>
      </c>
      <c r="C524" s="108">
        <v>31.22</v>
      </c>
      <c r="D524" s="115">
        <f t="shared" si="74"/>
        <v>35.146999999999991</v>
      </c>
      <c r="E524" s="115">
        <f t="shared" si="70"/>
        <v>-3.9269999999999925</v>
      </c>
      <c r="F524" s="115">
        <f t="shared" si="71"/>
        <v>3.9269999999999925</v>
      </c>
      <c r="G524" s="115">
        <f t="shared" si="72"/>
        <v>15.421328999999941</v>
      </c>
      <c r="H524" s="115">
        <f t="shared" si="73"/>
        <v>0.12578475336322847</v>
      </c>
      <c r="I524" s="116">
        <f t="shared" si="76"/>
        <v>38.163000000000004</v>
      </c>
      <c r="J524" s="116">
        <f t="shared" si="77"/>
        <v>-6.9430000000000049</v>
      </c>
      <c r="K524" s="116">
        <f t="shared" si="78"/>
        <v>6.9430000000000049</v>
      </c>
      <c r="L524" s="116">
        <f t="shared" si="79"/>
        <v>48.205249000000066</v>
      </c>
      <c r="M524" s="117">
        <f t="shared" si="75"/>
        <v>-0.22238949391415777</v>
      </c>
    </row>
    <row r="525" spans="1:13">
      <c r="A525" s="112">
        <v>522</v>
      </c>
      <c r="B525" s="113">
        <v>42384</v>
      </c>
      <c r="C525" s="114">
        <v>29.45</v>
      </c>
      <c r="D525" s="115">
        <f t="shared" si="74"/>
        <v>34.958999999999989</v>
      </c>
      <c r="E525" s="115">
        <f t="shared" si="70"/>
        <v>-5.5089999999999897</v>
      </c>
      <c r="F525" s="115">
        <f t="shared" si="71"/>
        <v>5.5089999999999897</v>
      </c>
      <c r="G525" s="115">
        <f t="shared" si="72"/>
        <v>30.349080999999888</v>
      </c>
      <c r="H525" s="115">
        <f t="shared" si="73"/>
        <v>0.18706281833616265</v>
      </c>
      <c r="I525" s="116">
        <f t="shared" si="76"/>
        <v>37.882000000000005</v>
      </c>
      <c r="J525" s="116">
        <f t="shared" si="77"/>
        <v>-8.4320000000000057</v>
      </c>
      <c r="K525" s="116">
        <f t="shared" si="78"/>
        <v>8.4320000000000057</v>
      </c>
      <c r="L525" s="116">
        <f t="shared" si="79"/>
        <v>71.0986240000001</v>
      </c>
      <c r="M525" s="117">
        <f t="shared" si="75"/>
        <v>-0.28631578947368441</v>
      </c>
    </row>
    <row r="526" spans="1:13">
      <c r="A526" s="112">
        <v>523</v>
      </c>
      <c r="B526" s="107">
        <v>42388</v>
      </c>
      <c r="C526" s="108">
        <v>28.47</v>
      </c>
      <c r="D526" s="115">
        <f t="shared" si="74"/>
        <v>34.695499999999996</v>
      </c>
      <c r="E526" s="115">
        <f t="shared" si="70"/>
        <v>-6.2254999999999967</v>
      </c>
      <c r="F526" s="115">
        <f t="shared" si="71"/>
        <v>6.2254999999999967</v>
      </c>
      <c r="G526" s="115">
        <f t="shared" si="72"/>
        <v>38.756850249999957</v>
      </c>
      <c r="H526" s="115">
        <f t="shared" si="73"/>
        <v>0.21866877414822611</v>
      </c>
      <c r="I526" s="116">
        <f t="shared" si="76"/>
        <v>37.584600000000002</v>
      </c>
      <c r="J526" s="116">
        <f t="shared" si="77"/>
        <v>-9.1146000000000029</v>
      </c>
      <c r="K526" s="116">
        <f t="shared" si="78"/>
        <v>9.1146000000000029</v>
      </c>
      <c r="L526" s="116">
        <f t="shared" si="79"/>
        <v>83.075933160000048</v>
      </c>
      <c r="M526" s="117">
        <f t="shared" si="75"/>
        <v>-0.32014752370916766</v>
      </c>
    </row>
    <row r="527" spans="1:13">
      <c r="A527" s="112">
        <v>524</v>
      </c>
      <c r="B527" s="113">
        <v>42389</v>
      </c>
      <c r="C527" s="114">
        <v>26.68</v>
      </c>
      <c r="D527" s="115">
        <f t="shared" si="74"/>
        <v>34.391499999999994</v>
      </c>
      <c r="E527" s="115">
        <f t="shared" si="70"/>
        <v>-7.7114999999999938</v>
      </c>
      <c r="F527" s="115">
        <f t="shared" si="71"/>
        <v>7.7114999999999938</v>
      </c>
      <c r="G527" s="115">
        <f t="shared" si="72"/>
        <v>59.467232249999903</v>
      </c>
      <c r="H527" s="115">
        <f t="shared" si="73"/>
        <v>0.2890367316341827</v>
      </c>
      <c r="I527" s="116">
        <f t="shared" si="76"/>
        <v>37.276600000000002</v>
      </c>
      <c r="J527" s="116">
        <f t="shared" si="77"/>
        <v>-10.596600000000002</v>
      </c>
      <c r="K527" s="116">
        <f t="shared" si="78"/>
        <v>10.596600000000002</v>
      </c>
      <c r="L527" s="116">
        <f t="shared" si="79"/>
        <v>112.28793156000005</v>
      </c>
      <c r="M527" s="117">
        <f t="shared" si="75"/>
        <v>-0.39717391304347832</v>
      </c>
    </row>
    <row r="528" spans="1:13">
      <c r="A528" s="112">
        <v>525</v>
      </c>
      <c r="B528" s="107">
        <v>42390</v>
      </c>
      <c r="C528" s="108">
        <v>29.55</v>
      </c>
      <c r="D528" s="115">
        <f t="shared" si="74"/>
        <v>33.919500000000006</v>
      </c>
      <c r="E528" s="115">
        <f t="shared" si="70"/>
        <v>-4.3695000000000057</v>
      </c>
      <c r="F528" s="115">
        <f t="shared" si="71"/>
        <v>4.3695000000000057</v>
      </c>
      <c r="G528" s="115">
        <f t="shared" si="72"/>
        <v>19.092530250000049</v>
      </c>
      <c r="H528" s="115">
        <f t="shared" si="73"/>
        <v>0.14786802030456872</v>
      </c>
      <c r="I528" s="116">
        <f t="shared" si="76"/>
        <v>36.925600000000003</v>
      </c>
      <c r="J528" s="116">
        <f t="shared" si="77"/>
        <v>-7.3756000000000022</v>
      </c>
      <c r="K528" s="116">
        <f t="shared" si="78"/>
        <v>7.3756000000000022</v>
      </c>
      <c r="L528" s="116">
        <f t="shared" si="79"/>
        <v>54.399475360000032</v>
      </c>
      <c r="M528" s="117">
        <f t="shared" si="75"/>
        <v>-0.24959729272419634</v>
      </c>
    </row>
    <row r="529" spans="1:13">
      <c r="A529" s="112">
        <v>526</v>
      </c>
      <c r="B529" s="113">
        <v>42391</v>
      </c>
      <c r="C529" s="114">
        <v>32.07</v>
      </c>
      <c r="D529" s="115">
        <f t="shared" si="74"/>
        <v>33.559000000000005</v>
      </c>
      <c r="E529" s="115">
        <f t="shared" si="70"/>
        <v>-1.4890000000000043</v>
      </c>
      <c r="F529" s="115">
        <f t="shared" si="71"/>
        <v>1.4890000000000043</v>
      </c>
      <c r="G529" s="115">
        <f t="shared" si="72"/>
        <v>2.217121000000013</v>
      </c>
      <c r="H529" s="115">
        <f t="shared" si="73"/>
        <v>4.6429685063922803E-2</v>
      </c>
      <c r="I529" s="116">
        <f t="shared" si="76"/>
        <v>36.657600000000002</v>
      </c>
      <c r="J529" s="116">
        <f t="shared" si="77"/>
        <v>-4.5876000000000019</v>
      </c>
      <c r="K529" s="116">
        <f t="shared" si="78"/>
        <v>4.5876000000000019</v>
      </c>
      <c r="L529" s="116">
        <f t="shared" si="79"/>
        <v>21.046073760000017</v>
      </c>
      <c r="M529" s="117">
        <f t="shared" si="75"/>
        <v>-0.14304957904583729</v>
      </c>
    </row>
    <row r="530" spans="1:13">
      <c r="A530" s="112">
        <v>527</v>
      </c>
      <c r="B530" s="107">
        <v>42394</v>
      </c>
      <c r="C530" s="108">
        <v>30.31</v>
      </c>
      <c r="D530" s="115">
        <f t="shared" si="74"/>
        <v>33.281500000000008</v>
      </c>
      <c r="E530" s="115">
        <f t="shared" si="70"/>
        <v>-2.9715000000000096</v>
      </c>
      <c r="F530" s="115">
        <f t="shared" si="71"/>
        <v>2.9715000000000096</v>
      </c>
      <c r="G530" s="115">
        <f t="shared" si="72"/>
        <v>8.8298122500000567</v>
      </c>
      <c r="H530" s="115">
        <f t="shared" si="73"/>
        <v>9.8036951501155059E-2</v>
      </c>
      <c r="I530" s="116">
        <f t="shared" si="76"/>
        <v>36.464200000000005</v>
      </c>
      <c r="J530" s="116">
        <f t="shared" si="77"/>
        <v>-6.1542000000000066</v>
      </c>
      <c r="K530" s="116">
        <f t="shared" si="78"/>
        <v>6.1542000000000066</v>
      </c>
      <c r="L530" s="116">
        <f t="shared" si="79"/>
        <v>37.874177640000077</v>
      </c>
      <c r="M530" s="117">
        <f t="shared" si="75"/>
        <v>-0.20304190036291675</v>
      </c>
    </row>
    <row r="531" spans="1:13">
      <c r="A531" s="112">
        <v>528</v>
      </c>
      <c r="B531" s="113">
        <v>42395</v>
      </c>
      <c r="C531" s="114">
        <v>29.54</v>
      </c>
      <c r="D531" s="115">
        <f t="shared" si="74"/>
        <v>32.916999999999994</v>
      </c>
      <c r="E531" s="115">
        <f t="shared" si="70"/>
        <v>-3.3769999999999953</v>
      </c>
      <c r="F531" s="115">
        <f t="shared" si="71"/>
        <v>3.3769999999999953</v>
      </c>
      <c r="G531" s="115">
        <f t="shared" si="72"/>
        <v>11.404128999999969</v>
      </c>
      <c r="H531" s="115">
        <f t="shared" si="73"/>
        <v>0.11431956668923478</v>
      </c>
      <c r="I531" s="116">
        <f t="shared" si="76"/>
        <v>36.256600000000006</v>
      </c>
      <c r="J531" s="116">
        <f t="shared" si="77"/>
        <v>-6.7166000000000068</v>
      </c>
      <c r="K531" s="116">
        <f t="shared" si="78"/>
        <v>6.7166000000000068</v>
      </c>
      <c r="L531" s="116">
        <f t="shared" si="79"/>
        <v>45.11271556000009</v>
      </c>
      <c r="M531" s="117">
        <f t="shared" si="75"/>
        <v>-0.22737305348679779</v>
      </c>
    </row>
    <row r="532" spans="1:13">
      <c r="A532" s="112">
        <v>529</v>
      </c>
      <c r="B532" s="107">
        <v>42396</v>
      </c>
      <c r="C532" s="108">
        <v>32.32</v>
      </c>
      <c r="D532" s="115">
        <f t="shared" si="74"/>
        <v>32.575999999999993</v>
      </c>
      <c r="E532" s="115">
        <f t="shared" si="70"/>
        <v>-0.25599999999999312</v>
      </c>
      <c r="F532" s="115">
        <f t="shared" si="71"/>
        <v>0.25599999999999312</v>
      </c>
      <c r="G532" s="115">
        <f t="shared" si="72"/>
        <v>6.5535999999996472E-2</v>
      </c>
      <c r="H532" s="115">
        <f t="shared" si="73"/>
        <v>7.9207920792077075E-3</v>
      </c>
      <c r="I532" s="116">
        <f t="shared" si="76"/>
        <v>36.013800000000003</v>
      </c>
      <c r="J532" s="116">
        <f t="shared" si="77"/>
        <v>-3.6938000000000031</v>
      </c>
      <c r="K532" s="116">
        <f t="shared" si="78"/>
        <v>3.6938000000000031</v>
      </c>
      <c r="L532" s="116">
        <f t="shared" si="79"/>
        <v>13.644158440000023</v>
      </c>
      <c r="M532" s="117">
        <f t="shared" si="75"/>
        <v>-0.11428836633663375</v>
      </c>
    </row>
    <row r="533" spans="1:13">
      <c r="A533" s="112">
        <v>530</v>
      </c>
      <c r="B533" s="113">
        <v>42397</v>
      </c>
      <c r="C533" s="114">
        <v>33.21</v>
      </c>
      <c r="D533" s="115">
        <f t="shared" si="74"/>
        <v>32.298000000000002</v>
      </c>
      <c r="E533" s="115">
        <f t="shared" si="70"/>
        <v>0.91199999999999903</v>
      </c>
      <c r="F533" s="115">
        <f t="shared" si="71"/>
        <v>0.91199999999999903</v>
      </c>
      <c r="G533" s="115">
        <f t="shared" si="72"/>
        <v>0.83174399999999826</v>
      </c>
      <c r="H533" s="115">
        <f t="shared" si="73"/>
        <v>2.7461607949412797E-2</v>
      </c>
      <c r="I533" s="116">
        <f t="shared" si="76"/>
        <v>35.845599999999997</v>
      </c>
      <c r="J533" s="116">
        <f t="shared" si="77"/>
        <v>-2.6355999999999966</v>
      </c>
      <c r="K533" s="116">
        <f t="shared" si="78"/>
        <v>2.6355999999999966</v>
      </c>
      <c r="L533" s="116">
        <f t="shared" si="79"/>
        <v>6.9463873599999824</v>
      </c>
      <c r="M533" s="117">
        <f t="shared" si="75"/>
        <v>-7.9361638060824954E-2</v>
      </c>
    </row>
    <row r="534" spans="1:13">
      <c r="A534" s="112">
        <v>531</v>
      </c>
      <c r="B534" s="107">
        <v>42398</v>
      </c>
      <c r="C534" s="108">
        <v>33.659999999999997</v>
      </c>
      <c r="D534" s="115">
        <f t="shared" si="74"/>
        <v>32.129000000000005</v>
      </c>
      <c r="E534" s="115">
        <f t="shared" si="70"/>
        <v>1.5309999999999917</v>
      </c>
      <c r="F534" s="115">
        <f t="shared" si="71"/>
        <v>1.5309999999999917</v>
      </c>
      <c r="G534" s="115">
        <f t="shared" si="72"/>
        <v>2.3439609999999744</v>
      </c>
      <c r="H534" s="115">
        <f t="shared" si="73"/>
        <v>4.5484254307783481E-2</v>
      </c>
      <c r="I534" s="116">
        <f t="shared" si="76"/>
        <v>35.694800000000008</v>
      </c>
      <c r="J534" s="116">
        <f t="shared" si="77"/>
        <v>-2.0348000000000113</v>
      </c>
      <c r="K534" s="116">
        <f t="shared" si="78"/>
        <v>2.0348000000000113</v>
      </c>
      <c r="L534" s="116">
        <f t="shared" si="79"/>
        <v>4.1404110400000462</v>
      </c>
      <c r="M534" s="117">
        <f t="shared" si="75"/>
        <v>-6.0451574569221969E-2</v>
      </c>
    </row>
    <row r="535" spans="1:13">
      <c r="A535" s="112">
        <v>532</v>
      </c>
      <c r="B535" s="113">
        <v>42401</v>
      </c>
      <c r="C535" s="114">
        <v>31.62</v>
      </c>
      <c r="D535" s="115">
        <f t="shared" si="74"/>
        <v>31.955500000000001</v>
      </c>
      <c r="E535" s="115">
        <f t="shared" si="70"/>
        <v>-0.33549999999999969</v>
      </c>
      <c r="F535" s="115">
        <f t="shared" si="71"/>
        <v>0.33549999999999969</v>
      </c>
      <c r="G535" s="115">
        <f t="shared" si="72"/>
        <v>0.11256024999999979</v>
      </c>
      <c r="H535" s="115">
        <f t="shared" si="73"/>
        <v>1.0610373181530667E-2</v>
      </c>
      <c r="I535" s="116">
        <f t="shared" si="76"/>
        <v>35.557000000000009</v>
      </c>
      <c r="J535" s="116">
        <f t="shared" si="77"/>
        <v>-3.9370000000000083</v>
      </c>
      <c r="K535" s="116">
        <f t="shared" si="78"/>
        <v>3.9370000000000083</v>
      </c>
      <c r="L535" s="116">
        <f t="shared" si="79"/>
        <v>15.499969000000066</v>
      </c>
      <c r="M535" s="117">
        <f t="shared" si="75"/>
        <v>-0.12450980392156888</v>
      </c>
    </row>
    <row r="536" spans="1:13">
      <c r="A536" s="112">
        <v>533</v>
      </c>
      <c r="B536" s="107">
        <v>42402</v>
      </c>
      <c r="C536" s="108">
        <v>29.9</v>
      </c>
      <c r="D536" s="115">
        <f t="shared" si="74"/>
        <v>31.68</v>
      </c>
      <c r="E536" s="115">
        <f t="shared" ref="E536:E599" si="80">C536-D536</f>
        <v>-1.7800000000000011</v>
      </c>
      <c r="F536" s="115">
        <f t="shared" ref="F536:F599" si="81">ABS(E536)</f>
        <v>1.7800000000000011</v>
      </c>
      <c r="G536" s="115">
        <f t="shared" ref="G536:G599" si="82">E536^2</f>
        <v>3.1684000000000041</v>
      </c>
      <c r="H536" s="115">
        <f t="shared" ref="H536:H599" si="83">F536/C536</f>
        <v>5.9531772575250878E-2</v>
      </c>
      <c r="I536" s="116">
        <f t="shared" si="76"/>
        <v>35.401600000000002</v>
      </c>
      <c r="J536" s="116">
        <f t="shared" si="77"/>
        <v>-5.5016000000000034</v>
      </c>
      <c r="K536" s="116">
        <f t="shared" si="78"/>
        <v>5.5016000000000034</v>
      </c>
      <c r="L536" s="116">
        <f t="shared" si="79"/>
        <v>30.267602560000036</v>
      </c>
      <c r="M536" s="117">
        <f t="shared" si="75"/>
        <v>-0.18400000000000011</v>
      </c>
    </row>
    <row r="537" spans="1:13">
      <c r="A537" s="112">
        <v>534</v>
      </c>
      <c r="B537" s="113">
        <v>42403</v>
      </c>
      <c r="C537" s="114">
        <v>32.29</v>
      </c>
      <c r="D537" s="115">
        <f t="shared" si="74"/>
        <v>31.334500000000002</v>
      </c>
      <c r="E537" s="115">
        <f t="shared" si="80"/>
        <v>0.95549999999999713</v>
      </c>
      <c r="F537" s="115">
        <f t="shared" si="81"/>
        <v>0.95549999999999713</v>
      </c>
      <c r="G537" s="115">
        <f t="shared" si="82"/>
        <v>0.9129802499999945</v>
      </c>
      <c r="H537" s="115">
        <f t="shared" si="83"/>
        <v>2.9591204707339645E-2</v>
      </c>
      <c r="I537" s="116">
        <f t="shared" si="76"/>
        <v>35.214200000000005</v>
      </c>
      <c r="J537" s="116">
        <f t="shared" si="77"/>
        <v>-2.9242000000000061</v>
      </c>
      <c r="K537" s="116">
        <f t="shared" si="78"/>
        <v>2.9242000000000061</v>
      </c>
      <c r="L537" s="116">
        <f t="shared" si="79"/>
        <v>8.5509456400000357</v>
      </c>
      <c r="M537" s="117">
        <f t="shared" si="75"/>
        <v>-9.0560545060390407E-2</v>
      </c>
    </row>
    <row r="538" spans="1:13">
      <c r="A538" s="112">
        <v>535</v>
      </c>
      <c r="B538" s="107">
        <v>42404</v>
      </c>
      <c r="C538" s="108">
        <v>31.63</v>
      </c>
      <c r="D538" s="115">
        <f t="shared" ref="D538:D601" si="84">AVERAGE(C518:C537)</f>
        <v>31.150500000000001</v>
      </c>
      <c r="E538" s="115">
        <f t="shared" si="80"/>
        <v>0.47949999999999804</v>
      </c>
      <c r="F538" s="115">
        <f t="shared" si="81"/>
        <v>0.47949999999999804</v>
      </c>
      <c r="G538" s="115">
        <f t="shared" si="82"/>
        <v>0.22992024999999813</v>
      </c>
      <c r="H538" s="115">
        <f t="shared" si="83"/>
        <v>1.5159658552007526E-2</v>
      </c>
      <c r="I538" s="116">
        <f t="shared" si="76"/>
        <v>35.042200000000008</v>
      </c>
      <c r="J538" s="116">
        <f t="shared" si="77"/>
        <v>-3.4122000000000092</v>
      </c>
      <c r="K538" s="116">
        <f t="shared" si="78"/>
        <v>3.4122000000000092</v>
      </c>
      <c r="L538" s="116">
        <f t="shared" si="79"/>
        <v>11.643108840000062</v>
      </c>
      <c r="M538" s="117">
        <f t="shared" si="75"/>
        <v>-0.10787859626936483</v>
      </c>
    </row>
    <row r="539" spans="1:13">
      <c r="A539" s="112">
        <v>536</v>
      </c>
      <c r="B539" s="113">
        <v>42405</v>
      </c>
      <c r="C539" s="114">
        <v>30.86</v>
      </c>
      <c r="D539" s="115">
        <f t="shared" si="84"/>
        <v>31.033499999999997</v>
      </c>
      <c r="E539" s="115">
        <f t="shared" si="80"/>
        <v>-0.1734999999999971</v>
      </c>
      <c r="F539" s="115">
        <f t="shared" si="81"/>
        <v>0.1734999999999971</v>
      </c>
      <c r="G539" s="115">
        <f t="shared" si="82"/>
        <v>3.0102249999998994E-2</v>
      </c>
      <c r="H539" s="115">
        <f t="shared" si="83"/>
        <v>5.6221646143874626E-3</v>
      </c>
      <c r="I539" s="116">
        <f t="shared" si="76"/>
        <v>34.850400000000008</v>
      </c>
      <c r="J539" s="116">
        <f t="shared" si="77"/>
        <v>-3.9904000000000082</v>
      </c>
      <c r="K539" s="116">
        <f t="shared" si="78"/>
        <v>3.9904000000000082</v>
      </c>
      <c r="L539" s="116">
        <f t="shared" si="79"/>
        <v>15.923292160000065</v>
      </c>
      <c r="M539" s="117">
        <f t="shared" si="75"/>
        <v>-0.12930654569021413</v>
      </c>
    </row>
    <row r="540" spans="1:13">
      <c r="A540" s="112">
        <v>537</v>
      </c>
      <c r="B540" s="107">
        <v>42408</v>
      </c>
      <c r="C540" s="108">
        <v>29.71</v>
      </c>
      <c r="D540" s="115">
        <f t="shared" si="84"/>
        <v>30.911999999999995</v>
      </c>
      <c r="E540" s="115">
        <f t="shared" si="80"/>
        <v>-1.2019999999999946</v>
      </c>
      <c r="F540" s="115">
        <f t="shared" si="81"/>
        <v>1.2019999999999946</v>
      </c>
      <c r="G540" s="115">
        <f t="shared" si="82"/>
        <v>1.4448039999999871</v>
      </c>
      <c r="H540" s="115">
        <f t="shared" si="83"/>
        <v>4.0457758330528261E-2</v>
      </c>
      <c r="I540" s="116">
        <f t="shared" si="76"/>
        <v>34.6432</v>
      </c>
      <c r="J540" s="116">
        <f t="shared" si="77"/>
        <v>-4.9331999999999994</v>
      </c>
      <c r="K540" s="116">
        <f t="shared" si="78"/>
        <v>4.9331999999999994</v>
      </c>
      <c r="L540" s="116">
        <f t="shared" si="79"/>
        <v>24.336462239999992</v>
      </c>
      <c r="M540" s="117">
        <f t="shared" si="75"/>
        <v>-0.16604510265903732</v>
      </c>
    </row>
    <row r="541" spans="1:13">
      <c r="A541" s="112">
        <v>538</v>
      </c>
      <c r="B541" s="113">
        <v>42409</v>
      </c>
      <c r="C541" s="114">
        <v>27.96</v>
      </c>
      <c r="D541" s="115">
        <f t="shared" si="84"/>
        <v>30.737500000000001</v>
      </c>
      <c r="E541" s="115">
        <f t="shared" si="80"/>
        <v>-2.7774999999999999</v>
      </c>
      <c r="F541" s="115">
        <f t="shared" si="81"/>
        <v>2.7774999999999999</v>
      </c>
      <c r="G541" s="115">
        <f t="shared" si="82"/>
        <v>7.7145062499999995</v>
      </c>
      <c r="H541" s="115">
        <f t="shared" si="83"/>
        <v>9.9338340486409146E-2</v>
      </c>
      <c r="I541" s="116">
        <f t="shared" si="76"/>
        <v>34.426000000000002</v>
      </c>
      <c r="J541" s="116">
        <f t="shared" si="77"/>
        <v>-6.4660000000000011</v>
      </c>
      <c r="K541" s="116">
        <f t="shared" si="78"/>
        <v>6.4660000000000011</v>
      </c>
      <c r="L541" s="116">
        <f t="shared" si="79"/>
        <v>41.809156000000016</v>
      </c>
      <c r="M541" s="117">
        <f t="shared" si="75"/>
        <v>-0.23125894134477828</v>
      </c>
    </row>
    <row r="542" spans="1:13">
      <c r="A542" s="112">
        <v>539</v>
      </c>
      <c r="B542" s="107">
        <v>42410</v>
      </c>
      <c r="C542" s="108">
        <v>27.54</v>
      </c>
      <c r="D542" s="115">
        <f t="shared" si="84"/>
        <v>30.56450000000001</v>
      </c>
      <c r="E542" s="115">
        <f t="shared" si="80"/>
        <v>-3.0245000000000104</v>
      </c>
      <c r="F542" s="115">
        <f t="shared" si="81"/>
        <v>3.0245000000000104</v>
      </c>
      <c r="G542" s="115">
        <f t="shared" si="82"/>
        <v>9.1476002500000622</v>
      </c>
      <c r="H542" s="115">
        <f t="shared" si="83"/>
        <v>0.1098220769789401</v>
      </c>
      <c r="I542" s="116">
        <f t="shared" si="76"/>
        <v>34.176600000000008</v>
      </c>
      <c r="J542" s="116">
        <f t="shared" si="77"/>
        <v>-6.6366000000000085</v>
      </c>
      <c r="K542" s="116">
        <f t="shared" si="78"/>
        <v>6.6366000000000085</v>
      </c>
      <c r="L542" s="116">
        <f t="shared" si="79"/>
        <v>44.044459560000114</v>
      </c>
      <c r="M542" s="117">
        <f t="shared" si="75"/>
        <v>-0.24098039215686307</v>
      </c>
    </row>
    <row r="543" spans="1:13">
      <c r="A543" s="112">
        <v>540</v>
      </c>
      <c r="B543" s="113">
        <v>42411</v>
      </c>
      <c r="C543" s="114">
        <v>26.19</v>
      </c>
      <c r="D543" s="115">
        <f t="shared" si="84"/>
        <v>30.420499999999997</v>
      </c>
      <c r="E543" s="115">
        <f t="shared" si="80"/>
        <v>-4.2304999999999957</v>
      </c>
      <c r="F543" s="115">
        <f t="shared" si="81"/>
        <v>4.2304999999999957</v>
      </c>
      <c r="G543" s="115">
        <f t="shared" si="82"/>
        <v>17.897130249999964</v>
      </c>
      <c r="H543" s="115">
        <f t="shared" si="83"/>
        <v>0.16153111874761342</v>
      </c>
      <c r="I543" s="116">
        <f t="shared" si="76"/>
        <v>33.915800000000004</v>
      </c>
      <c r="J543" s="116">
        <f t="shared" si="77"/>
        <v>-7.7258000000000031</v>
      </c>
      <c r="K543" s="116">
        <f t="shared" si="78"/>
        <v>7.7258000000000031</v>
      </c>
      <c r="L543" s="116">
        <f t="shared" si="79"/>
        <v>59.687985640000051</v>
      </c>
      <c r="M543" s="117">
        <f t="shared" si="75"/>
        <v>-0.29499045437189775</v>
      </c>
    </row>
    <row r="544" spans="1:13">
      <c r="A544" s="112">
        <v>541</v>
      </c>
      <c r="B544" s="107">
        <v>42412</v>
      </c>
      <c r="C544" s="108">
        <v>29.32</v>
      </c>
      <c r="D544" s="115">
        <f t="shared" si="84"/>
        <v>30.209000000000003</v>
      </c>
      <c r="E544" s="115">
        <f t="shared" si="80"/>
        <v>-0.8890000000000029</v>
      </c>
      <c r="F544" s="115">
        <f t="shared" si="81"/>
        <v>0.8890000000000029</v>
      </c>
      <c r="G544" s="115">
        <f t="shared" si="82"/>
        <v>0.79032100000000516</v>
      </c>
      <c r="H544" s="115">
        <f t="shared" si="83"/>
        <v>3.0320600272851394E-2</v>
      </c>
      <c r="I544" s="116">
        <f t="shared" si="76"/>
        <v>33.641000000000005</v>
      </c>
      <c r="J544" s="116">
        <f t="shared" si="77"/>
        <v>-4.3210000000000051</v>
      </c>
      <c r="K544" s="116">
        <f t="shared" si="78"/>
        <v>4.3210000000000051</v>
      </c>
      <c r="L544" s="116">
        <f t="shared" si="79"/>
        <v>18.671041000000045</v>
      </c>
      <c r="M544" s="117">
        <f t="shared" si="75"/>
        <v>-0.14737380627557997</v>
      </c>
    </row>
    <row r="545" spans="1:13">
      <c r="A545" s="112">
        <v>542</v>
      </c>
      <c r="B545" s="113">
        <v>42416</v>
      </c>
      <c r="C545" s="114">
        <v>29.05</v>
      </c>
      <c r="D545" s="115">
        <f t="shared" si="84"/>
        <v>30.114000000000004</v>
      </c>
      <c r="E545" s="115">
        <f t="shared" si="80"/>
        <v>-1.0640000000000036</v>
      </c>
      <c r="F545" s="115">
        <f t="shared" si="81"/>
        <v>1.0640000000000036</v>
      </c>
      <c r="G545" s="115">
        <f t="shared" si="82"/>
        <v>1.1320960000000078</v>
      </c>
      <c r="H545" s="115">
        <f t="shared" si="83"/>
        <v>3.6626506024096506E-2</v>
      </c>
      <c r="I545" s="116">
        <f t="shared" si="76"/>
        <v>33.405800000000006</v>
      </c>
      <c r="J545" s="116">
        <f t="shared" si="77"/>
        <v>-4.3558000000000057</v>
      </c>
      <c r="K545" s="116">
        <f t="shared" si="78"/>
        <v>4.3558000000000057</v>
      </c>
      <c r="L545" s="116">
        <f t="shared" si="79"/>
        <v>18.972993640000048</v>
      </c>
      <c r="M545" s="117">
        <f t="shared" si="75"/>
        <v>-0.14994148020654063</v>
      </c>
    </row>
    <row r="546" spans="1:13">
      <c r="A546" s="112">
        <v>543</v>
      </c>
      <c r="B546" s="107">
        <v>42417</v>
      </c>
      <c r="C546" s="108">
        <v>30.68</v>
      </c>
      <c r="D546" s="115">
        <f t="shared" si="84"/>
        <v>30.094000000000001</v>
      </c>
      <c r="E546" s="115">
        <f t="shared" si="80"/>
        <v>0.58599999999999852</v>
      </c>
      <c r="F546" s="115">
        <f t="shared" si="81"/>
        <v>0.58599999999999852</v>
      </c>
      <c r="G546" s="115">
        <f t="shared" si="82"/>
        <v>0.34339599999999826</v>
      </c>
      <c r="H546" s="115">
        <f t="shared" si="83"/>
        <v>1.910039113428939E-2</v>
      </c>
      <c r="I546" s="116">
        <f t="shared" si="76"/>
        <v>33.186799999999998</v>
      </c>
      <c r="J546" s="116">
        <f t="shared" si="77"/>
        <v>-2.5067999999999984</v>
      </c>
      <c r="K546" s="116">
        <f t="shared" si="78"/>
        <v>2.5067999999999984</v>
      </c>
      <c r="L546" s="116">
        <f t="shared" si="79"/>
        <v>6.2840462399999915</v>
      </c>
      <c r="M546" s="117">
        <f t="shared" si="75"/>
        <v>-8.1707953063885216E-2</v>
      </c>
    </row>
    <row r="547" spans="1:13">
      <c r="A547" s="112">
        <v>544</v>
      </c>
      <c r="B547" s="113">
        <v>42418</v>
      </c>
      <c r="C547" s="114">
        <v>30.77</v>
      </c>
      <c r="D547" s="115">
        <f t="shared" si="84"/>
        <v>30.204499999999996</v>
      </c>
      <c r="E547" s="115">
        <f t="shared" si="80"/>
        <v>0.56550000000000367</v>
      </c>
      <c r="F547" s="115">
        <f t="shared" si="81"/>
        <v>0.56550000000000367</v>
      </c>
      <c r="G547" s="115">
        <f t="shared" si="82"/>
        <v>0.31979025000000416</v>
      </c>
      <c r="H547" s="115">
        <f t="shared" si="83"/>
        <v>1.8378290542736552E-2</v>
      </c>
      <c r="I547" s="116">
        <f t="shared" si="76"/>
        <v>33.047599999999996</v>
      </c>
      <c r="J547" s="116">
        <f t="shared" si="77"/>
        <v>-2.2775999999999961</v>
      </c>
      <c r="K547" s="116">
        <f t="shared" si="78"/>
        <v>2.2775999999999961</v>
      </c>
      <c r="L547" s="116">
        <f t="shared" si="79"/>
        <v>5.1874617599999819</v>
      </c>
      <c r="M547" s="117">
        <f t="shared" si="75"/>
        <v>-7.4020149496262469E-2</v>
      </c>
    </row>
    <row r="548" spans="1:13">
      <c r="A548" s="112">
        <v>545</v>
      </c>
      <c r="B548" s="107">
        <v>42419</v>
      </c>
      <c r="C548" s="108">
        <v>29.59</v>
      </c>
      <c r="D548" s="115">
        <f t="shared" si="84"/>
        <v>30.408999999999999</v>
      </c>
      <c r="E548" s="115">
        <f t="shared" si="80"/>
        <v>-0.81899999999999906</v>
      </c>
      <c r="F548" s="115">
        <f t="shared" si="81"/>
        <v>0.81899999999999906</v>
      </c>
      <c r="G548" s="115">
        <f t="shared" si="82"/>
        <v>0.6707609999999985</v>
      </c>
      <c r="H548" s="115">
        <f t="shared" si="83"/>
        <v>2.7678269685704599E-2</v>
      </c>
      <c r="I548" s="116">
        <f t="shared" si="76"/>
        <v>32.913799999999995</v>
      </c>
      <c r="J548" s="116">
        <f t="shared" si="77"/>
        <v>-3.323799999999995</v>
      </c>
      <c r="K548" s="116">
        <f t="shared" si="78"/>
        <v>3.323799999999995</v>
      </c>
      <c r="L548" s="116">
        <f t="shared" si="79"/>
        <v>11.047646439999967</v>
      </c>
      <c r="M548" s="117">
        <f t="shared" si="75"/>
        <v>-0.11232848935451149</v>
      </c>
    </row>
    <row r="549" spans="1:13">
      <c r="A549" s="112">
        <v>546</v>
      </c>
      <c r="B549" s="113">
        <v>42422</v>
      </c>
      <c r="C549" s="114">
        <v>31.37</v>
      </c>
      <c r="D549" s="115">
        <f t="shared" si="84"/>
        <v>30.410999999999994</v>
      </c>
      <c r="E549" s="115">
        <f t="shared" si="80"/>
        <v>0.95900000000000674</v>
      </c>
      <c r="F549" s="115">
        <f t="shared" si="81"/>
        <v>0.95900000000000674</v>
      </c>
      <c r="G549" s="115">
        <f t="shared" si="82"/>
        <v>0.91968100000001296</v>
      </c>
      <c r="H549" s="115">
        <f t="shared" si="83"/>
        <v>3.0570608861970248E-2</v>
      </c>
      <c r="I549" s="116">
        <f t="shared" si="76"/>
        <v>32.762399999999992</v>
      </c>
      <c r="J549" s="116">
        <f t="shared" si="77"/>
        <v>-1.3923999999999914</v>
      </c>
      <c r="K549" s="116">
        <f t="shared" si="78"/>
        <v>1.3923999999999914</v>
      </c>
      <c r="L549" s="116">
        <f t="shared" si="79"/>
        <v>1.938777759999976</v>
      </c>
      <c r="M549" s="117">
        <f t="shared" si="75"/>
        <v>-4.4386356391456529E-2</v>
      </c>
    </row>
    <row r="550" spans="1:13">
      <c r="A550" s="112">
        <v>547</v>
      </c>
      <c r="B550" s="107">
        <v>42423</v>
      </c>
      <c r="C550" s="108">
        <v>31.84</v>
      </c>
      <c r="D550" s="115">
        <f t="shared" si="84"/>
        <v>30.375999999999998</v>
      </c>
      <c r="E550" s="115">
        <f t="shared" si="80"/>
        <v>1.4640000000000022</v>
      </c>
      <c r="F550" s="115">
        <f t="shared" si="81"/>
        <v>1.4640000000000022</v>
      </c>
      <c r="G550" s="115">
        <f t="shared" si="82"/>
        <v>2.1432960000000065</v>
      </c>
      <c r="H550" s="115">
        <f t="shared" si="83"/>
        <v>4.5979899497487507E-2</v>
      </c>
      <c r="I550" s="116">
        <f t="shared" si="76"/>
        <v>32.654599999999988</v>
      </c>
      <c r="J550" s="116">
        <f t="shared" si="77"/>
        <v>-0.814599999999988</v>
      </c>
      <c r="K550" s="116">
        <f t="shared" si="78"/>
        <v>0.814599999999988</v>
      </c>
      <c r="L550" s="116">
        <f t="shared" si="79"/>
        <v>0.66357315999998046</v>
      </c>
      <c r="M550" s="117">
        <f t="shared" si="75"/>
        <v>-2.558417085427098E-2</v>
      </c>
    </row>
    <row r="551" spans="1:13">
      <c r="A551" s="112">
        <v>548</v>
      </c>
      <c r="B551" s="113">
        <v>42424</v>
      </c>
      <c r="C551" s="114">
        <v>30.35</v>
      </c>
      <c r="D551" s="115">
        <f t="shared" si="84"/>
        <v>30.452500000000004</v>
      </c>
      <c r="E551" s="115">
        <f t="shared" si="80"/>
        <v>-0.1025000000000027</v>
      </c>
      <c r="F551" s="115">
        <f t="shared" si="81"/>
        <v>0.1025000000000027</v>
      </c>
      <c r="G551" s="115">
        <f t="shared" si="82"/>
        <v>1.0506250000000553E-2</v>
      </c>
      <c r="H551" s="115">
        <f t="shared" si="83"/>
        <v>3.3772652388798252E-3</v>
      </c>
      <c r="I551" s="116">
        <f t="shared" si="76"/>
        <v>32.578399999999995</v>
      </c>
      <c r="J551" s="116">
        <f t="shared" si="77"/>
        <v>-2.2283999999999935</v>
      </c>
      <c r="K551" s="116">
        <f t="shared" si="78"/>
        <v>2.2283999999999935</v>
      </c>
      <c r="L551" s="116">
        <f t="shared" si="79"/>
        <v>4.9657665599999712</v>
      </c>
      <c r="M551" s="117">
        <f t="shared" si="75"/>
        <v>-7.3423393739703247E-2</v>
      </c>
    </row>
    <row r="552" spans="1:13">
      <c r="A552" s="112">
        <v>549</v>
      </c>
      <c r="B552" s="107">
        <v>42425</v>
      </c>
      <c r="C552" s="108">
        <v>31.4</v>
      </c>
      <c r="D552" s="115">
        <f t="shared" si="84"/>
        <v>30.493000000000002</v>
      </c>
      <c r="E552" s="115">
        <f t="shared" si="80"/>
        <v>0.90699999999999648</v>
      </c>
      <c r="F552" s="115">
        <f t="shared" si="81"/>
        <v>0.90699999999999648</v>
      </c>
      <c r="G552" s="115">
        <f t="shared" si="82"/>
        <v>0.82264899999999364</v>
      </c>
      <c r="H552" s="115">
        <f t="shared" si="83"/>
        <v>2.8885350318471226E-2</v>
      </c>
      <c r="I552" s="116">
        <f t="shared" si="76"/>
        <v>32.459199999999996</v>
      </c>
      <c r="J552" s="116">
        <f t="shared" si="77"/>
        <v>-1.059199999999997</v>
      </c>
      <c r="K552" s="116">
        <f t="shared" si="78"/>
        <v>1.059199999999997</v>
      </c>
      <c r="L552" s="116">
        <f t="shared" si="79"/>
        <v>1.1219046399999937</v>
      </c>
      <c r="M552" s="117">
        <f t="shared" si="75"/>
        <v>-3.3732484076433027E-2</v>
      </c>
    </row>
    <row r="553" spans="1:13">
      <c r="A553" s="112">
        <v>550</v>
      </c>
      <c r="B553" s="113">
        <v>42426</v>
      </c>
      <c r="C553" s="114">
        <v>31.65</v>
      </c>
      <c r="D553" s="115">
        <f t="shared" si="84"/>
        <v>30.447000000000003</v>
      </c>
      <c r="E553" s="115">
        <f t="shared" si="80"/>
        <v>1.2029999999999959</v>
      </c>
      <c r="F553" s="115">
        <f t="shared" si="81"/>
        <v>1.2029999999999959</v>
      </c>
      <c r="G553" s="115">
        <f t="shared" si="82"/>
        <v>1.44720899999999</v>
      </c>
      <c r="H553" s="115">
        <f t="shared" si="83"/>
        <v>3.8009478672985653E-2</v>
      </c>
      <c r="I553" s="116">
        <f t="shared" si="76"/>
        <v>32.340799999999994</v>
      </c>
      <c r="J553" s="116">
        <f t="shared" si="77"/>
        <v>-0.69079999999999586</v>
      </c>
      <c r="K553" s="116">
        <f t="shared" si="78"/>
        <v>0.69079999999999586</v>
      </c>
      <c r="L553" s="116">
        <f t="shared" si="79"/>
        <v>0.4772046399999943</v>
      </c>
      <c r="M553" s="117">
        <f t="shared" si="75"/>
        <v>-2.1826224328593866E-2</v>
      </c>
    </row>
    <row r="554" spans="1:13">
      <c r="A554" s="112">
        <v>551</v>
      </c>
      <c r="B554" s="107">
        <v>42429</v>
      </c>
      <c r="C554" s="108">
        <v>32.74</v>
      </c>
      <c r="D554" s="115">
        <f t="shared" si="84"/>
        <v>30.369</v>
      </c>
      <c r="E554" s="115">
        <f t="shared" si="80"/>
        <v>2.3710000000000022</v>
      </c>
      <c r="F554" s="115">
        <f t="shared" si="81"/>
        <v>2.3710000000000022</v>
      </c>
      <c r="G554" s="115">
        <f t="shared" si="82"/>
        <v>5.6216410000000101</v>
      </c>
      <c r="H554" s="115">
        <f t="shared" si="83"/>
        <v>7.2419059254734339E-2</v>
      </c>
      <c r="I554" s="116">
        <f t="shared" si="76"/>
        <v>32.262799999999991</v>
      </c>
      <c r="J554" s="116">
        <f t="shared" si="77"/>
        <v>0.4772000000000105</v>
      </c>
      <c r="K554" s="116">
        <f t="shared" si="78"/>
        <v>0.4772000000000105</v>
      </c>
      <c r="L554" s="116">
        <f t="shared" si="79"/>
        <v>0.22771984000001003</v>
      </c>
      <c r="M554" s="117">
        <f t="shared" si="75"/>
        <v>1.4575442883323473E-2</v>
      </c>
    </row>
    <row r="555" spans="1:13">
      <c r="A555" s="112">
        <v>552</v>
      </c>
      <c r="B555" s="113">
        <v>42430</v>
      </c>
      <c r="C555" s="114">
        <v>34.39</v>
      </c>
      <c r="D555" s="115">
        <f t="shared" si="84"/>
        <v>30.323</v>
      </c>
      <c r="E555" s="115">
        <f t="shared" si="80"/>
        <v>4.0670000000000002</v>
      </c>
      <c r="F555" s="115">
        <f t="shared" si="81"/>
        <v>4.0670000000000002</v>
      </c>
      <c r="G555" s="115">
        <f t="shared" si="82"/>
        <v>16.540489000000001</v>
      </c>
      <c r="H555" s="115">
        <f t="shared" si="83"/>
        <v>0.11826112241930795</v>
      </c>
      <c r="I555" s="116">
        <f t="shared" si="76"/>
        <v>32.217999999999989</v>
      </c>
      <c r="J555" s="116">
        <f t="shared" si="77"/>
        <v>2.1720000000000113</v>
      </c>
      <c r="K555" s="116">
        <f t="shared" si="78"/>
        <v>2.1720000000000113</v>
      </c>
      <c r="L555" s="116">
        <f t="shared" si="79"/>
        <v>4.7175840000000493</v>
      </c>
      <c r="M555" s="117">
        <f t="shared" si="75"/>
        <v>6.3157894736842426E-2</v>
      </c>
    </row>
    <row r="556" spans="1:13">
      <c r="A556" s="112">
        <v>553</v>
      </c>
      <c r="B556" s="107">
        <v>42431</v>
      </c>
      <c r="C556" s="108">
        <v>34.57</v>
      </c>
      <c r="D556" s="115">
        <f t="shared" si="84"/>
        <v>30.461499999999994</v>
      </c>
      <c r="E556" s="115">
        <f t="shared" si="80"/>
        <v>4.1085000000000065</v>
      </c>
      <c r="F556" s="115">
        <f t="shared" si="81"/>
        <v>4.1085000000000065</v>
      </c>
      <c r="G556" s="115">
        <f t="shared" si="82"/>
        <v>16.879772250000052</v>
      </c>
      <c r="H556" s="115">
        <f t="shared" si="83"/>
        <v>0.11884582007520991</v>
      </c>
      <c r="I556" s="116">
        <f t="shared" si="76"/>
        <v>32.211399999999998</v>
      </c>
      <c r="J556" s="116">
        <f t="shared" si="77"/>
        <v>2.3586000000000027</v>
      </c>
      <c r="K556" s="116">
        <f t="shared" si="78"/>
        <v>2.3586000000000027</v>
      </c>
      <c r="L556" s="116">
        <f t="shared" si="79"/>
        <v>5.5629939600000124</v>
      </c>
      <c r="M556" s="117">
        <f t="shared" si="75"/>
        <v>6.8226786230836056E-2</v>
      </c>
    </row>
    <row r="557" spans="1:13">
      <c r="A557" s="112">
        <v>554</v>
      </c>
      <c r="B557" s="113">
        <v>42432</v>
      </c>
      <c r="C557" s="114">
        <v>34.56</v>
      </c>
      <c r="D557" s="115">
        <f t="shared" si="84"/>
        <v>30.695</v>
      </c>
      <c r="E557" s="115">
        <f t="shared" si="80"/>
        <v>3.865000000000002</v>
      </c>
      <c r="F557" s="115">
        <f t="shared" si="81"/>
        <v>3.865000000000002</v>
      </c>
      <c r="G557" s="115">
        <f t="shared" si="82"/>
        <v>14.938225000000015</v>
      </c>
      <c r="H557" s="115">
        <f t="shared" si="83"/>
        <v>0.1118344907407408</v>
      </c>
      <c r="I557" s="116">
        <f t="shared" si="76"/>
        <v>32.211799999999997</v>
      </c>
      <c r="J557" s="116">
        <f t="shared" si="77"/>
        <v>2.3482000000000056</v>
      </c>
      <c r="K557" s="116">
        <f t="shared" si="78"/>
        <v>2.3482000000000056</v>
      </c>
      <c r="L557" s="116">
        <f t="shared" si="79"/>
        <v>5.5140432400000261</v>
      </c>
      <c r="M557" s="117">
        <f t="shared" si="75"/>
        <v>6.7945601851852014E-2</v>
      </c>
    </row>
    <row r="558" spans="1:13">
      <c r="A558" s="112">
        <v>555</v>
      </c>
      <c r="B558" s="107">
        <v>42433</v>
      </c>
      <c r="C558" s="108">
        <v>35.909999999999997</v>
      </c>
      <c r="D558" s="115">
        <f t="shared" si="84"/>
        <v>30.808499999999992</v>
      </c>
      <c r="E558" s="115">
        <f t="shared" si="80"/>
        <v>5.101500000000005</v>
      </c>
      <c r="F558" s="115">
        <f t="shared" si="81"/>
        <v>5.101500000000005</v>
      </c>
      <c r="G558" s="115">
        <f t="shared" si="82"/>
        <v>26.025302250000053</v>
      </c>
      <c r="H558" s="115">
        <f t="shared" si="83"/>
        <v>0.14206349206349222</v>
      </c>
      <c r="I558" s="116">
        <f t="shared" si="76"/>
        <v>32.180599999999998</v>
      </c>
      <c r="J558" s="116">
        <f t="shared" si="77"/>
        <v>3.7293999999999983</v>
      </c>
      <c r="K558" s="116">
        <f t="shared" si="78"/>
        <v>3.7293999999999983</v>
      </c>
      <c r="L558" s="116">
        <f t="shared" si="79"/>
        <v>13.908424359999987</v>
      </c>
      <c r="M558" s="117">
        <f t="shared" si="75"/>
        <v>0.1038540796435533</v>
      </c>
    </row>
    <row r="559" spans="1:13">
      <c r="A559" s="112">
        <v>556</v>
      </c>
      <c r="B559" s="113">
        <v>42436</v>
      </c>
      <c r="C559" s="114">
        <v>37.9</v>
      </c>
      <c r="D559" s="115">
        <f t="shared" si="84"/>
        <v>31.022499999999997</v>
      </c>
      <c r="E559" s="115">
        <f t="shared" si="80"/>
        <v>6.8775000000000013</v>
      </c>
      <c r="F559" s="115">
        <f t="shared" si="81"/>
        <v>6.8775000000000013</v>
      </c>
      <c r="G559" s="115">
        <f t="shared" si="82"/>
        <v>47.300006250000017</v>
      </c>
      <c r="H559" s="115">
        <f t="shared" si="83"/>
        <v>0.18146437994722958</v>
      </c>
      <c r="I559" s="116">
        <f t="shared" si="76"/>
        <v>32.163599999999995</v>
      </c>
      <c r="J559" s="116">
        <f t="shared" si="77"/>
        <v>5.7364000000000033</v>
      </c>
      <c r="K559" s="116">
        <f t="shared" si="78"/>
        <v>5.7364000000000033</v>
      </c>
      <c r="L559" s="116">
        <f t="shared" si="79"/>
        <v>32.906284960000036</v>
      </c>
      <c r="M559" s="117">
        <f t="shared" si="75"/>
        <v>0.15135620052770457</v>
      </c>
    </row>
    <row r="560" spans="1:13">
      <c r="A560" s="112">
        <v>557</v>
      </c>
      <c r="B560" s="107">
        <v>42437</v>
      </c>
      <c r="C560" s="108">
        <v>36.67</v>
      </c>
      <c r="D560" s="115">
        <f t="shared" si="84"/>
        <v>31.374500000000001</v>
      </c>
      <c r="E560" s="115">
        <f t="shared" si="80"/>
        <v>5.2955000000000005</v>
      </c>
      <c r="F560" s="115">
        <f t="shared" si="81"/>
        <v>5.2955000000000005</v>
      </c>
      <c r="G560" s="115">
        <f t="shared" si="82"/>
        <v>28.042320250000007</v>
      </c>
      <c r="H560" s="115">
        <f t="shared" si="83"/>
        <v>0.14440959912735207</v>
      </c>
      <c r="I560" s="116">
        <f t="shared" si="76"/>
        <v>32.169200000000004</v>
      </c>
      <c r="J560" s="116">
        <f t="shared" si="77"/>
        <v>4.5007999999999981</v>
      </c>
      <c r="K560" s="116">
        <f t="shared" si="78"/>
        <v>4.5007999999999981</v>
      </c>
      <c r="L560" s="116">
        <f t="shared" si="79"/>
        <v>20.257200639999983</v>
      </c>
      <c r="M560" s="117">
        <f t="shared" si="75"/>
        <v>0.12273793291518947</v>
      </c>
    </row>
    <row r="561" spans="1:13">
      <c r="A561" s="112">
        <v>558</v>
      </c>
      <c r="B561" s="113">
        <v>42438</v>
      </c>
      <c r="C561" s="114">
        <v>37.619999999999997</v>
      </c>
      <c r="D561" s="115">
        <f t="shared" si="84"/>
        <v>31.722499999999997</v>
      </c>
      <c r="E561" s="115">
        <f t="shared" si="80"/>
        <v>5.8975000000000009</v>
      </c>
      <c r="F561" s="115">
        <f t="shared" si="81"/>
        <v>5.8975000000000009</v>
      </c>
      <c r="G561" s="115">
        <f t="shared" si="82"/>
        <v>34.780506250000009</v>
      </c>
      <c r="H561" s="115">
        <f t="shared" si="83"/>
        <v>0.15676501860712391</v>
      </c>
      <c r="I561" s="116">
        <f t="shared" si="76"/>
        <v>32.150599999999997</v>
      </c>
      <c r="J561" s="116">
        <f t="shared" si="77"/>
        <v>5.4694000000000003</v>
      </c>
      <c r="K561" s="116">
        <f t="shared" si="78"/>
        <v>5.4694000000000003</v>
      </c>
      <c r="L561" s="116">
        <f t="shared" si="79"/>
        <v>29.914336360000004</v>
      </c>
      <c r="M561" s="117">
        <f t="shared" si="75"/>
        <v>0.14538543328017015</v>
      </c>
    </row>
    <row r="562" spans="1:13">
      <c r="A562" s="112">
        <v>559</v>
      </c>
      <c r="B562" s="107">
        <v>42439</v>
      </c>
      <c r="C562" s="108">
        <v>37.770000000000003</v>
      </c>
      <c r="D562" s="115">
        <f t="shared" si="84"/>
        <v>32.205499999999994</v>
      </c>
      <c r="E562" s="115">
        <f t="shared" si="80"/>
        <v>5.5645000000000095</v>
      </c>
      <c r="F562" s="115">
        <f t="shared" si="81"/>
        <v>5.5645000000000095</v>
      </c>
      <c r="G562" s="115">
        <f t="shared" si="82"/>
        <v>30.963660250000107</v>
      </c>
      <c r="H562" s="115">
        <f t="shared" si="83"/>
        <v>0.14732592004236189</v>
      </c>
      <c r="I562" s="116">
        <f t="shared" si="76"/>
        <v>32.175800000000002</v>
      </c>
      <c r="J562" s="116">
        <f t="shared" si="77"/>
        <v>5.5942000000000007</v>
      </c>
      <c r="K562" s="116">
        <f t="shared" si="78"/>
        <v>5.5942000000000007</v>
      </c>
      <c r="L562" s="116">
        <f t="shared" si="79"/>
        <v>31.295073640000009</v>
      </c>
      <c r="M562" s="117">
        <f t="shared" si="75"/>
        <v>0.14811225840614245</v>
      </c>
    </row>
    <row r="563" spans="1:13">
      <c r="A563" s="112">
        <v>560</v>
      </c>
      <c r="B563" s="113">
        <v>42440</v>
      </c>
      <c r="C563" s="114">
        <v>38.51</v>
      </c>
      <c r="D563" s="115">
        <f t="shared" si="84"/>
        <v>32.716999999999999</v>
      </c>
      <c r="E563" s="115">
        <f t="shared" si="80"/>
        <v>5.7929999999999993</v>
      </c>
      <c r="F563" s="115">
        <f t="shared" si="81"/>
        <v>5.7929999999999993</v>
      </c>
      <c r="G563" s="115">
        <f t="shared" si="82"/>
        <v>33.558848999999988</v>
      </c>
      <c r="H563" s="115">
        <f t="shared" si="83"/>
        <v>0.15042846014022332</v>
      </c>
      <c r="I563" s="116">
        <f t="shared" si="76"/>
        <v>32.1736</v>
      </c>
      <c r="J563" s="116">
        <f t="shared" si="77"/>
        <v>6.3363999999999976</v>
      </c>
      <c r="K563" s="116">
        <f t="shared" si="78"/>
        <v>6.3363999999999976</v>
      </c>
      <c r="L563" s="116">
        <f t="shared" si="79"/>
        <v>40.14996495999997</v>
      </c>
      <c r="M563" s="117">
        <f t="shared" si="75"/>
        <v>0.16453908075824455</v>
      </c>
    </row>
    <row r="564" spans="1:13">
      <c r="A564" s="112">
        <v>561</v>
      </c>
      <c r="B564" s="107">
        <v>42443</v>
      </c>
      <c r="C564" s="108">
        <v>37.200000000000003</v>
      </c>
      <c r="D564" s="115">
        <f t="shared" si="84"/>
        <v>33.332999999999991</v>
      </c>
      <c r="E564" s="115">
        <f t="shared" si="80"/>
        <v>3.8670000000000115</v>
      </c>
      <c r="F564" s="115">
        <f t="shared" si="81"/>
        <v>3.8670000000000115</v>
      </c>
      <c r="G564" s="115">
        <f t="shared" si="82"/>
        <v>14.953689000000089</v>
      </c>
      <c r="H564" s="115">
        <f t="shared" si="83"/>
        <v>0.1039516129032261</v>
      </c>
      <c r="I564" s="116">
        <f t="shared" si="76"/>
        <v>32.211999999999996</v>
      </c>
      <c r="J564" s="116">
        <f t="shared" si="77"/>
        <v>4.9880000000000067</v>
      </c>
      <c r="K564" s="116">
        <f t="shared" si="78"/>
        <v>4.9880000000000067</v>
      </c>
      <c r="L564" s="116">
        <f t="shared" si="79"/>
        <v>24.880144000000065</v>
      </c>
      <c r="M564" s="117">
        <f t="shared" si="75"/>
        <v>0.13408602150537652</v>
      </c>
    </row>
    <row r="565" spans="1:13">
      <c r="A565" s="112">
        <v>562</v>
      </c>
      <c r="B565" s="113">
        <v>42444</v>
      </c>
      <c r="C565" s="114">
        <v>36.32</v>
      </c>
      <c r="D565" s="115">
        <f t="shared" si="84"/>
        <v>33.726999999999997</v>
      </c>
      <c r="E565" s="115">
        <f t="shared" si="80"/>
        <v>2.5930000000000035</v>
      </c>
      <c r="F565" s="115">
        <f t="shared" si="81"/>
        <v>2.5930000000000035</v>
      </c>
      <c r="G565" s="115">
        <f t="shared" si="82"/>
        <v>6.7236490000000186</v>
      </c>
      <c r="H565" s="115">
        <f t="shared" si="83"/>
        <v>7.1393171806167499E-2</v>
      </c>
      <c r="I565" s="116">
        <f t="shared" si="76"/>
        <v>32.2134</v>
      </c>
      <c r="J565" s="116">
        <f t="shared" si="77"/>
        <v>4.1066000000000003</v>
      </c>
      <c r="K565" s="116">
        <f t="shared" si="78"/>
        <v>4.1066000000000003</v>
      </c>
      <c r="L565" s="116">
        <f t="shared" si="79"/>
        <v>16.864163560000001</v>
      </c>
      <c r="M565" s="117">
        <f t="shared" si="75"/>
        <v>0.11306718061674009</v>
      </c>
    </row>
    <row r="566" spans="1:13">
      <c r="A566" s="112">
        <v>563</v>
      </c>
      <c r="B566" s="107">
        <v>42445</v>
      </c>
      <c r="C566" s="108">
        <v>38.43</v>
      </c>
      <c r="D566" s="115">
        <f t="shared" si="84"/>
        <v>34.090499999999999</v>
      </c>
      <c r="E566" s="115">
        <f t="shared" si="80"/>
        <v>4.339500000000001</v>
      </c>
      <c r="F566" s="115">
        <f t="shared" si="81"/>
        <v>4.339500000000001</v>
      </c>
      <c r="G566" s="115">
        <f t="shared" si="82"/>
        <v>18.83126025000001</v>
      </c>
      <c r="H566" s="115">
        <f t="shared" si="83"/>
        <v>0.11291959406713507</v>
      </c>
      <c r="I566" s="116">
        <f t="shared" si="76"/>
        <v>32.197200000000002</v>
      </c>
      <c r="J566" s="116">
        <f t="shared" si="77"/>
        <v>6.2327999999999975</v>
      </c>
      <c r="K566" s="116">
        <f t="shared" si="78"/>
        <v>6.2327999999999975</v>
      </c>
      <c r="L566" s="116">
        <f t="shared" si="79"/>
        <v>38.847795839999968</v>
      </c>
      <c r="M566" s="117">
        <f t="shared" si="75"/>
        <v>0.16218579234972672</v>
      </c>
    </row>
    <row r="567" spans="1:13">
      <c r="A567" s="112">
        <v>564</v>
      </c>
      <c r="B567" s="113">
        <v>42446</v>
      </c>
      <c r="C567" s="114">
        <v>40.17</v>
      </c>
      <c r="D567" s="115">
        <f t="shared" si="84"/>
        <v>34.478000000000002</v>
      </c>
      <c r="E567" s="115">
        <f t="shared" si="80"/>
        <v>5.6920000000000002</v>
      </c>
      <c r="F567" s="115">
        <f t="shared" si="81"/>
        <v>5.6920000000000002</v>
      </c>
      <c r="G567" s="115">
        <f t="shared" si="82"/>
        <v>32.398864000000003</v>
      </c>
      <c r="H567" s="115">
        <f t="shared" si="83"/>
        <v>0.14169778441623102</v>
      </c>
      <c r="I567" s="116">
        <f t="shared" si="76"/>
        <v>32.229600000000005</v>
      </c>
      <c r="J567" s="116">
        <f t="shared" si="77"/>
        <v>7.9403999999999968</v>
      </c>
      <c r="K567" s="116">
        <f t="shared" si="78"/>
        <v>7.9403999999999968</v>
      </c>
      <c r="L567" s="116">
        <f t="shared" si="79"/>
        <v>63.049952159999947</v>
      </c>
      <c r="M567" s="117">
        <f t="shared" ref="M567:M630" si="85">J567/C567</f>
        <v>0.19766990291262126</v>
      </c>
    </row>
    <row r="568" spans="1:13">
      <c r="A568" s="112">
        <v>565</v>
      </c>
      <c r="B568" s="107">
        <v>42447</v>
      </c>
      <c r="C568" s="108">
        <v>39.47</v>
      </c>
      <c r="D568" s="115">
        <f t="shared" si="84"/>
        <v>34.948</v>
      </c>
      <c r="E568" s="115">
        <f t="shared" si="80"/>
        <v>4.5219999999999985</v>
      </c>
      <c r="F568" s="115">
        <f t="shared" si="81"/>
        <v>4.5219999999999985</v>
      </c>
      <c r="G568" s="115">
        <f t="shared" si="82"/>
        <v>20.448483999999986</v>
      </c>
      <c r="H568" s="115">
        <f t="shared" si="83"/>
        <v>0.11456802634912588</v>
      </c>
      <c r="I568" s="116">
        <f t="shared" ref="I568:I631" si="86">AVERAGE(C518:C567)</f>
        <v>32.313600000000008</v>
      </c>
      <c r="J568" s="116">
        <f t="shared" ref="J568:J631" si="87">C568-I568</f>
        <v>7.1563999999999908</v>
      </c>
      <c r="K568" s="116">
        <f t="shared" ref="K568:K631" si="88">ABS(J568)</f>
        <v>7.1563999999999908</v>
      </c>
      <c r="L568" s="116">
        <f t="shared" ref="L568:L631" si="89">J568^2</f>
        <v>51.21406095999987</v>
      </c>
      <c r="M568" s="117">
        <f t="shared" si="85"/>
        <v>0.18131238915632103</v>
      </c>
    </row>
    <row r="569" spans="1:13">
      <c r="A569" s="112">
        <v>566</v>
      </c>
      <c r="B569" s="113">
        <v>42450</v>
      </c>
      <c r="C569" s="114">
        <v>39.909999999999997</v>
      </c>
      <c r="D569" s="115">
        <f t="shared" si="84"/>
        <v>35.442</v>
      </c>
      <c r="E569" s="115">
        <f t="shared" si="80"/>
        <v>4.4679999999999964</v>
      </c>
      <c r="F569" s="115">
        <f t="shared" si="81"/>
        <v>4.4679999999999964</v>
      </c>
      <c r="G569" s="115">
        <f t="shared" si="82"/>
        <v>19.963023999999969</v>
      </c>
      <c r="H569" s="115">
        <f t="shared" si="83"/>
        <v>0.11195189175645194</v>
      </c>
      <c r="I569" s="116">
        <f t="shared" si="86"/>
        <v>32.423600000000008</v>
      </c>
      <c r="J569" s="116">
        <f t="shared" si="87"/>
        <v>7.4863999999999891</v>
      </c>
      <c r="K569" s="116">
        <f t="shared" si="88"/>
        <v>7.4863999999999891</v>
      </c>
      <c r="L569" s="116">
        <f t="shared" si="89"/>
        <v>56.046184959999835</v>
      </c>
      <c r="M569" s="117">
        <f t="shared" si="85"/>
        <v>0.18758205963417665</v>
      </c>
    </row>
    <row r="570" spans="1:13">
      <c r="A570" s="112">
        <v>567</v>
      </c>
      <c r="B570" s="107">
        <v>42451</v>
      </c>
      <c r="C570" s="108">
        <v>41.45</v>
      </c>
      <c r="D570" s="115">
        <f t="shared" si="84"/>
        <v>35.868999999999993</v>
      </c>
      <c r="E570" s="115">
        <f t="shared" si="80"/>
        <v>5.5810000000000102</v>
      </c>
      <c r="F570" s="115">
        <f t="shared" si="81"/>
        <v>5.5810000000000102</v>
      </c>
      <c r="G570" s="115">
        <f t="shared" si="82"/>
        <v>31.147561000000113</v>
      </c>
      <c r="H570" s="115">
        <f t="shared" si="83"/>
        <v>0.13464414957780482</v>
      </c>
      <c r="I570" s="116">
        <f t="shared" si="86"/>
        <v>32.556000000000012</v>
      </c>
      <c r="J570" s="116">
        <f t="shared" si="87"/>
        <v>8.8939999999999912</v>
      </c>
      <c r="K570" s="116">
        <f t="shared" si="88"/>
        <v>8.8939999999999912</v>
      </c>
      <c r="L570" s="116">
        <f t="shared" si="89"/>
        <v>79.103235999999839</v>
      </c>
      <c r="M570" s="117">
        <f t="shared" si="85"/>
        <v>0.21457177322074766</v>
      </c>
    </row>
    <row r="571" spans="1:13">
      <c r="A571" s="112">
        <v>568</v>
      </c>
      <c r="B571" s="113">
        <v>42452</v>
      </c>
      <c r="C571" s="114">
        <v>38.28</v>
      </c>
      <c r="D571" s="115">
        <f t="shared" si="84"/>
        <v>36.349499999999999</v>
      </c>
      <c r="E571" s="115">
        <f t="shared" si="80"/>
        <v>1.9305000000000021</v>
      </c>
      <c r="F571" s="115">
        <f t="shared" si="81"/>
        <v>1.9305000000000021</v>
      </c>
      <c r="G571" s="115">
        <f t="shared" si="82"/>
        <v>3.7268302500000083</v>
      </c>
      <c r="H571" s="115">
        <f t="shared" si="83"/>
        <v>5.0431034482758673E-2</v>
      </c>
      <c r="I571" s="116">
        <f t="shared" si="86"/>
        <v>32.721000000000011</v>
      </c>
      <c r="J571" s="116">
        <f t="shared" si="87"/>
        <v>5.5589999999999904</v>
      </c>
      <c r="K571" s="116">
        <f t="shared" si="88"/>
        <v>5.5589999999999904</v>
      </c>
      <c r="L571" s="116">
        <f t="shared" si="89"/>
        <v>30.902480999999892</v>
      </c>
      <c r="M571" s="117">
        <f t="shared" si="85"/>
        <v>0.14521943573667687</v>
      </c>
    </row>
    <row r="572" spans="1:13">
      <c r="A572" s="112">
        <v>569</v>
      </c>
      <c r="B572" s="107">
        <v>42453</v>
      </c>
      <c r="C572" s="108">
        <v>38.14</v>
      </c>
      <c r="D572" s="115">
        <f t="shared" si="84"/>
        <v>36.745999999999995</v>
      </c>
      <c r="E572" s="115">
        <f t="shared" si="80"/>
        <v>1.3940000000000055</v>
      </c>
      <c r="F572" s="115">
        <f t="shared" si="81"/>
        <v>1.3940000000000055</v>
      </c>
      <c r="G572" s="115">
        <f t="shared" si="82"/>
        <v>1.9432360000000153</v>
      </c>
      <c r="H572" s="115">
        <f t="shared" si="83"/>
        <v>3.654955427372851E-2</v>
      </c>
      <c r="I572" s="116">
        <f t="shared" si="86"/>
        <v>32.858200000000011</v>
      </c>
      <c r="J572" s="116">
        <f t="shared" si="87"/>
        <v>5.2817999999999898</v>
      </c>
      <c r="K572" s="116">
        <f t="shared" si="88"/>
        <v>5.2817999999999898</v>
      </c>
      <c r="L572" s="116">
        <f t="shared" si="89"/>
        <v>27.897411239999894</v>
      </c>
      <c r="M572" s="117">
        <f t="shared" si="85"/>
        <v>0.13848453067645489</v>
      </c>
    </row>
    <row r="573" spans="1:13">
      <c r="A573" s="112">
        <v>570</v>
      </c>
      <c r="B573" s="113">
        <v>42457</v>
      </c>
      <c r="C573" s="114">
        <v>37.99</v>
      </c>
      <c r="D573" s="115">
        <f t="shared" si="84"/>
        <v>37.082999999999998</v>
      </c>
      <c r="E573" s="115">
        <f t="shared" si="80"/>
        <v>0.90700000000000358</v>
      </c>
      <c r="F573" s="115">
        <f t="shared" si="81"/>
        <v>0.90700000000000358</v>
      </c>
      <c r="G573" s="115">
        <f t="shared" si="82"/>
        <v>0.82264900000000651</v>
      </c>
      <c r="H573" s="115">
        <f t="shared" si="83"/>
        <v>2.387470386943942E-2</v>
      </c>
      <c r="I573" s="116">
        <f t="shared" si="86"/>
        <v>33.012600000000006</v>
      </c>
      <c r="J573" s="116">
        <f t="shared" si="87"/>
        <v>4.9773999999999958</v>
      </c>
      <c r="K573" s="116">
        <f t="shared" si="88"/>
        <v>4.9773999999999958</v>
      </c>
      <c r="L573" s="116">
        <f t="shared" si="89"/>
        <v>24.774510759999959</v>
      </c>
      <c r="M573" s="117">
        <f t="shared" si="85"/>
        <v>0.13101868912871797</v>
      </c>
    </row>
    <row r="574" spans="1:13">
      <c r="A574" s="112">
        <v>571</v>
      </c>
      <c r="B574" s="107">
        <v>42458</v>
      </c>
      <c r="C574" s="108">
        <v>36.909999999999997</v>
      </c>
      <c r="D574" s="115">
        <f t="shared" si="84"/>
        <v>37.4</v>
      </c>
      <c r="E574" s="115">
        <f t="shared" si="80"/>
        <v>-0.49000000000000199</v>
      </c>
      <c r="F574" s="115">
        <f t="shared" si="81"/>
        <v>0.49000000000000199</v>
      </c>
      <c r="G574" s="115">
        <f t="shared" si="82"/>
        <v>0.24010000000000195</v>
      </c>
      <c r="H574" s="115">
        <f t="shared" si="83"/>
        <v>1.3275535085342781E-2</v>
      </c>
      <c r="I574" s="116">
        <f t="shared" si="86"/>
        <v>33.164000000000009</v>
      </c>
      <c r="J574" s="116">
        <f t="shared" si="87"/>
        <v>3.745999999999988</v>
      </c>
      <c r="K574" s="116">
        <f t="shared" si="88"/>
        <v>3.745999999999988</v>
      </c>
      <c r="L574" s="116">
        <f t="shared" si="89"/>
        <v>14.032515999999911</v>
      </c>
      <c r="M574" s="117">
        <f t="shared" si="85"/>
        <v>0.10149011108100754</v>
      </c>
    </row>
    <row r="575" spans="1:13">
      <c r="A575" s="112">
        <v>572</v>
      </c>
      <c r="B575" s="113">
        <v>42459</v>
      </c>
      <c r="C575" s="114">
        <v>36.909999999999997</v>
      </c>
      <c r="D575" s="115">
        <f t="shared" si="84"/>
        <v>37.608499999999999</v>
      </c>
      <c r="E575" s="115">
        <f t="shared" si="80"/>
        <v>-0.69850000000000279</v>
      </c>
      <c r="F575" s="115">
        <f t="shared" si="81"/>
        <v>0.69850000000000279</v>
      </c>
      <c r="G575" s="115">
        <f t="shared" si="82"/>
        <v>0.48790225000000387</v>
      </c>
      <c r="H575" s="115">
        <f t="shared" si="83"/>
        <v>1.892441072879986E-2</v>
      </c>
      <c r="I575" s="116">
        <f t="shared" si="86"/>
        <v>33.277800000000013</v>
      </c>
      <c r="J575" s="116">
        <f t="shared" si="87"/>
        <v>3.6321999999999832</v>
      </c>
      <c r="K575" s="116">
        <f t="shared" si="88"/>
        <v>3.6321999999999832</v>
      </c>
      <c r="L575" s="116">
        <f t="shared" si="89"/>
        <v>13.192876839999878</v>
      </c>
      <c r="M575" s="117">
        <f t="shared" si="85"/>
        <v>9.8406935789758426E-2</v>
      </c>
    </row>
    <row r="576" spans="1:13">
      <c r="A576" s="112">
        <v>573</v>
      </c>
      <c r="B576" s="107">
        <v>42460</v>
      </c>
      <c r="C576" s="108">
        <v>36.94</v>
      </c>
      <c r="D576" s="115">
        <f t="shared" si="84"/>
        <v>37.734499999999997</v>
      </c>
      <c r="E576" s="115">
        <f t="shared" si="80"/>
        <v>-0.79449999999999932</v>
      </c>
      <c r="F576" s="115">
        <f t="shared" si="81"/>
        <v>0.79449999999999932</v>
      </c>
      <c r="G576" s="115">
        <f t="shared" si="82"/>
        <v>0.63123024999999888</v>
      </c>
      <c r="H576" s="115">
        <f t="shared" si="83"/>
        <v>2.1507850568489424E-2</v>
      </c>
      <c r="I576" s="116">
        <f t="shared" si="86"/>
        <v>33.427000000000007</v>
      </c>
      <c r="J576" s="116">
        <f t="shared" si="87"/>
        <v>3.512999999999991</v>
      </c>
      <c r="K576" s="116">
        <f t="shared" si="88"/>
        <v>3.512999999999991</v>
      </c>
      <c r="L576" s="116">
        <f t="shared" si="89"/>
        <v>12.341168999999937</v>
      </c>
      <c r="M576" s="117">
        <f t="shared" si="85"/>
        <v>9.5100162425554718E-2</v>
      </c>
    </row>
    <row r="577" spans="1:13">
      <c r="A577" s="112">
        <v>574</v>
      </c>
      <c r="B577" s="113">
        <v>42461</v>
      </c>
      <c r="C577" s="114">
        <v>35.36</v>
      </c>
      <c r="D577" s="115">
        <f t="shared" si="84"/>
        <v>37.852999999999994</v>
      </c>
      <c r="E577" s="115">
        <f t="shared" si="80"/>
        <v>-2.492999999999995</v>
      </c>
      <c r="F577" s="115">
        <f t="shared" si="81"/>
        <v>2.492999999999995</v>
      </c>
      <c r="G577" s="115">
        <f t="shared" si="82"/>
        <v>6.2150489999999747</v>
      </c>
      <c r="H577" s="115">
        <f t="shared" si="83"/>
        <v>7.0503393665158232E-2</v>
      </c>
      <c r="I577" s="116">
        <f t="shared" si="86"/>
        <v>33.59640000000001</v>
      </c>
      <c r="J577" s="116">
        <f t="shared" si="87"/>
        <v>1.7635999999999896</v>
      </c>
      <c r="K577" s="116">
        <f t="shared" si="88"/>
        <v>1.7635999999999896</v>
      </c>
      <c r="L577" s="116">
        <f t="shared" si="89"/>
        <v>3.1102849599999636</v>
      </c>
      <c r="M577" s="117">
        <f t="shared" si="85"/>
        <v>4.9875565610859436E-2</v>
      </c>
    </row>
    <row r="578" spans="1:13">
      <c r="A578" s="112">
        <v>575</v>
      </c>
      <c r="B578" s="107">
        <v>42464</v>
      </c>
      <c r="C578" s="108">
        <v>34.299999999999997</v>
      </c>
      <c r="D578" s="115">
        <f t="shared" si="84"/>
        <v>37.893000000000001</v>
      </c>
      <c r="E578" s="115">
        <f t="shared" si="80"/>
        <v>-3.5930000000000035</v>
      </c>
      <c r="F578" s="115">
        <f t="shared" si="81"/>
        <v>3.5930000000000035</v>
      </c>
      <c r="G578" s="115">
        <f t="shared" si="82"/>
        <v>12.909649000000025</v>
      </c>
      <c r="H578" s="115">
        <f t="shared" si="83"/>
        <v>0.10475218658892139</v>
      </c>
      <c r="I578" s="116">
        <f t="shared" si="86"/>
        <v>33.77000000000001</v>
      </c>
      <c r="J578" s="116">
        <f t="shared" si="87"/>
        <v>0.52999999999998693</v>
      </c>
      <c r="K578" s="116">
        <f t="shared" si="88"/>
        <v>0.52999999999998693</v>
      </c>
      <c r="L578" s="116">
        <f t="shared" si="89"/>
        <v>0.28089999999998616</v>
      </c>
      <c r="M578" s="117">
        <f t="shared" si="85"/>
        <v>1.5451895043731399E-2</v>
      </c>
    </row>
    <row r="579" spans="1:13">
      <c r="A579" s="112">
        <v>576</v>
      </c>
      <c r="B579" s="113">
        <v>42465</v>
      </c>
      <c r="C579" s="114">
        <v>34.520000000000003</v>
      </c>
      <c r="D579" s="115">
        <f t="shared" si="84"/>
        <v>37.812499999999993</v>
      </c>
      <c r="E579" s="115">
        <f t="shared" si="80"/>
        <v>-3.2924999999999898</v>
      </c>
      <c r="F579" s="115">
        <f t="shared" si="81"/>
        <v>3.2924999999999898</v>
      </c>
      <c r="G579" s="115">
        <f t="shared" si="82"/>
        <v>10.840556249999933</v>
      </c>
      <c r="H579" s="115">
        <f t="shared" si="83"/>
        <v>9.5379490150637E-2</v>
      </c>
      <c r="I579" s="116">
        <f t="shared" si="86"/>
        <v>33.865000000000002</v>
      </c>
      <c r="J579" s="116">
        <f t="shared" si="87"/>
        <v>0.65500000000000114</v>
      </c>
      <c r="K579" s="116">
        <f t="shared" si="88"/>
        <v>0.65500000000000114</v>
      </c>
      <c r="L579" s="116">
        <f t="shared" si="89"/>
        <v>0.42902500000000149</v>
      </c>
      <c r="M579" s="117">
        <f t="shared" si="85"/>
        <v>1.8974507531865616E-2</v>
      </c>
    </row>
    <row r="580" spans="1:13">
      <c r="A580" s="112">
        <v>577</v>
      </c>
      <c r="B580" s="107">
        <v>42466</v>
      </c>
      <c r="C580" s="108">
        <v>37.74</v>
      </c>
      <c r="D580" s="115">
        <f t="shared" si="84"/>
        <v>37.643499999999989</v>
      </c>
      <c r="E580" s="115">
        <f t="shared" si="80"/>
        <v>9.6500000000013131E-2</v>
      </c>
      <c r="F580" s="115">
        <f t="shared" si="81"/>
        <v>9.6500000000013131E-2</v>
      </c>
      <c r="G580" s="115">
        <f t="shared" si="82"/>
        <v>9.3122500000025338E-3</v>
      </c>
      <c r="H580" s="115">
        <f t="shared" si="83"/>
        <v>2.5569687334396694E-3</v>
      </c>
      <c r="I580" s="116">
        <f t="shared" si="86"/>
        <v>33.914000000000009</v>
      </c>
      <c r="J580" s="116">
        <f t="shared" si="87"/>
        <v>3.8259999999999934</v>
      </c>
      <c r="K580" s="116">
        <f t="shared" si="88"/>
        <v>3.8259999999999934</v>
      </c>
      <c r="L580" s="116">
        <f t="shared" si="89"/>
        <v>14.63827599999995</v>
      </c>
      <c r="M580" s="117">
        <f t="shared" si="85"/>
        <v>0.10137784843667179</v>
      </c>
    </row>
    <row r="581" spans="1:13">
      <c r="A581" s="112">
        <v>578</v>
      </c>
      <c r="B581" s="113">
        <v>42467</v>
      </c>
      <c r="C581" s="114">
        <v>37.299999999999997</v>
      </c>
      <c r="D581" s="115">
        <f t="shared" si="84"/>
        <v>37.696999999999996</v>
      </c>
      <c r="E581" s="115">
        <f t="shared" si="80"/>
        <v>-0.39699999999999847</v>
      </c>
      <c r="F581" s="115">
        <f t="shared" si="81"/>
        <v>0.39699999999999847</v>
      </c>
      <c r="G581" s="115">
        <f t="shared" si="82"/>
        <v>0.15760899999999878</v>
      </c>
      <c r="H581" s="115">
        <f t="shared" si="83"/>
        <v>1.06434316353887E-2</v>
      </c>
      <c r="I581" s="116">
        <f t="shared" si="86"/>
        <v>34.062600000000003</v>
      </c>
      <c r="J581" s="116">
        <f t="shared" si="87"/>
        <v>3.2373999999999938</v>
      </c>
      <c r="K581" s="116">
        <f t="shared" si="88"/>
        <v>3.2373999999999938</v>
      </c>
      <c r="L581" s="116">
        <f t="shared" si="89"/>
        <v>10.48075875999996</v>
      </c>
      <c r="M581" s="117">
        <f t="shared" si="85"/>
        <v>8.6793565683645948E-2</v>
      </c>
    </row>
    <row r="582" spans="1:13">
      <c r="A582" s="112">
        <v>579</v>
      </c>
      <c r="B582" s="107">
        <v>42468</v>
      </c>
      <c r="C582" s="108">
        <v>39.74</v>
      </c>
      <c r="D582" s="115">
        <f t="shared" si="84"/>
        <v>37.68099999999999</v>
      </c>
      <c r="E582" s="115">
        <f t="shared" si="80"/>
        <v>2.0590000000000117</v>
      </c>
      <c r="F582" s="115">
        <f t="shared" si="81"/>
        <v>2.0590000000000117</v>
      </c>
      <c r="G582" s="115">
        <f t="shared" si="82"/>
        <v>4.2394810000000485</v>
      </c>
      <c r="H582" s="115">
        <f t="shared" si="83"/>
        <v>5.1811776547559425E-2</v>
      </c>
      <c r="I582" s="116">
        <f t="shared" si="86"/>
        <v>34.217800000000004</v>
      </c>
      <c r="J582" s="116">
        <f t="shared" si="87"/>
        <v>5.522199999999998</v>
      </c>
      <c r="K582" s="116">
        <f t="shared" si="88"/>
        <v>5.522199999999998</v>
      </c>
      <c r="L582" s="116">
        <f t="shared" si="89"/>
        <v>30.494692839999978</v>
      </c>
      <c r="M582" s="117">
        <f t="shared" si="85"/>
        <v>0.13895822848515343</v>
      </c>
    </row>
    <row r="583" spans="1:13">
      <c r="A583" s="112">
        <v>580</v>
      </c>
      <c r="B583" s="113">
        <v>42471</v>
      </c>
      <c r="C583" s="114">
        <v>40.46</v>
      </c>
      <c r="D583" s="115">
        <f t="shared" si="84"/>
        <v>37.779499999999992</v>
      </c>
      <c r="E583" s="115">
        <f t="shared" si="80"/>
        <v>2.6805000000000092</v>
      </c>
      <c r="F583" s="115">
        <f t="shared" si="81"/>
        <v>2.6805000000000092</v>
      </c>
      <c r="G583" s="115">
        <f t="shared" si="82"/>
        <v>7.1850802500000492</v>
      </c>
      <c r="H583" s="115">
        <f t="shared" si="83"/>
        <v>6.625061789421674E-2</v>
      </c>
      <c r="I583" s="116">
        <f t="shared" si="86"/>
        <v>34.366200000000006</v>
      </c>
      <c r="J583" s="116">
        <f t="shared" si="87"/>
        <v>6.0937999999999946</v>
      </c>
      <c r="K583" s="116">
        <f t="shared" si="88"/>
        <v>6.0937999999999946</v>
      </c>
      <c r="L583" s="116">
        <f t="shared" si="89"/>
        <v>37.134398439999934</v>
      </c>
      <c r="M583" s="117">
        <f t="shared" si="85"/>
        <v>0.15061295106277792</v>
      </c>
    </row>
    <row r="584" spans="1:13">
      <c r="A584" s="112">
        <v>581</v>
      </c>
      <c r="B584" s="107">
        <v>42472</v>
      </c>
      <c r="C584" s="108">
        <v>42.12</v>
      </c>
      <c r="D584" s="115">
        <f t="shared" si="84"/>
        <v>37.876999999999995</v>
      </c>
      <c r="E584" s="115">
        <f t="shared" si="80"/>
        <v>4.2430000000000021</v>
      </c>
      <c r="F584" s="115">
        <f t="shared" si="81"/>
        <v>4.2430000000000021</v>
      </c>
      <c r="G584" s="115">
        <f t="shared" si="82"/>
        <v>18.003049000000019</v>
      </c>
      <c r="H584" s="115">
        <f t="shared" si="83"/>
        <v>0.10073599240265912</v>
      </c>
      <c r="I584" s="116">
        <f t="shared" si="86"/>
        <v>34.511200000000009</v>
      </c>
      <c r="J584" s="116">
        <f t="shared" si="87"/>
        <v>7.608799999999988</v>
      </c>
      <c r="K584" s="116">
        <f t="shared" si="88"/>
        <v>7.608799999999988</v>
      </c>
      <c r="L584" s="116">
        <f t="shared" si="89"/>
        <v>57.893837439999821</v>
      </c>
      <c r="M584" s="117">
        <f t="shared" si="85"/>
        <v>0.18064577397910703</v>
      </c>
    </row>
    <row r="585" spans="1:13">
      <c r="A585" s="112">
        <v>582</v>
      </c>
      <c r="B585" s="113">
        <v>42473</v>
      </c>
      <c r="C585" s="114">
        <v>41.7</v>
      </c>
      <c r="D585" s="115">
        <f t="shared" si="84"/>
        <v>38.122999999999998</v>
      </c>
      <c r="E585" s="115">
        <f t="shared" si="80"/>
        <v>3.5770000000000053</v>
      </c>
      <c r="F585" s="115">
        <f t="shared" si="81"/>
        <v>3.5770000000000053</v>
      </c>
      <c r="G585" s="115">
        <f t="shared" si="82"/>
        <v>12.794929000000037</v>
      </c>
      <c r="H585" s="115">
        <f t="shared" si="83"/>
        <v>8.5779376498801074E-2</v>
      </c>
      <c r="I585" s="116">
        <f t="shared" si="86"/>
        <v>34.680400000000006</v>
      </c>
      <c r="J585" s="116">
        <f t="shared" si="87"/>
        <v>7.019599999999997</v>
      </c>
      <c r="K585" s="116">
        <f t="shared" si="88"/>
        <v>7.019599999999997</v>
      </c>
      <c r="L585" s="116">
        <f t="shared" si="89"/>
        <v>49.27478415999996</v>
      </c>
      <c r="M585" s="117">
        <f t="shared" si="85"/>
        <v>0.16833573141486802</v>
      </c>
    </row>
    <row r="586" spans="1:13">
      <c r="A586" s="112">
        <v>583</v>
      </c>
      <c r="B586" s="107">
        <v>42474</v>
      </c>
      <c r="C586" s="108">
        <v>41.45</v>
      </c>
      <c r="D586" s="115">
        <f t="shared" si="84"/>
        <v>38.392000000000003</v>
      </c>
      <c r="E586" s="115">
        <f t="shared" si="80"/>
        <v>3.0579999999999998</v>
      </c>
      <c r="F586" s="115">
        <f t="shared" si="81"/>
        <v>3.0579999999999998</v>
      </c>
      <c r="G586" s="115">
        <f t="shared" si="82"/>
        <v>9.3513639999999985</v>
      </c>
      <c r="H586" s="115">
        <f t="shared" si="83"/>
        <v>7.377563329312424E-2</v>
      </c>
      <c r="I586" s="116">
        <f t="shared" si="86"/>
        <v>34.882000000000005</v>
      </c>
      <c r="J586" s="116">
        <f t="shared" si="87"/>
        <v>6.5679999999999978</v>
      </c>
      <c r="K586" s="116">
        <f t="shared" si="88"/>
        <v>6.5679999999999978</v>
      </c>
      <c r="L586" s="116">
        <f t="shared" si="89"/>
        <v>43.138623999999972</v>
      </c>
      <c r="M586" s="117">
        <f t="shared" si="85"/>
        <v>0.15845597104945711</v>
      </c>
    </row>
    <row r="587" spans="1:13">
      <c r="A587" s="112">
        <v>584</v>
      </c>
      <c r="B587" s="113">
        <v>42475</v>
      </c>
      <c r="C587" s="114">
        <v>40.4</v>
      </c>
      <c r="D587" s="115">
        <f t="shared" si="84"/>
        <v>38.543000000000006</v>
      </c>
      <c r="E587" s="115">
        <f t="shared" si="80"/>
        <v>1.8569999999999922</v>
      </c>
      <c r="F587" s="115">
        <f t="shared" si="81"/>
        <v>1.8569999999999922</v>
      </c>
      <c r="G587" s="115">
        <f t="shared" si="82"/>
        <v>3.4484489999999712</v>
      </c>
      <c r="H587" s="115">
        <f t="shared" si="83"/>
        <v>4.5965346534653277E-2</v>
      </c>
      <c r="I587" s="116">
        <f t="shared" si="86"/>
        <v>35.113000000000007</v>
      </c>
      <c r="J587" s="116">
        <f t="shared" si="87"/>
        <v>5.2869999999999919</v>
      </c>
      <c r="K587" s="116">
        <f t="shared" si="88"/>
        <v>5.2869999999999919</v>
      </c>
      <c r="L587" s="116">
        <f t="shared" si="89"/>
        <v>27.952368999999916</v>
      </c>
      <c r="M587" s="117">
        <f t="shared" si="85"/>
        <v>0.13086633663366318</v>
      </c>
    </row>
    <row r="588" spans="1:13">
      <c r="A588" s="112">
        <v>585</v>
      </c>
      <c r="B588" s="107">
        <v>42478</v>
      </c>
      <c r="C588" s="108">
        <v>39.74</v>
      </c>
      <c r="D588" s="115">
        <f t="shared" si="84"/>
        <v>38.554500000000004</v>
      </c>
      <c r="E588" s="115">
        <f t="shared" si="80"/>
        <v>1.1854999999999976</v>
      </c>
      <c r="F588" s="115">
        <f t="shared" si="81"/>
        <v>1.1854999999999976</v>
      </c>
      <c r="G588" s="115">
        <f t="shared" si="82"/>
        <v>1.4054102499999943</v>
      </c>
      <c r="H588" s="115">
        <f t="shared" si="83"/>
        <v>2.9831404126824296E-2</v>
      </c>
      <c r="I588" s="116">
        <f t="shared" si="86"/>
        <v>35.275199999999998</v>
      </c>
      <c r="J588" s="116">
        <f t="shared" si="87"/>
        <v>4.4648000000000039</v>
      </c>
      <c r="K588" s="116">
        <f t="shared" si="88"/>
        <v>4.4648000000000039</v>
      </c>
      <c r="L588" s="116">
        <f t="shared" si="89"/>
        <v>19.934439040000033</v>
      </c>
      <c r="M588" s="117">
        <f t="shared" si="85"/>
        <v>0.11235027679919486</v>
      </c>
    </row>
    <row r="589" spans="1:13">
      <c r="A589" s="112">
        <v>586</v>
      </c>
      <c r="B589" s="113">
        <v>42479</v>
      </c>
      <c r="C589" s="114">
        <v>40.880000000000003</v>
      </c>
      <c r="D589" s="115">
        <f t="shared" si="84"/>
        <v>38.568000000000005</v>
      </c>
      <c r="E589" s="115">
        <f t="shared" si="80"/>
        <v>2.3119999999999976</v>
      </c>
      <c r="F589" s="115">
        <f t="shared" si="81"/>
        <v>2.3119999999999976</v>
      </c>
      <c r="G589" s="115">
        <f t="shared" si="82"/>
        <v>5.3453439999999892</v>
      </c>
      <c r="H589" s="115">
        <f t="shared" si="83"/>
        <v>5.6555772994129096E-2</v>
      </c>
      <c r="I589" s="116">
        <f t="shared" si="86"/>
        <v>35.437400000000004</v>
      </c>
      <c r="J589" s="116">
        <f t="shared" si="87"/>
        <v>5.4425999999999988</v>
      </c>
      <c r="K589" s="116">
        <f t="shared" si="88"/>
        <v>5.4425999999999988</v>
      </c>
      <c r="L589" s="116">
        <f t="shared" si="89"/>
        <v>29.621894759999986</v>
      </c>
      <c r="M589" s="117">
        <f t="shared" si="85"/>
        <v>0.13313600782778862</v>
      </c>
    </row>
    <row r="590" spans="1:13">
      <c r="A590" s="112">
        <v>587</v>
      </c>
      <c r="B590" s="107">
        <v>42480</v>
      </c>
      <c r="C590" s="108">
        <v>42.72</v>
      </c>
      <c r="D590" s="115">
        <f t="shared" si="84"/>
        <v>38.616500000000009</v>
      </c>
      <c r="E590" s="115">
        <f t="shared" si="80"/>
        <v>4.1034999999999897</v>
      </c>
      <c r="F590" s="115">
        <f t="shared" si="81"/>
        <v>4.1034999999999897</v>
      </c>
      <c r="G590" s="115">
        <f t="shared" si="82"/>
        <v>16.838712249999915</v>
      </c>
      <c r="H590" s="115">
        <f t="shared" si="83"/>
        <v>9.6055711610486649E-2</v>
      </c>
      <c r="I590" s="116">
        <f t="shared" si="86"/>
        <v>35.637800000000006</v>
      </c>
      <c r="J590" s="116">
        <f t="shared" si="87"/>
        <v>7.0821999999999932</v>
      </c>
      <c r="K590" s="116">
        <f t="shared" si="88"/>
        <v>7.0821999999999932</v>
      </c>
      <c r="L590" s="116">
        <f t="shared" si="89"/>
        <v>50.157556839999906</v>
      </c>
      <c r="M590" s="117">
        <f t="shared" si="85"/>
        <v>0.16578183520599235</v>
      </c>
    </row>
    <row r="591" spans="1:13">
      <c r="A591" s="112">
        <v>588</v>
      </c>
      <c r="B591" s="113">
        <v>42481</v>
      </c>
      <c r="C591" s="114">
        <v>43.18</v>
      </c>
      <c r="D591" s="115">
        <f t="shared" si="84"/>
        <v>38.68</v>
      </c>
      <c r="E591" s="115">
        <f t="shared" si="80"/>
        <v>4.5</v>
      </c>
      <c r="F591" s="115">
        <f t="shared" si="81"/>
        <v>4.5</v>
      </c>
      <c r="G591" s="115">
        <f t="shared" si="82"/>
        <v>20.25</v>
      </c>
      <c r="H591" s="115">
        <f t="shared" si="83"/>
        <v>0.10421491431218156</v>
      </c>
      <c r="I591" s="116">
        <f t="shared" si="86"/>
        <v>35.898000000000003</v>
      </c>
      <c r="J591" s="116">
        <f t="shared" si="87"/>
        <v>7.2819999999999965</v>
      </c>
      <c r="K591" s="116">
        <f t="shared" si="88"/>
        <v>7.2819999999999965</v>
      </c>
      <c r="L591" s="116">
        <f t="shared" si="89"/>
        <v>53.02752399999995</v>
      </c>
      <c r="M591" s="117">
        <f t="shared" si="85"/>
        <v>0.16864289022695683</v>
      </c>
    </row>
    <row r="592" spans="1:13">
      <c r="A592" s="112">
        <v>589</v>
      </c>
      <c r="B592" s="107">
        <v>42482</v>
      </c>
      <c r="C592" s="108">
        <v>42.76</v>
      </c>
      <c r="D592" s="115">
        <f t="shared" si="84"/>
        <v>38.924999999999997</v>
      </c>
      <c r="E592" s="115">
        <f t="shared" si="80"/>
        <v>3.8350000000000009</v>
      </c>
      <c r="F592" s="115">
        <f t="shared" si="81"/>
        <v>3.8350000000000009</v>
      </c>
      <c r="G592" s="115">
        <f t="shared" si="82"/>
        <v>14.707225000000006</v>
      </c>
      <c r="H592" s="115">
        <f t="shared" si="83"/>
        <v>8.9686623012160918E-2</v>
      </c>
      <c r="I592" s="116">
        <f t="shared" si="86"/>
        <v>36.202400000000004</v>
      </c>
      <c r="J592" s="116">
        <f t="shared" si="87"/>
        <v>6.5575999999999937</v>
      </c>
      <c r="K592" s="116">
        <f t="shared" si="88"/>
        <v>6.5575999999999937</v>
      </c>
      <c r="L592" s="116">
        <f t="shared" si="89"/>
        <v>43.002117759999919</v>
      </c>
      <c r="M592" s="117">
        <f t="shared" si="85"/>
        <v>0.15335827876520097</v>
      </c>
    </row>
    <row r="593" spans="1:13">
      <c r="A593" s="112">
        <v>590</v>
      </c>
      <c r="B593" s="113">
        <v>42485</v>
      </c>
      <c r="C593" s="114">
        <v>41.67</v>
      </c>
      <c r="D593" s="115">
        <f t="shared" si="84"/>
        <v>39.155999999999999</v>
      </c>
      <c r="E593" s="115">
        <f t="shared" si="80"/>
        <v>2.5140000000000029</v>
      </c>
      <c r="F593" s="115">
        <f t="shared" si="81"/>
        <v>2.5140000000000029</v>
      </c>
      <c r="G593" s="115">
        <f t="shared" si="82"/>
        <v>6.3201960000000144</v>
      </c>
      <c r="H593" s="115">
        <f t="shared" si="83"/>
        <v>6.0331173506119579E-2</v>
      </c>
      <c r="I593" s="116">
        <f t="shared" si="86"/>
        <v>36.506800000000005</v>
      </c>
      <c r="J593" s="116">
        <f t="shared" si="87"/>
        <v>5.1631999999999962</v>
      </c>
      <c r="K593" s="116">
        <f t="shared" si="88"/>
        <v>5.1631999999999962</v>
      </c>
      <c r="L593" s="116">
        <f t="shared" si="89"/>
        <v>26.658634239999962</v>
      </c>
      <c r="M593" s="117">
        <f t="shared" si="85"/>
        <v>0.12390688744900398</v>
      </c>
    </row>
    <row r="594" spans="1:13">
      <c r="A594" s="112">
        <v>591</v>
      </c>
      <c r="B594" s="107">
        <v>42486</v>
      </c>
      <c r="C594" s="108">
        <v>42.52</v>
      </c>
      <c r="D594" s="115">
        <f t="shared" si="84"/>
        <v>39.339999999999996</v>
      </c>
      <c r="E594" s="115">
        <f t="shared" si="80"/>
        <v>3.1800000000000068</v>
      </c>
      <c r="F594" s="115">
        <f t="shared" si="81"/>
        <v>3.1800000000000068</v>
      </c>
      <c r="G594" s="115">
        <f t="shared" si="82"/>
        <v>10.112400000000044</v>
      </c>
      <c r="H594" s="115">
        <f t="shared" si="83"/>
        <v>7.4788334901223108E-2</v>
      </c>
      <c r="I594" s="116">
        <f t="shared" si="86"/>
        <v>36.816400000000002</v>
      </c>
      <c r="J594" s="116">
        <f t="shared" si="87"/>
        <v>5.7036000000000016</v>
      </c>
      <c r="K594" s="116">
        <f t="shared" si="88"/>
        <v>5.7036000000000016</v>
      </c>
      <c r="L594" s="116">
        <f t="shared" si="89"/>
        <v>32.531052960000018</v>
      </c>
      <c r="M594" s="117">
        <f t="shared" si="85"/>
        <v>0.13413922859830671</v>
      </c>
    </row>
    <row r="595" spans="1:13">
      <c r="A595" s="112">
        <v>592</v>
      </c>
      <c r="B595" s="113">
        <v>42487</v>
      </c>
      <c r="C595" s="114">
        <v>45.29</v>
      </c>
      <c r="D595" s="115">
        <f t="shared" si="84"/>
        <v>39.620499999999993</v>
      </c>
      <c r="E595" s="115">
        <f t="shared" si="80"/>
        <v>5.6695000000000064</v>
      </c>
      <c r="F595" s="115">
        <f t="shared" si="81"/>
        <v>5.6695000000000064</v>
      </c>
      <c r="G595" s="115">
        <f t="shared" si="82"/>
        <v>32.143230250000073</v>
      </c>
      <c r="H595" s="115">
        <f t="shared" si="83"/>
        <v>0.12518215941709002</v>
      </c>
      <c r="I595" s="116">
        <f t="shared" si="86"/>
        <v>37.080400000000004</v>
      </c>
      <c r="J595" s="116">
        <f t="shared" si="87"/>
        <v>8.2095999999999947</v>
      </c>
      <c r="K595" s="116">
        <f t="shared" si="88"/>
        <v>8.2095999999999947</v>
      </c>
      <c r="L595" s="116">
        <f t="shared" si="89"/>
        <v>67.397532159999912</v>
      </c>
      <c r="M595" s="117">
        <f t="shared" si="85"/>
        <v>0.18126738794435845</v>
      </c>
    </row>
    <row r="596" spans="1:13">
      <c r="A596" s="112">
        <v>593</v>
      </c>
      <c r="B596" s="107">
        <v>42488</v>
      </c>
      <c r="C596" s="108">
        <v>46.03</v>
      </c>
      <c r="D596" s="115">
        <f t="shared" si="84"/>
        <v>40.03949999999999</v>
      </c>
      <c r="E596" s="115">
        <f t="shared" si="80"/>
        <v>5.9905000000000115</v>
      </c>
      <c r="F596" s="115">
        <f t="shared" si="81"/>
        <v>5.9905000000000115</v>
      </c>
      <c r="G596" s="115">
        <f t="shared" si="82"/>
        <v>35.886090250000137</v>
      </c>
      <c r="H596" s="115">
        <f t="shared" si="83"/>
        <v>0.13014338474907694</v>
      </c>
      <c r="I596" s="116">
        <f t="shared" si="86"/>
        <v>37.405200000000008</v>
      </c>
      <c r="J596" s="116">
        <f t="shared" si="87"/>
        <v>8.6247999999999934</v>
      </c>
      <c r="K596" s="116">
        <f t="shared" si="88"/>
        <v>8.6247999999999934</v>
      </c>
      <c r="L596" s="116">
        <f t="shared" si="89"/>
        <v>74.387175039999889</v>
      </c>
      <c r="M596" s="117">
        <f t="shared" si="85"/>
        <v>0.18737345209645867</v>
      </c>
    </row>
    <row r="597" spans="1:13">
      <c r="A597" s="112">
        <v>594</v>
      </c>
      <c r="B597" s="113">
        <v>42489</v>
      </c>
      <c r="C597" s="114">
        <v>45.98</v>
      </c>
      <c r="D597" s="115">
        <f t="shared" si="84"/>
        <v>40.493999999999986</v>
      </c>
      <c r="E597" s="115">
        <f t="shared" si="80"/>
        <v>5.4860000000000113</v>
      </c>
      <c r="F597" s="115">
        <f t="shared" si="81"/>
        <v>5.4860000000000113</v>
      </c>
      <c r="G597" s="115">
        <f t="shared" si="82"/>
        <v>30.096196000000123</v>
      </c>
      <c r="H597" s="115">
        <f t="shared" si="83"/>
        <v>0.1193127446715966</v>
      </c>
      <c r="I597" s="116">
        <f t="shared" si="86"/>
        <v>37.712200000000003</v>
      </c>
      <c r="J597" s="116">
        <f t="shared" si="87"/>
        <v>8.267799999999994</v>
      </c>
      <c r="K597" s="116">
        <f t="shared" si="88"/>
        <v>8.267799999999994</v>
      </c>
      <c r="L597" s="116">
        <f t="shared" si="89"/>
        <v>68.356516839999898</v>
      </c>
      <c r="M597" s="117">
        <f t="shared" si="85"/>
        <v>0.17981296215745965</v>
      </c>
    </row>
    <row r="598" spans="1:13">
      <c r="A598" s="112">
        <v>595</v>
      </c>
      <c r="B598" s="107">
        <v>42492</v>
      </c>
      <c r="C598" s="108">
        <v>44.75</v>
      </c>
      <c r="D598" s="115">
        <f t="shared" si="84"/>
        <v>41.024999999999991</v>
      </c>
      <c r="E598" s="115">
        <f t="shared" si="80"/>
        <v>3.7250000000000085</v>
      </c>
      <c r="F598" s="115">
        <f t="shared" si="81"/>
        <v>3.7250000000000085</v>
      </c>
      <c r="G598" s="115">
        <f t="shared" si="82"/>
        <v>13.875625000000063</v>
      </c>
      <c r="H598" s="115">
        <f t="shared" si="83"/>
        <v>8.3240223463687341E-2</v>
      </c>
      <c r="I598" s="116">
        <f t="shared" si="86"/>
        <v>38.016400000000004</v>
      </c>
      <c r="J598" s="116">
        <f t="shared" si="87"/>
        <v>6.7335999999999956</v>
      </c>
      <c r="K598" s="116">
        <f t="shared" si="88"/>
        <v>6.7335999999999956</v>
      </c>
      <c r="L598" s="116">
        <f t="shared" si="89"/>
        <v>45.34136895999994</v>
      </c>
      <c r="M598" s="117">
        <f t="shared" si="85"/>
        <v>0.15047150837988818</v>
      </c>
    </row>
    <row r="599" spans="1:13">
      <c r="A599" s="112">
        <v>596</v>
      </c>
      <c r="B599" s="113">
        <v>42493</v>
      </c>
      <c r="C599" s="114">
        <v>43.65</v>
      </c>
      <c r="D599" s="115">
        <f t="shared" si="84"/>
        <v>41.547499999999992</v>
      </c>
      <c r="E599" s="115">
        <f t="shared" si="80"/>
        <v>2.1025000000000063</v>
      </c>
      <c r="F599" s="115">
        <f t="shared" si="81"/>
        <v>2.1025000000000063</v>
      </c>
      <c r="G599" s="115">
        <f t="shared" si="82"/>
        <v>4.4205062500000265</v>
      </c>
      <c r="H599" s="115">
        <f t="shared" si="83"/>
        <v>4.8167239404352954E-2</v>
      </c>
      <c r="I599" s="116">
        <f t="shared" si="86"/>
        <v>38.319600000000001</v>
      </c>
      <c r="J599" s="116">
        <f t="shared" si="87"/>
        <v>5.3303999999999974</v>
      </c>
      <c r="K599" s="116">
        <f t="shared" si="88"/>
        <v>5.3303999999999974</v>
      </c>
      <c r="L599" s="116">
        <f t="shared" si="89"/>
        <v>28.413164159999972</v>
      </c>
      <c r="M599" s="117">
        <f t="shared" si="85"/>
        <v>0.12211683848797245</v>
      </c>
    </row>
    <row r="600" spans="1:13">
      <c r="A600" s="112">
        <v>597</v>
      </c>
      <c r="B600" s="107">
        <v>42494</v>
      </c>
      <c r="C600" s="108">
        <v>43.77</v>
      </c>
      <c r="D600" s="115">
        <f t="shared" si="84"/>
        <v>42.003999999999998</v>
      </c>
      <c r="E600" s="115">
        <f t="shared" ref="E600:E663" si="90">C600-D600</f>
        <v>1.7660000000000053</v>
      </c>
      <c r="F600" s="115">
        <f t="shared" ref="F600:F663" si="91">ABS(E600)</f>
        <v>1.7660000000000053</v>
      </c>
      <c r="G600" s="115">
        <f t="shared" ref="G600:G663" si="92">E600^2</f>
        <v>3.118756000000019</v>
      </c>
      <c r="H600" s="115">
        <f t="shared" ref="H600:H663" si="93">F600/C600</f>
        <v>4.03472698195112E-2</v>
      </c>
      <c r="I600" s="116">
        <f t="shared" si="86"/>
        <v>38.565200000000004</v>
      </c>
      <c r="J600" s="116">
        <f t="shared" si="87"/>
        <v>5.2047999999999988</v>
      </c>
      <c r="K600" s="116">
        <f t="shared" si="88"/>
        <v>5.2047999999999988</v>
      </c>
      <c r="L600" s="116">
        <f t="shared" si="89"/>
        <v>27.089943039999987</v>
      </c>
      <c r="M600" s="117">
        <f t="shared" si="85"/>
        <v>0.11891249714416263</v>
      </c>
    </row>
    <row r="601" spans="1:13">
      <c r="A601" s="112">
        <v>598</v>
      </c>
      <c r="B601" s="113">
        <v>42495</v>
      </c>
      <c r="C601" s="114">
        <v>44.33</v>
      </c>
      <c r="D601" s="115">
        <f t="shared" si="84"/>
        <v>42.305499999999995</v>
      </c>
      <c r="E601" s="115">
        <f t="shared" si="90"/>
        <v>2.0245000000000033</v>
      </c>
      <c r="F601" s="115">
        <f t="shared" si="91"/>
        <v>2.0245000000000033</v>
      </c>
      <c r="G601" s="115">
        <f t="shared" si="92"/>
        <v>4.0986002500000129</v>
      </c>
      <c r="H601" s="115">
        <f t="shared" si="93"/>
        <v>4.5668847281750587E-2</v>
      </c>
      <c r="I601" s="116">
        <f t="shared" si="86"/>
        <v>38.803800000000003</v>
      </c>
      <c r="J601" s="116">
        <f t="shared" si="87"/>
        <v>5.5261999999999958</v>
      </c>
      <c r="K601" s="116">
        <f t="shared" si="88"/>
        <v>5.5261999999999958</v>
      </c>
      <c r="L601" s="116">
        <f t="shared" si="89"/>
        <v>30.538886439999953</v>
      </c>
      <c r="M601" s="117">
        <f t="shared" si="85"/>
        <v>0.12466050078953296</v>
      </c>
    </row>
    <row r="602" spans="1:13">
      <c r="A602" s="112">
        <v>599</v>
      </c>
      <c r="B602" s="107">
        <v>42496</v>
      </c>
      <c r="C602" s="108">
        <v>44.58</v>
      </c>
      <c r="D602" s="115">
        <f t="shared" ref="D602:D665" si="94">AVERAGE(C582:C601)</f>
        <v>42.656999999999996</v>
      </c>
      <c r="E602" s="115">
        <f t="shared" si="90"/>
        <v>1.9230000000000018</v>
      </c>
      <c r="F602" s="115">
        <f t="shared" si="91"/>
        <v>1.9230000000000018</v>
      </c>
      <c r="G602" s="115">
        <f t="shared" si="92"/>
        <v>3.6979290000000069</v>
      </c>
      <c r="H602" s="115">
        <f t="shared" si="93"/>
        <v>4.3135935397039075E-2</v>
      </c>
      <c r="I602" s="116">
        <f t="shared" si="86"/>
        <v>39.083400000000005</v>
      </c>
      <c r="J602" s="116">
        <f t="shared" si="87"/>
        <v>5.4965999999999937</v>
      </c>
      <c r="K602" s="116">
        <f t="shared" si="88"/>
        <v>5.4965999999999937</v>
      </c>
      <c r="L602" s="116">
        <f t="shared" si="89"/>
        <v>30.212611559999932</v>
      </c>
      <c r="M602" s="117">
        <f t="shared" si="85"/>
        <v>0.1232974427994615</v>
      </c>
    </row>
    <row r="603" spans="1:13">
      <c r="A603" s="112">
        <v>600</v>
      </c>
      <c r="B603" s="113">
        <v>42499</v>
      </c>
      <c r="C603" s="114">
        <v>43.45</v>
      </c>
      <c r="D603" s="115">
        <f t="shared" si="94"/>
        <v>42.899000000000001</v>
      </c>
      <c r="E603" s="115">
        <f t="shared" si="90"/>
        <v>0.55100000000000193</v>
      </c>
      <c r="F603" s="115">
        <f t="shared" si="91"/>
        <v>0.55100000000000193</v>
      </c>
      <c r="G603" s="115">
        <f t="shared" si="92"/>
        <v>0.30360100000000212</v>
      </c>
      <c r="H603" s="115">
        <f t="shared" si="93"/>
        <v>1.268124280782513E-2</v>
      </c>
      <c r="I603" s="116">
        <f t="shared" si="86"/>
        <v>39.347000000000001</v>
      </c>
      <c r="J603" s="116">
        <f t="shared" si="87"/>
        <v>4.1030000000000015</v>
      </c>
      <c r="K603" s="116">
        <f t="shared" si="88"/>
        <v>4.1030000000000015</v>
      </c>
      <c r="L603" s="116">
        <f t="shared" si="89"/>
        <v>16.834609000000011</v>
      </c>
      <c r="M603" s="117">
        <f t="shared" si="85"/>
        <v>9.4430379746835477E-2</v>
      </c>
    </row>
    <row r="604" spans="1:13">
      <c r="A604" s="112">
        <v>601</v>
      </c>
      <c r="B604" s="107">
        <v>42500</v>
      </c>
      <c r="C604" s="108">
        <v>44.68</v>
      </c>
      <c r="D604" s="115">
        <f t="shared" si="94"/>
        <v>43.048500000000004</v>
      </c>
      <c r="E604" s="115">
        <f t="shared" si="90"/>
        <v>1.6314999999999955</v>
      </c>
      <c r="F604" s="115">
        <f t="shared" si="91"/>
        <v>1.6314999999999955</v>
      </c>
      <c r="G604" s="115">
        <f t="shared" si="92"/>
        <v>2.6617922499999853</v>
      </c>
      <c r="H604" s="115">
        <f t="shared" si="93"/>
        <v>3.651521933751109E-2</v>
      </c>
      <c r="I604" s="116">
        <f t="shared" si="86"/>
        <v>39.583000000000006</v>
      </c>
      <c r="J604" s="116">
        <f t="shared" si="87"/>
        <v>5.0969999999999942</v>
      </c>
      <c r="K604" s="116">
        <f t="shared" si="88"/>
        <v>5.0969999999999942</v>
      </c>
      <c r="L604" s="116">
        <f t="shared" si="89"/>
        <v>25.97940899999994</v>
      </c>
      <c r="M604" s="117">
        <f t="shared" si="85"/>
        <v>0.11407788719785125</v>
      </c>
    </row>
    <row r="605" spans="1:13">
      <c r="A605" s="112">
        <v>602</v>
      </c>
      <c r="B605" s="113">
        <v>42501</v>
      </c>
      <c r="C605" s="114">
        <v>46.21</v>
      </c>
      <c r="D605" s="115">
        <f t="shared" si="94"/>
        <v>43.176500000000004</v>
      </c>
      <c r="E605" s="115">
        <f t="shared" si="90"/>
        <v>3.0334999999999965</v>
      </c>
      <c r="F605" s="115">
        <f t="shared" si="91"/>
        <v>3.0334999999999965</v>
      </c>
      <c r="G605" s="115">
        <f t="shared" si="92"/>
        <v>9.2021222499999791</v>
      </c>
      <c r="H605" s="115">
        <f t="shared" si="93"/>
        <v>6.5645964077039529E-2</v>
      </c>
      <c r="I605" s="116">
        <f t="shared" si="86"/>
        <v>39.821800000000003</v>
      </c>
      <c r="J605" s="116">
        <f t="shared" si="87"/>
        <v>6.3881999999999977</v>
      </c>
      <c r="K605" s="116">
        <f t="shared" si="88"/>
        <v>6.3881999999999977</v>
      </c>
      <c r="L605" s="116">
        <f t="shared" si="89"/>
        <v>40.809099239999973</v>
      </c>
      <c r="M605" s="117">
        <f t="shared" si="85"/>
        <v>0.13824280458775151</v>
      </c>
    </row>
    <row r="606" spans="1:13">
      <c r="A606" s="112">
        <v>603</v>
      </c>
      <c r="B606" s="107">
        <v>42502</v>
      </c>
      <c r="C606" s="108">
        <v>46.64</v>
      </c>
      <c r="D606" s="115">
        <f t="shared" si="94"/>
        <v>43.402000000000001</v>
      </c>
      <c r="E606" s="115">
        <f t="shared" si="90"/>
        <v>3.2379999999999995</v>
      </c>
      <c r="F606" s="115">
        <f t="shared" si="91"/>
        <v>3.2379999999999995</v>
      </c>
      <c r="G606" s="115">
        <f t="shared" si="92"/>
        <v>10.484643999999998</v>
      </c>
      <c r="H606" s="115">
        <f t="shared" si="93"/>
        <v>6.942538593481988E-2</v>
      </c>
      <c r="I606" s="116">
        <f t="shared" si="86"/>
        <v>40.058199999999999</v>
      </c>
      <c r="J606" s="116">
        <f t="shared" si="87"/>
        <v>6.5818000000000012</v>
      </c>
      <c r="K606" s="116">
        <f t="shared" si="88"/>
        <v>6.5818000000000012</v>
      </c>
      <c r="L606" s="116">
        <f t="shared" si="89"/>
        <v>43.320091240000018</v>
      </c>
      <c r="M606" s="117">
        <f t="shared" si="85"/>
        <v>0.14111921097770158</v>
      </c>
    </row>
    <row r="607" spans="1:13">
      <c r="A607" s="112">
        <v>604</v>
      </c>
      <c r="B607" s="113">
        <v>42503</v>
      </c>
      <c r="C607" s="114">
        <v>46.22</v>
      </c>
      <c r="D607" s="115">
        <f t="shared" si="94"/>
        <v>43.661500000000004</v>
      </c>
      <c r="E607" s="115">
        <f t="shared" si="90"/>
        <v>2.5584999999999951</v>
      </c>
      <c r="F607" s="115">
        <f t="shared" si="91"/>
        <v>2.5584999999999951</v>
      </c>
      <c r="G607" s="115">
        <f t="shared" si="92"/>
        <v>6.5459222499999754</v>
      </c>
      <c r="H607" s="115">
        <f t="shared" si="93"/>
        <v>5.5354824751189857E-2</v>
      </c>
      <c r="I607" s="116">
        <f t="shared" si="86"/>
        <v>40.299600000000012</v>
      </c>
      <c r="J607" s="116">
        <f t="shared" si="87"/>
        <v>5.9203999999999866</v>
      </c>
      <c r="K607" s="116">
        <f t="shared" si="88"/>
        <v>5.9203999999999866</v>
      </c>
      <c r="L607" s="116">
        <f t="shared" si="89"/>
        <v>35.051136159999842</v>
      </c>
      <c r="M607" s="117">
        <f t="shared" si="85"/>
        <v>0.12809173517957564</v>
      </c>
    </row>
    <row r="608" spans="1:13">
      <c r="A608" s="112">
        <v>605</v>
      </c>
      <c r="B608" s="107">
        <v>42506</v>
      </c>
      <c r="C608" s="108">
        <v>47.72</v>
      </c>
      <c r="D608" s="115">
        <f t="shared" si="94"/>
        <v>43.952500000000001</v>
      </c>
      <c r="E608" s="115">
        <f t="shared" si="90"/>
        <v>3.7674999999999983</v>
      </c>
      <c r="F608" s="115">
        <f t="shared" si="91"/>
        <v>3.7674999999999983</v>
      </c>
      <c r="G608" s="115">
        <f t="shared" si="92"/>
        <v>14.194056249999987</v>
      </c>
      <c r="H608" s="115">
        <f t="shared" si="93"/>
        <v>7.8950125733445065E-2</v>
      </c>
      <c r="I608" s="116">
        <f t="shared" si="86"/>
        <v>40.532800000000009</v>
      </c>
      <c r="J608" s="116">
        <f t="shared" si="87"/>
        <v>7.18719999999999</v>
      </c>
      <c r="K608" s="116">
        <f t="shared" si="88"/>
        <v>7.18719999999999</v>
      </c>
      <c r="L608" s="116">
        <f t="shared" si="89"/>
        <v>51.655843839999854</v>
      </c>
      <c r="M608" s="117">
        <f t="shared" si="85"/>
        <v>0.15061190276613559</v>
      </c>
    </row>
    <row r="609" spans="1:13">
      <c r="A609" s="112">
        <v>606</v>
      </c>
      <c r="B609" s="113">
        <v>42507</v>
      </c>
      <c r="C609" s="114">
        <v>48.29</v>
      </c>
      <c r="D609" s="115">
        <f t="shared" si="94"/>
        <v>44.351500000000001</v>
      </c>
      <c r="E609" s="115">
        <f t="shared" si="90"/>
        <v>3.9384999999999977</v>
      </c>
      <c r="F609" s="115">
        <f t="shared" si="91"/>
        <v>3.9384999999999977</v>
      </c>
      <c r="G609" s="115">
        <f t="shared" si="92"/>
        <v>15.511782249999982</v>
      </c>
      <c r="H609" s="115">
        <f t="shared" si="93"/>
        <v>8.155932905363425E-2</v>
      </c>
      <c r="I609" s="116">
        <f t="shared" si="86"/>
        <v>40.769000000000013</v>
      </c>
      <c r="J609" s="116">
        <f t="shared" si="87"/>
        <v>7.5209999999999866</v>
      </c>
      <c r="K609" s="116">
        <f t="shared" si="88"/>
        <v>7.5209999999999866</v>
      </c>
      <c r="L609" s="116">
        <f t="shared" si="89"/>
        <v>56.565440999999801</v>
      </c>
      <c r="M609" s="117">
        <f t="shared" si="85"/>
        <v>0.1557465313729548</v>
      </c>
    </row>
    <row r="610" spans="1:13">
      <c r="A610" s="112">
        <v>607</v>
      </c>
      <c r="B610" s="107">
        <v>42508</v>
      </c>
      <c r="C610" s="108">
        <v>48.12</v>
      </c>
      <c r="D610" s="115">
        <f t="shared" si="94"/>
        <v>44.722000000000001</v>
      </c>
      <c r="E610" s="115">
        <f t="shared" si="90"/>
        <v>3.3979999999999961</v>
      </c>
      <c r="F610" s="115">
        <f t="shared" si="91"/>
        <v>3.3979999999999961</v>
      </c>
      <c r="G610" s="115">
        <f t="shared" si="92"/>
        <v>11.546403999999974</v>
      </c>
      <c r="H610" s="115">
        <f t="shared" si="93"/>
        <v>7.0615128844555203E-2</v>
      </c>
      <c r="I610" s="116">
        <f t="shared" si="86"/>
        <v>40.976800000000011</v>
      </c>
      <c r="J610" s="116">
        <f t="shared" si="87"/>
        <v>7.143199999999986</v>
      </c>
      <c r="K610" s="116">
        <f t="shared" si="88"/>
        <v>7.143199999999986</v>
      </c>
      <c r="L610" s="116">
        <f t="shared" si="89"/>
        <v>51.0253062399998</v>
      </c>
      <c r="M610" s="117">
        <f t="shared" si="85"/>
        <v>0.14844555278470462</v>
      </c>
    </row>
    <row r="611" spans="1:13">
      <c r="A611" s="112">
        <v>608</v>
      </c>
      <c r="B611" s="113">
        <v>42509</v>
      </c>
      <c r="C611" s="114">
        <v>48.16</v>
      </c>
      <c r="D611" s="115">
        <f t="shared" si="94"/>
        <v>44.992000000000004</v>
      </c>
      <c r="E611" s="115">
        <f t="shared" si="90"/>
        <v>3.1679999999999922</v>
      </c>
      <c r="F611" s="115">
        <f t="shared" si="91"/>
        <v>3.1679999999999922</v>
      </c>
      <c r="G611" s="115">
        <f t="shared" si="92"/>
        <v>10.036223999999951</v>
      </c>
      <c r="H611" s="115">
        <f t="shared" si="93"/>
        <v>6.5780730897009809E-2</v>
      </c>
      <c r="I611" s="116">
        <f t="shared" si="86"/>
        <v>41.205800000000011</v>
      </c>
      <c r="J611" s="116">
        <f t="shared" si="87"/>
        <v>6.9541999999999859</v>
      </c>
      <c r="K611" s="116">
        <f t="shared" si="88"/>
        <v>6.9541999999999859</v>
      </c>
      <c r="L611" s="116">
        <f t="shared" si="89"/>
        <v>48.360897639999806</v>
      </c>
      <c r="M611" s="117">
        <f t="shared" si="85"/>
        <v>0.14439784053156118</v>
      </c>
    </row>
    <row r="612" spans="1:13">
      <c r="A612" s="112">
        <v>609</v>
      </c>
      <c r="B612" s="107">
        <v>42510</v>
      </c>
      <c r="C612" s="108">
        <v>47.67</v>
      </c>
      <c r="D612" s="115">
        <f t="shared" si="94"/>
        <v>45.241</v>
      </c>
      <c r="E612" s="115">
        <f t="shared" si="90"/>
        <v>2.429000000000002</v>
      </c>
      <c r="F612" s="115">
        <f t="shared" si="91"/>
        <v>2.429000000000002</v>
      </c>
      <c r="G612" s="115">
        <f t="shared" si="92"/>
        <v>5.9000410000000096</v>
      </c>
      <c r="H612" s="115">
        <f t="shared" si="93"/>
        <v>5.0954478707782712E-2</v>
      </c>
      <c r="I612" s="116">
        <f t="shared" si="86"/>
        <v>41.416599999999995</v>
      </c>
      <c r="J612" s="116">
        <f t="shared" si="87"/>
        <v>6.2534000000000063</v>
      </c>
      <c r="K612" s="116">
        <f t="shared" si="88"/>
        <v>6.2534000000000063</v>
      </c>
      <c r="L612" s="116">
        <f t="shared" si="89"/>
        <v>39.105011560000079</v>
      </c>
      <c r="M612" s="117">
        <f t="shared" si="85"/>
        <v>0.13118103629116859</v>
      </c>
    </row>
    <row r="613" spans="1:13">
      <c r="A613" s="112">
        <v>610</v>
      </c>
      <c r="B613" s="113">
        <v>42513</v>
      </c>
      <c r="C613" s="114">
        <v>48.12</v>
      </c>
      <c r="D613" s="115">
        <f t="shared" si="94"/>
        <v>45.486499999999992</v>
      </c>
      <c r="E613" s="115">
        <f t="shared" si="90"/>
        <v>2.6335000000000051</v>
      </c>
      <c r="F613" s="115">
        <f t="shared" si="91"/>
        <v>2.6335000000000051</v>
      </c>
      <c r="G613" s="115">
        <f t="shared" si="92"/>
        <v>6.9353222500000262</v>
      </c>
      <c r="H613" s="115">
        <f t="shared" si="93"/>
        <v>5.472776392352463E-2</v>
      </c>
      <c r="I613" s="116">
        <f t="shared" si="86"/>
        <v>41.614600000000003</v>
      </c>
      <c r="J613" s="116">
        <f t="shared" si="87"/>
        <v>6.5053999999999945</v>
      </c>
      <c r="K613" s="116">
        <f t="shared" si="88"/>
        <v>6.5053999999999945</v>
      </c>
      <c r="L613" s="116">
        <f t="shared" si="89"/>
        <v>42.320229159999926</v>
      </c>
      <c r="M613" s="117">
        <f t="shared" si="85"/>
        <v>0.13519118869492924</v>
      </c>
    </row>
    <row r="614" spans="1:13">
      <c r="A614" s="112">
        <v>611</v>
      </c>
      <c r="B614" s="107">
        <v>42514</v>
      </c>
      <c r="C614" s="108">
        <v>48.04</v>
      </c>
      <c r="D614" s="115">
        <f t="shared" si="94"/>
        <v>45.80899999999999</v>
      </c>
      <c r="E614" s="115">
        <f t="shared" si="90"/>
        <v>2.2310000000000088</v>
      </c>
      <c r="F614" s="115">
        <f t="shared" si="91"/>
        <v>2.2310000000000088</v>
      </c>
      <c r="G614" s="115">
        <f t="shared" si="92"/>
        <v>4.9773610000000392</v>
      </c>
      <c r="H614" s="115">
        <f t="shared" si="93"/>
        <v>4.6440466278101764E-2</v>
      </c>
      <c r="I614" s="116">
        <f t="shared" si="86"/>
        <v>41.806800000000003</v>
      </c>
      <c r="J614" s="116">
        <f t="shared" si="87"/>
        <v>6.2331999999999965</v>
      </c>
      <c r="K614" s="116">
        <f t="shared" si="88"/>
        <v>6.2331999999999965</v>
      </c>
      <c r="L614" s="116">
        <f t="shared" si="89"/>
        <v>38.852782239999954</v>
      </c>
      <c r="M614" s="117">
        <f t="shared" si="85"/>
        <v>0.12975020815986671</v>
      </c>
    </row>
    <row r="615" spans="1:13">
      <c r="A615" s="112">
        <v>612</v>
      </c>
      <c r="B615" s="113">
        <v>42515</v>
      </c>
      <c r="C615" s="114">
        <v>49.1</v>
      </c>
      <c r="D615" s="115">
        <f t="shared" si="94"/>
        <v>46.084999999999994</v>
      </c>
      <c r="E615" s="115">
        <f t="shared" si="90"/>
        <v>3.0150000000000077</v>
      </c>
      <c r="F615" s="115">
        <f t="shared" si="91"/>
        <v>3.0150000000000077</v>
      </c>
      <c r="G615" s="115">
        <f t="shared" si="92"/>
        <v>9.0902250000000464</v>
      </c>
      <c r="H615" s="115">
        <f t="shared" si="93"/>
        <v>6.1405295315682437E-2</v>
      </c>
      <c r="I615" s="116">
        <f t="shared" si="86"/>
        <v>42.023600000000009</v>
      </c>
      <c r="J615" s="116">
        <f t="shared" si="87"/>
        <v>7.0763999999999925</v>
      </c>
      <c r="K615" s="116">
        <f t="shared" si="88"/>
        <v>7.0763999999999925</v>
      </c>
      <c r="L615" s="116">
        <f t="shared" si="89"/>
        <v>50.075436959999891</v>
      </c>
      <c r="M615" s="117">
        <f t="shared" si="85"/>
        <v>0.14412219959266787</v>
      </c>
    </row>
    <row r="616" spans="1:13">
      <c r="A616" s="112">
        <v>613</v>
      </c>
      <c r="B616" s="107">
        <v>42516</v>
      </c>
      <c r="C616" s="108">
        <v>49</v>
      </c>
      <c r="D616" s="115">
        <f t="shared" si="94"/>
        <v>46.275499999999994</v>
      </c>
      <c r="E616" s="115">
        <f t="shared" si="90"/>
        <v>2.7245000000000061</v>
      </c>
      <c r="F616" s="115">
        <f t="shared" si="91"/>
        <v>2.7245000000000061</v>
      </c>
      <c r="G616" s="115">
        <f t="shared" si="92"/>
        <v>7.4229002500000334</v>
      </c>
      <c r="H616" s="115">
        <f t="shared" si="93"/>
        <v>5.5602040816326657E-2</v>
      </c>
      <c r="I616" s="116">
        <f t="shared" si="86"/>
        <v>42.279200000000003</v>
      </c>
      <c r="J616" s="116">
        <f t="shared" si="87"/>
        <v>6.720799999999997</v>
      </c>
      <c r="K616" s="116">
        <f t="shared" si="88"/>
        <v>6.720799999999997</v>
      </c>
      <c r="L616" s="116">
        <f t="shared" si="89"/>
        <v>45.169152639999957</v>
      </c>
      <c r="M616" s="117">
        <f t="shared" si="85"/>
        <v>0.13715918367346933</v>
      </c>
    </row>
    <row r="617" spans="1:13">
      <c r="A617" s="112">
        <v>614</v>
      </c>
      <c r="B617" s="113">
        <v>42517</v>
      </c>
      <c r="C617" s="114">
        <v>49.36</v>
      </c>
      <c r="D617" s="115">
        <f t="shared" si="94"/>
        <v>46.423999999999992</v>
      </c>
      <c r="E617" s="115">
        <f t="shared" si="90"/>
        <v>2.936000000000007</v>
      </c>
      <c r="F617" s="115">
        <f t="shared" si="91"/>
        <v>2.936000000000007</v>
      </c>
      <c r="G617" s="115">
        <f t="shared" si="92"/>
        <v>8.6200960000000411</v>
      </c>
      <c r="H617" s="115">
        <f t="shared" si="93"/>
        <v>5.9481361426256221E-2</v>
      </c>
      <c r="I617" s="116">
        <f t="shared" si="86"/>
        <v>42.490600000000001</v>
      </c>
      <c r="J617" s="116">
        <f t="shared" si="87"/>
        <v>6.8693999999999988</v>
      </c>
      <c r="K617" s="116">
        <f t="shared" si="88"/>
        <v>6.8693999999999988</v>
      </c>
      <c r="L617" s="116">
        <f t="shared" si="89"/>
        <v>47.188656359999982</v>
      </c>
      <c r="M617" s="117">
        <f t="shared" si="85"/>
        <v>0.13916936790923823</v>
      </c>
    </row>
    <row r="618" spans="1:13">
      <c r="A618" s="112">
        <v>615</v>
      </c>
      <c r="B618" s="107">
        <v>42521</v>
      </c>
      <c r="C618" s="108">
        <v>49.1</v>
      </c>
      <c r="D618" s="115">
        <f t="shared" si="94"/>
        <v>46.592999999999996</v>
      </c>
      <c r="E618" s="115">
        <f t="shared" si="90"/>
        <v>2.507000000000005</v>
      </c>
      <c r="F618" s="115">
        <f t="shared" si="91"/>
        <v>2.507000000000005</v>
      </c>
      <c r="G618" s="115">
        <f t="shared" si="92"/>
        <v>6.2850490000000248</v>
      </c>
      <c r="H618" s="115">
        <f t="shared" si="93"/>
        <v>5.1059063136456313E-2</v>
      </c>
      <c r="I618" s="116">
        <f t="shared" si="86"/>
        <v>42.674399999999999</v>
      </c>
      <c r="J618" s="116">
        <f t="shared" si="87"/>
        <v>6.4256000000000029</v>
      </c>
      <c r="K618" s="116">
        <f t="shared" si="88"/>
        <v>6.4256000000000029</v>
      </c>
      <c r="L618" s="116">
        <f t="shared" si="89"/>
        <v>41.288335360000033</v>
      </c>
      <c r="M618" s="117">
        <f t="shared" si="85"/>
        <v>0.13086761710794304</v>
      </c>
    </row>
    <row r="619" spans="1:13">
      <c r="A619" s="112">
        <v>616</v>
      </c>
      <c r="B619" s="113">
        <v>42522</v>
      </c>
      <c r="C619" s="114">
        <v>49.07</v>
      </c>
      <c r="D619" s="115">
        <f t="shared" si="94"/>
        <v>46.810499999999998</v>
      </c>
      <c r="E619" s="115">
        <f t="shared" si="90"/>
        <v>2.2595000000000027</v>
      </c>
      <c r="F619" s="115">
        <f t="shared" si="91"/>
        <v>2.2595000000000027</v>
      </c>
      <c r="G619" s="115">
        <f t="shared" si="92"/>
        <v>5.1053402500000127</v>
      </c>
      <c r="H619" s="115">
        <f t="shared" si="93"/>
        <v>4.6046464234766715E-2</v>
      </c>
      <c r="I619" s="116">
        <f t="shared" si="86"/>
        <v>42.866999999999997</v>
      </c>
      <c r="J619" s="116">
        <f t="shared" si="87"/>
        <v>6.203000000000003</v>
      </c>
      <c r="K619" s="116">
        <f t="shared" si="88"/>
        <v>6.203000000000003</v>
      </c>
      <c r="L619" s="116">
        <f t="shared" si="89"/>
        <v>38.477209000000038</v>
      </c>
      <c r="M619" s="117">
        <f t="shared" si="85"/>
        <v>0.12641124923578567</v>
      </c>
    </row>
    <row r="620" spans="1:13">
      <c r="A620" s="112">
        <v>617</v>
      </c>
      <c r="B620" s="107">
        <v>42523</v>
      </c>
      <c r="C620" s="108">
        <v>49.14</v>
      </c>
      <c r="D620" s="115">
        <f t="shared" si="94"/>
        <v>47.081500000000005</v>
      </c>
      <c r="E620" s="115">
        <f t="shared" si="90"/>
        <v>2.0584999999999951</v>
      </c>
      <c r="F620" s="115">
        <f t="shared" si="91"/>
        <v>2.0584999999999951</v>
      </c>
      <c r="G620" s="115">
        <f t="shared" si="92"/>
        <v>4.2374222499999803</v>
      </c>
      <c r="H620" s="115">
        <f t="shared" si="93"/>
        <v>4.1890516890516788E-2</v>
      </c>
      <c r="I620" s="116">
        <f t="shared" si="86"/>
        <v>43.050200000000004</v>
      </c>
      <c r="J620" s="116">
        <f t="shared" si="87"/>
        <v>6.0897999999999968</v>
      </c>
      <c r="K620" s="116">
        <f t="shared" si="88"/>
        <v>6.0897999999999968</v>
      </c>
      <c r="L620" s="116">
        <f t="shared" si="89"/>
        <v>37.085664039999962</v>
      </c>
      <c r="M620" s="117">
        <f t="shared" si="85"/>
        <v>0.12392755392755386</v>
      </c>
    </row>
    <row r="621" spans="1:13">
      <c r="A621" s="112">
        <v>618</v>
      </c>
      <c r="B621" s="113">
        <v>42524</v>
      </c>
      <c r="C621" s="114">
        <v>48.69</v>
      </c>
      <c r="D621" s="115">
        <f t="shared" si="94"/>
        <v>47.350000000000009</v>
      </c>
      <c r="E621" s="115">
        <f t="shared" si="90"/>
        <v>1.3399999999999892</v>
      </c>
      <c r="F621" s="115">
        <f t="shared" si="91"/>
        <v>1.3399999999999892</v>
      </c>
      <c r="G621" s="115">
        <f t="shared" si="92"/>
        <v>1.795599999999971</v>
      </c>
      <c r="H621" s="115">
        <f t="shared" si="93"/>
        <v>2.7521051550626192E-2</v>
      </c>
      <c r="I621" s="116">
        <f t="shared" si="86"/>
        <v>43.203999999999994</v>
      </c>
      <c r="J621" s="116">
        <f t="shared" si="87"/>
        <v>5.4860000000000042</v>
      </c>
      <c r="K621" s="116">
        <f t="shared" si="88"/>
        <v>5.4860000000000042</v>
      </c>
      <c r="L621" s="116">
        <f t="shared" si="89"/>
        <v>30.096196000000045</v>
      </c>
      <c r="M621" s="117">
        <f t="shared" si="85"/>
        <v>0.11267200657219151</v>
      </c>
    </row>
    <row r="622" spans="1:13">
      <c r="A622" s="112">
        <v>619</v>
      </c>
      <c r="B622" s="107">
        <v>42527</v>
      </c>
      <c r="C622" s="108">
        <v>49.71</v>
      </c>
      <c r="D622" s="115">
        <f t="shared" si="94"/>
        <v>47.568000000000005</v>
      </c>
      <c r="E622" s="115">
        <f t="shared" si="90"/>
        <v>2.1419999999999959</v>
      </c>
      <c r="F622" s="115">
        <f t="shared" si="91"/>
        <v>2.1419999999999959</v>
      </c>
      <c r="G622" s="115">
        <f t="shared" si="92"/>
        <v>4.5881639999999821</v>
      </c>
      <c r="H622" s="115">
        <f t="shared" si="93"/>
        <v>4.3089921544960691E-2</v>
      </c>
      <c r="I622" s="116">
        <f t="shared" si="86"/>
        <v>43.412199999999991</v>
      </c>
      <c r="J622" s="116">
        <f t="shared" si="87"/>
        <v>6.2978000000000094</v>
      </c>
      <c r="K622" s="116">
        <f t="shared" si="88"/>
        <v>6.2978000000000094</v>
      </c>
      <c r="L622" s="116">
        <f t="shared" si="89"/>
        <v>39.662284840000119</v>
      </c>
      <c r="M622" s="117">
        <f t="shared" si="85"/>
        <v>0.12669080667873686</v>
      </c>
    </row>
    <row r="623" spans="1:13">
      <c r="A623" s="112">
        <v>620</v>
      </c>
      <c r="B623" s="113">
        <v>42528</v>
      </c>
      <c r="C623" s="114">
        <v>50.37</v>
      </c>
      <c r="D623" s="115">
        <f t="shared" si="94"/>
        <v>47.8245</v>
      </c>
      <c r="E623" s="115">
        <f t="shared" si="90"/>
        <v>2.545499999999997</v>
      </c>
      <c r="F623" s="115">
        <f t="shared" si="91"/>
        <v>2.545499999999997</v>
      </c>
      <c r="G623" s="115">
        <f t="shared" si="92"/>
        <v>6.479570249999985</v>
      </c>
      <c r="H623" s="115">
        <f t="shared" si="93"/>
        <v>5.0536033353186363E-2</v>
      </c>
      <c r="I623" s="116">
        <f t="shared" si="86"/>
        <v>43.643599999999999</v>
      </c>
      <c r="J623" s="116">
        <f t="shared" si="87"/>
        <v>6.7263999999999982</v>
      </c>
      <c r="K623" s="116">
        <f t="shared" si="88"/>
        <v>6.7263999999999982</v>
      </c>
      <c r="L623" s="116">
        <f t="shared" si="89"/>
        <v>45.244456959999972</v>
      </c>
      <c r="M623" s="117">
        <f t="shared" si="85"/>
        <v>0.13353980543974586</v>
      </c>
    </row>
    <row r="624" spans="1:13">
      <c r="A624" s="112">
        <v>621</v>
      </c>
      <c r="B624" s="107">
        <v>42529</v>
      </c>
      <c r="C624" s="108">
        <v>51.23</v>
      </c>
      <c r="D624" s="115">
        <f t="shared" si="94"/>
        <v>48.170500000000011</v>
      </c>
      <c r="E624" s="115">
        <f t="shared" si="90"/>
        <v>3.0594999999999857</v>
      </c>
      <c r="F624" s="115">
        <f t="shared" si="91"/>
        <v>3.0594999999999857</v>
      </c>
      <c r="G624" s="115">
        <f t="shared" si="92"/>
        <v>9.3605402499999126</v>
      </c>
      <c r="H624" s="115">
        <f t="shared" si="93"/>
        <v>5.9720866679679602E-2</v>
      </c>
      <c r="I624" s="116">
        <f t="shared" si="86"/>
        <v>43.891199999999991</v>
      </c>
      <c r="J624" s="116">
        <f t="shared" si="87"/>
        <v>7.3388000000000062</v>
      </c>
      <c r="K624" s="116">
        <f t="shared" si="88"/>
        <v>7.3388000000000062</v>
      </c>
      <c r="L624" s="116">
        <f t="shared" si="89"/>
        <v>53.857985440000093</v>
      </c>
      <c r="M624" s="117">
        <f t="shared" si="85"/>
        <v>0.14325200078079264</v>
      </c>
    </row>
    <row r="625" spans="1:13">
      <c r="A625" s="112">
        <v>622</v>
      </c>
      <c r="B625" s="113">
        <v>42530</v>
      </c>
      <c r="C625" s="114">
        <v>50.52</v>
      </c>
      <c r="D625" s="115">
        <f t="shared" si="94"/>
        <v>48.498000000000005</v>
      </c>
      <c r="E625" s="115">
        <f t="shared" si="90"/>
        <v>2.0219999999999985</v>
      </c>
      <c r="F625" s="115">
        <f t="shared" si="91"/>
        <v>2.0219999999999985</v>
      </c>
      <c r="G625" s="115">
        <f t="shared" si="92"/>
        <v>4.088483999999994</v>
      </c>
      <c r="H625" s="115">
        <f t="shared" si="93"/>
        <v>4.0023752969121106E-2</v>
      </c>
      <c r="I625" s="116">
        <f t="shared" si="86"/>
        <v>44.177599999999991</v>
      </c>
      <c r="J625" s="116">
        <f t="shared" si="87"/>
        <v>6.342400000000012</v>
      </c>
      <c r="K625" s="116">
        <f t="shared" si="88"/>
        <v>6.342400000000012</v>
      </c>
      <c r="L625" s="116">
        <f t="shared" si="89"/>
        <v>40.226037760000153</v>
      </c>
      <c r="M625" s="117">
        <f t="shared" si="85"/>
        <v>0.12554235946159958</v>
      </c>
    </row>
    <row r="626" spans="1:13">
      <c r="A626" s="112">
        <v>623</v>
      </c>
      <c r="B626" s="107">
        <v>42531</v>
      </c>
      <c r="C626" s="108">
        <v>49.09</v>
      </c>
      <c r="D626" s="115">
        <f t="shared" si="94"/>
        <v>48.713500000000003</v>
      </c>
      <c r="E626" s="115">
        <f t="shared" si="90"/>
        <v>0.37650000000000006</v>
      </c>
      <c r="F626" s="115">
        <f t="shared" si="91"/>
        <v>0.37650000000000006</v>
      </c>
      <c r="G626" s="115">
        <f t="shared" si="92"/>
        <v>0.14175225000000005</v>
      </c>
      <c r="H626" s="115">
        <f t="shared" si="93"/>
        <v>7.6695864738235897E-3</v>
      </c>
      <c r="I626" s="116">
        <f t="shared" si="86"/>
        <v>44.449799999999989</v>
      </c>
      <c r="J626" s="116">
        <f t="shared" si="87"/>
        <v>4.6402000000000143</v>
      </c>
      <c r="K626" s="116">
        <f t="shared" si="88"/>
        <v>4.6402000000000143</v>
      </c>
      <c r="L626" s="116">
        <f t="shared" si="89"/>
        <v>21.531456040000133</v>
      </c>
      <c r="M626" s="117">
        <f t="shared" si="85"/>
        <v>9.4524343043389983E-2</v>
      </c>
    </row>
    <row r="627" spans="1:13">
      <c r="A627" s="112">
        <v>624</v>
      </c>
      <c r="B627" s="113">
        <v>42534</v>
      </c>
      <c r="C627" s="114">
        <v>48.89</v>
      </c>
      <c r="D627" s="115">
        <f t="shared" si="94"/>
        <v>48.836000000000013</v>
      </c>
      <c r="E627" s="115">
        <f t="shared" si="90"/>
        <v>5.3999999999987836E-2</v>
      </c>
      <c r="F627" s="115">
        <f t="shared" si="91"/>
        <v>5.3999999999987836E-2</v>
      </c>
      <c r="G627" s="115">
        <f t="shared" si="92"/>
        <v>2.9159999999986861E-3</v>
      </c>
      <c r="H627" s="115">
        <f t="shared" si="93"/>
        <v>1.1045203518099374E-3</v>
      </c>
      <c r="I627" s="116">
        <f t="shared" si="86"/>
        <v>44.692799999999998</v>
      </c>
      <c r="J627" s="116">
        <f t="shared" si="87"/>
        <v>4.1972000000000023</v>
      </c>
      <c r="K627" s="116">
        <f t="shared" si="88"/>
        <v>4.1972000000000023</v>
      </c>
      <c r="L627" s="116">
        <f t="shared" si="89"/>
        <v>17.616487840000019</v>
      </c>
      <c r="M627" s="117">
        <f t="shared" si="85"/>
        <v>8.5849867048476219E-2</v>
      </c>
    </row>
    <row r="628" spans="1:13">
      <c r="A628" s="112">
        <v>625</v>
      </c>
      <c r="B628" s="107">
        <v>42535</v>
      </c>
      <c r="C628" s="108">
        <v>48.49</v>
      </c>
      <c r="D628" s="115">
        <f t="shared" si="94"/>
        <v>48.969500000000011</v>
      </c>
      <c r="E628" s="115">
        <f t="shared" si="90"/>
        <v>-0.4795000000000087</v>
      </c>
      <c r="F628" s="115">
        <f t="shared" si="91"/>
        <v>0.4795000000000087</v>
      </c>
      <c r="G628" s="115">
        <f t="shared" si="92"/>
        <v>0.22992025000000835</v>
      </c>
      <c r="H628" s="115">
        <f t="shared" si="93"/>
        <v>9.8886368323367439E-3</v>
      </c>
      <c r="I628" s="116">
        <f t="shared" si="86"/>
        <v>44.963399999999993</v>
      </c>
      <c r="J628" s="116">
        <f t="shared" si="87"/>
        <v>3.5266000000000091</v>
      </c>
      <c r="K628" s="116">
        <f t="shared" si="88"/>
        <v>3.5266000000000091</v>
      </c>
      <c r="L628" s="116">
        <f t="shared" si="89"/>
        <v>12.436907560000064</v>
      </c>
      <c r="M628" s="117">
        <f t="shared" si="85"/>
        <v>7.2728397607754361E-2</v>
      </c>
    </row>
    <row r="629" spans="1:13">
      <c r="A629" s="112">
        <v>626</v>
      </c>
      <c r="B629" s="113">
        <v>42536</v>
      </c>
      <c r="C629" s="114">
        <v>47.92</v>
      </c>
      <c r="D629" s="115">
        <f t="shared" si="94"/>
        <v>49.00800000000001</v>
      </c>
      <c r="E629" s="115">
        <f t="shared" si="90"/>
        <v>-1.0880000000000081</v>
      </c>
      <c r="F629" s="115">
        <f t="shared" si="91"/>
        <v>1.0880000000000081</v>
      </c>
      <c r="G629" s="115">
        <f t="shared" si="92"/>
        <v>1.1837440000000177</v>
      </c>
      <c r="H629" s="115">
        <f t="shared" si="93"/>
        <v>2.2704507512521035E-2</v>
      </c>
      <c r="I629" s="116">
        <f t="shared" si="86"/>
        <v>45.247199999999985</v>
      </c>
      <c r="J629" s="116">
        <f t="shared" si="87"/>
        <v>2.6728000000000165</v>
      </c>
      <c r="K629" s="116">
        <f t="shared" si="88"/>
        <v>2.6728000000000165</v>
      </c>
      <c r="L629" s="116">
        <f t="shared" si="89"/>
        <v>7.1438598400000881</v>
      </c>
      <c r="M629" s="117">
        <f t="shared" si="85"/>
        <v>5.5776293823038739E-2</v>
      </c>
    </row>
    <row r="630" spans="1:13">
      <c r="A630" s="112">
        <v>627</v>
      </c>
      <c r="B630" s="107">
        <v>42537</v>
      </c>
      <c r="C630" s="108">
        <v>46.14</v>
      </c>
      <c r="D630" s="115">
        <f t="shared" si="94"/>
        <v>48.9895</v>
      </c>
      <c r="E630" s="115">
        <f t="shared" si="90"/>
        <v>-2.849499999999999</v>
      </c>
      <c r="F630" s="115">
        <f t="shared" si="91"/>
        <v>2.849499999999999</v>
      </c>
      <c r="G630" s="115">
        <f t="shared" si="92"/>
        <v>8.1196502499999941</v>
      </c>
      <c r="H630" s="115">
        <f t="shared" si="93"/>
        <v>6.1757693974859106E-2</v>
      </c>
      <c r="I630" s="116">
        <f t="shared" si="86"/>
        <v>45.515199999999993</v>
      </c>
      <c r="J630" s="116">
        <f t="shared" si="87"/>
        <v>0.62480000000000757</v>
      </c>
      <c r="K630" s="116">
        <f t="shared" si="88"/>
        <v>0.62480000000000757</v>
      </c>
      <c r="L630" s="116">
        <f t="shared" si="89"/>
        <v>0.39037504000000944</v>
      </c>
      <c r="M630" s="117">
        <f t="shared" si="85"/>
        <v>1.3541395752059114E-2</v>
      </c>
    </row>
    <row r="631" spans="1:13">
      <c r="A631" s="112">
        <v>628</v>
      </c>
      <c r="B631" s="113">
        <v>42538</v>
      </c>
      <c r="C631" s="114">
        <v>48</v>
      </c>
      <c r="D631" s="115">
        <f t="shared" si="94"/>
        <v>48.890500000000003</v>
      </c>
      <c r="E631" s="115">
        <f t="shared" si="90"/>
        <v>-0.89050000000000296</v>
      </c>
      <c r="F631" s="115">
        <f t="shared" si="91"/>
        <v>0.89050000000000296</v>
      </c>
      <c r="G631" s="115">
        <f t="shared" si="92"/>
        <v>0.79299025000000523</v>
      </c>
      <c r="H631" s="115">
        <f t="shared" si="93"/>
        <v>1.8552083333333396E-2</v>
      </c>
      <c r="I631" s="116">
        <f t="shared" si="86"/>
        <v>45.683199999999985</v>
      </c>
      <c r="J631" s="116">
        <f t="shared" si="87"/>
        <v>2.3168000000000148</v>
      </c>
      <c r="K631" s="116">
        <f t="shared" si="88"/>
        <v>2.3168000000000148</v>
      </c>
      <c r="L631" s="116">
        <f t="shared" si="89"/>
        <v>5.3675622400000691</v>
      </c>
      <c r="M631" s="117">
        <f t="shared" ref="M631:M694" si="95">J631/C631</f>
        <v>4.8266666666666978E-2</v>
      </c>
    </row>
    <row r="632" spans="1:13">
      <c r="A632" s="112">
        <v>629</v>
      </c>
      <c r="B632" s="107">
        <v>42541</v>
      </c>
      <c r="C632" s="108">
        <v>49.4</v>
      </c>
      <c r="D632" s="115">
        <f t="shared" si="94"/>
        <v>48.8825</v>
      </c>
      <c r="E632" s="115">
        <f t="shared" si="90"/>
        <v>0.51749999999999829</v>
      </c>
      <c r="F632" s="115">
        <f t="shared" si="91"/>
        <v>0.51749999999999829</v>
      </c>
      <c r="G632" s="115">
        <f t="shared" si="92"/>
        <v>0.26780624999999825</v>
      </c>
      <c r="H632" s="115">
        <f t="shared" si="93"/>
        <v>1.0475708502024257E-2</v>
      </c>
      <c r="I632" s="116">
        <f t="shared" ref="I632:I695" si="96">AVERAGE(C582:C631)</f>
        <v>45.897199999999984</v>
      </c>
      <c r="J632" s="116">
        <f t="shared" ref="J632:J695" si="97">C632-I632</f>
        <v>3.5028000000000148</v>
      </c>
      <c r="K632" s="116">
        <f t="shared" ref="K632:K695" si="98">ABS(J632)</f>
        <v>3.5028000000000148</v>
      </c>
      <c r="L632" s="116">
        <f t="shared" ref="L632:L695" si="99">J632^2</f>
        <v>12.269607840000104</v>
      </c>
      <c r="M632" s="117">
        <f t="shared" si="95"/>
        <v>7.0906882591093415E-2</v>
      </c>
    </row>
    <row r="633" spans="1:13">
      <c r="A633" s="112">
        <v>630</v>
      </c>
      <c r="B633" s="113">
        <v>42542</v>
      </c>
      <c r="C633" s="114">
        <v>48.95</v>
      </c>
      <c r="D633" s="115">
        <f t="shared" si="94"/>
        <v>48.968999999999994</v>
      </c>
      <c r="E633" s="115">
        <f t="shared" si="90"/>
        <v>-1.8999999999991246E-2</v>
      </c>
      <c r="F633" s="115">
        <f t="shared" si="91"/>
        <v>1.8999999999991246E-2</v>
      </c>
      <c r="G633" s="115">
        <f t="shared" si="92"/>
        <v>3.6099999999966736E-4</v>
      </c>
      <c r="H633" s="115">
        <f t="shared" si="93"/>
        <v>3.8815117466784973E-4</v>
      </c>
      <c r="I633" s="116">
        <f t="shared" si="96"/>
        <v>46.090399999999988</v>
      </c>
      <c r="J633" s="116">
        <f t="shared" si="97"/>
        <v>2.8596000000000146</v>
      </c>
      <c r="K633" s="116">
        <f t="shared" si="98"/>
        <v>2.8596000000000146</v>
      </c>
      <c r="L633" s="116">
        <f t="shared" si="99"/>
        <v>8.1773121600000831</v>
      </c>
      <c r="M633" s="117">
        <f t="shared" si="95"/>
        <v>5.8418794688457905E-2</v>
      </c>
    </row>
    <row r="634" spans="1:13">
      <c r="A634" s="112">
        <v>631</v>
      </c>
      <c r="B634" s="107">
        <v>42543</v>
      </c>
      <c r="C634" s="108">
        <v>49.16</v>
      </c>
      <c r="D634" s="115">
        <f t="shared" si="94"/>
        <v>49.010499999999993</v>
      </c>
      <c r="E634" s="115">
        <f t="shared" si="90"/>
        <v>0.1495000000000033</v>
      </c>
      <c r="F634" s="115">
        <f t="shared" si="91"/>
        <v>0.1495000000000033</v>
      </c>
      <c r="G634" s="115">
        <f t="shared" si="92"/>
        <v>2.2350250000000987E-2</v>
      </c>
      <c r="H634" s="115">
        <f t="shared" si="93"/>
        <v>3.0410903173312309E-3</v>
      </c>
      <c r="I634" s="116">
        <f t="shared" si="96"/>
        <v>46.260199999999983</v>
      </c>
      <c r="J634" s="116">
        <f t="shared" si="97"/>
        <v>2.8998000000000133</v>
      </c>
      <c r="K634" s="116">
        <f t="shared" si="98"/>
        <v>2.8998000000000133</v>
      </c>
      <c r="L634" s="116">
        <f t="shared" si="99"/>
        <v>8.4088400400000776</v>
      </c>
      <c r="M634" s="117">
        <f t="shared" si="95"/>
        <v>5.8986981285598324E-2</v>
      </c>
    </row>
    <row r="635" spans="1:13">
      <c r="A635" s="112">
        <v>632</v>
      </c>
      <c r="B635" s="113">
        <v>42544</v>
      </c>
      <c r="C635" s="114">
        <v>49.34</v>
      </c>
      <c r="D635" s="115">
        <f t="shared" si="94"/>
        <v>49.066499999999998</v>
      </c>
      <c r="E635" s="115">
        <f t="shared" si="90"/>
        <v>0.27350000000000563</v>
      </c>
      <c r="F635" s="115">
        <f t="shared" si="91"/>
        <v>0.27350000000000563</v>
      </c>
      <c r="G635" s="115">
        <f t="shared" si="92"/>
        <v>7.4802250000003082E-2</v>
      </c>
      <c r="H635" s="115">
        <f t="shared" si="93"/>
        <v>5.5431698419133686E-3</v>
      </c>
      <c r="I635" s="116">
        <f t="shared" si="96"/>
        <v>46.400999999999982</v>
      </c>
      <c r="J635" s="116">
        <f t="shared" si="97"/>
        <v>2.9390000000000214</v>
      </c>
      <c r="K635" s="116">
        <f t="shared" si="98"/>
        <v>2.9390000000000214</v>
      </c>
      <c r="L635" s="116">
        <f t="shared" si="99"/>
        <v>8.6377210000001252</v>
      </c>
      <c r="M635" s="117">
        <f t="shared" si="95"/>
        <v>5.9566274827726411E-2</v>
      </c>
    </row>
    <row r="636" spans="1:13">
      <c r="A636" s="112">
        <v>633</v>
      </c>
      <c r="B636" s="107">
        <v>42545</v>
      </c>
      <c r="C636" s="108">
        <v>46.7</v>
      </c>
      <c r="D636" s="115">
        <f t="shared" si="94"/>
        <v>49.078499999999998</v>
      </c>
      <c r="E636" s="115">
        <f t="shared" si="90"/>
        <v>-2.3784999999999954</v>
      </c>
      <c r="F636" s="115">
        <f t="shared" si="91"/>
        <v>2.3784999999999954</v>
      </c>
      <c r="G636" s="115">
        <f t="shared" si="92"/>
        <v>5.6572622499999783</v>
      </c>
      <c r="H636" s="115">
        <f t="shared" si="93"/>
        <v>5.0931477516059857E-2</v>
      </c>
      <c r="I636" s="116">
        <f t="shared" si="96"/>
        <v>46.553799999999995</v>
      </c>
      <c r="J636" s="116">
        <f t="shared" si="97"/>
        <v>0.14620000000000744</v>
      </c>
      <c r="K636" s="116">
        <f t="shared" si="98"/>
        <v>0.14620000000000744</v>
      </c>
      <c r="L636" s="116">
        <f t="shared" si="99"/>
        <v>2.1374440000002173E-2</v>
      </c>
      <c r="M636" s="117">
        <f t="shared" si="95"/>
        <v>3.1306209850108656E-3</v>
      </c>
    </row>
    <row r="637" spans="1:13">
      <c r="A637" s="112">
        <v>634</v>
      </c>
      <c r="B637" s="113">
        <v>42548</v>
      </c>
      <c r="C637" s="114">
        <v>45.8</v>
      </c>
      <c r="D637" s="115">
        <f t="shared" si="94"/>
        <v>48.963499999999996</v>
      </c>
      <c r="E637" s="115">
        <f t="shared" si="90"/>
        <v>-3.1634999999999991</v>
      </c>
      <c r="F637" s="115">
        <f t="shared" si="91"/>
        <v>3.1634999999999991</v>
      </c>
      <c r="G637" s="115">
        <f t="shared" si="92"/>
        <v>10.007732249999995</v>
      </c>
      <c r="H637" s="115">
        <f t="shared" si="93"/>
        <v>6.9072052401746714E-2</v>
      </c>
      <c r="I637" s="116">
        <f t="shared" si="96"/>
        <v>46.658799999999999</v>
      </c>
      <c r="J637" s="116">
        <f t="shared" si="97"/>
        <v>-0.85880000000000223</v>
      </c>
      <c r="K637" s="116">
        <f t="shared" si="98"/>
        <v>0.85880000000000223</v>
      </c>
      <c r="L637" s="116">
        <f t="shared" si="99"/>
        <v>0.73753744000000387</v>
      </c>
      <c r="M637" s="117">
        <f t="shared" si="95"/>
        <v>-1.8751091703056819E-2</v>
      </c>
    </row>
    <row r="638" spans="1:13">
      <c r="A638" s="112">
        <v>635</v>
      </c>
      <c r="B638" s="107">
        <v>42549</v>
      </c>
      <c r="C638" s="108">
        <v>47.93</v>
      </c>
      <c r="D638" s="115">
        <f t="shared" si="94"/>
        <v>48.785499999999999</v>
      </c>
      <c r="E638" s="115">
        <f t="shared" si="90"/>
        <v>-0.85549999999999926</v>
      </c>
      <c r="F638" s="115">
        <f t="shared" si="91"/>
        <v>0.85549999999999926</v>
      </c>
      <c r="G638" s="115">
        <f t="shared" si="92"/>
        <v>0.73188024999999879</v>
      </c>
      <c r="H638" s="115">
        <f t="shared" si="93"/>
        <v>1.7848946380137686E-2</v>
      </c>
      <c r="I638" s="116">
        <f t="shared" si="96"/>
        <v>46.766799999999996</v>
      </c>
      <c r="J638" s="116">
        <f t="shared" si="97"/>
        <v>1.1632000000000033</v>
      </c>
      <c r="K638" s="116">
        <f t="shared" si="98"/>
        <v>1.1632000000000033</v>
      </c>
      <c r="L638" s="116">
        <f t="shared" si="99"/>
        <v>1.3530342400000077</v>
      </c>
      <c r="M638" s="117">
        <f t="shared" si="95"/>
        <v>2.4268725224285487E-2</v>
      </c>
    </row>
    <row r="639" spans="1:13">
      <c r="A639" s="112">
        <v>636</v>
      </c>
      <c r="B639" s="113">
        <v>42550</v>
      </c>
      <c r="C639" s="114">
        <v>49.85</v>
      </c>
      <c r="D639" s="115">
        <f t="shared" si="94"/>
        <v>48.726999999999997</v>
      </c>
      <c r="E639" s="115">
        <f t="shared" si="90"/>
        <v>1.1230000000000047</v>
      </c>
      <c r="F639" s="115">
        <f t="shared" si="91"/>
        <v>1.1230000000000047</v>
      </c>
      <c r="G639" s="115">
        <f t="shared" si="92"/>
        <v>1.2611290000000104</v>
      </c>
      <c r="H639" s="115">
        <f t="shared" si="93"/>
        <v>2.2527582748244828E-2</v>
      </c>
      <c r="I639" s="116">
        <f t="shared" si="96"/>
        <v>46.930599999999998</v>
      </c>
      <c r="J639" s="116">
        <f t="shared" si="97"/>
        <v>2.9194000000000031</v>
      </c>
      <c r="K639" s="116">
        <f t="shared" si="98"/>
        <v>2.9194000000000031</v>
      </c>
      <c r="L639" s="116">
        <f t="shared" si="99"/>
        <v>8.5228963600000185</v>
      </c>
      <c r="M639" s="117">
        <f t="shared" si="95"/>
        <v>5.8563691073219723E-2</v>
      </c>
    </row>
    <row r="640" spans="1:13">
      <c r="A640" s="112">
        <v>637</v>
      </c>
      <c r="B640" s="107">
        <v>42551</v>
      </c>
      <c r="C640" s="108">
        <v>48.27</v>
      </c>
      <c r="D640" s="115">
        <f t="shared" si="94"/>
        <v>48.766000000000005</v>
      </c>
      <c r="E640" s="115">
        <f t="shared" si="90"/>
        <v>-0.49600000000000222</v>
      </c>
      <c r="F640" s="115">
        <f t="shared" si="91"/>
        <v>0.49600000000000222</v>
      </c>
      <c r="G640" s="115">
        <f t="shared" si="92"/>
        <v>0.24601600000000221</v>
      </c>
      <c r="H640" s="115">
        <f t="shared" si="93"/>
        <v>1.0275533457634187E-2</v>
      </c>
      <c r="I640" s="116">
        <f t="shared" si="96"/>
        <v>47.109999999999992</v>
      </c>
      <c r="J640" s="116">
        <f t="shared" si="97"/>
        <v>1.1600000000000108</v>
      </c>
      <c r="K640" s="116">
        <f t="shared" si="98"/>
        <v>1.1600000000000108</v>
      </c>
      <c r="L640" s="116">
        <f t="shared" si="99"/>
        <v>1.345600000000025</v>
      </c>
      <c r="M640" s="117">
        <f t="shared" si="95"/>
        <v>2.4031489538015552E-2</v>
      </c>
    </row>
    <row r="641" spans="1:13">
      <c r="A641" s="112">
        <v>638</v>
      </c>
      <c r="B641" s="113">
        <v>42552</v>
      </c>
      <c r="C641" s="114">
        <v>49.02</v>
      </c>
      <c r="D641" s="115">
        <f t="shared" si="94"/>
        <v>48.722499999999997</v>
      </c>
      <c r="E641" s="115">
        <f t="shared" si="90"/>
        <v>0.29750000000000654</v>
      </c>
      <c r="F641" s="115">
        <f t="shared" si="91"/>
        <v>0.29750000000000654</v>
      </c>
      <c r="G641" s="115">
        <f t="shared" si="92"/>
        <v>8.8506250000003894E-2</v>
      </c>
      <c r="H641" s="115">
        <f t="shared" si="93"/>
        <v>6.0689514483885463E-3</v>
      </c>
      <c r="I641" s="116">
        <f t="shared" si="96"/>
        <v>47.220999999999997</v>
      </c>
      <c r="J641" s="116">
        <f t="shared" si="97"/>
        <v>1.7990000000000066</v>
      </c>
      <c r="K641" s="116">
        <f t="shared" si="98"/>
        <v>1.7990000000000066</v>
      </c>
      <c r="L641" s="116">
        <f t="shared" si="99"/>
        <v>3.2364010000000238</v>
      </c>
      <c r="M641" s="117">
        <f t="shared" si="95"/>
        <v>3.6699306405548887E-2</v>
      </c>
    </row>
    <row r="642" spans="1:13">
      <c r="A642" s="112">
        <v>639</v>
      </c>
      <c r="B642" s="107">
        <v>42556</v>
      </c>
      <c r="C642" s="108">
        <v>46.73</v>
      </c>
      <c r="D642" s="115">
        <f t="shared" si="94"/>
        <v>48.738999999999997</v>
      </c>
      <c r="E642" s="115">
        <f t="shared" si="90"/>
        <v>-2.0090000000000003</v>
      </c>
      <c r="F642" s="115">
        <f t="shared" si="91"/>
        <v>2.0090000000000003</v>
      </c>
      <c r="G642" s="115">
        <f t="shared" si="92"/>
        <v>4.0360810000000011</v>
      </c>
      <c r="H642" s="115">
        <f t="shared" si="93"/>
        <v>4.2991654183607973E-2</v>
      </c>
      <c r="I642" s="116">
        <f t="shared" si="96"/>
        <v>47.337799999999994</v>
      </c>
      <c r="J642" s="116">
        <f t="shared" si="97"/>
        <v>-0.60779999999999745</v>
      </c>
      <c r="K642" s="116">
        <f t="shared" si="98"/>
        <v>0.60779999999999745</v>
      </c>
      <c r="L642" s="116">
        <f t="shared" si="99"/>
        <v>0.36942083999999692</v>
      </c>
      <c r="M642" s="117">
        <f t="shared" si="95"/>
        <v>-1.3006633854055157E-2</v>
      </c>
    </row>
    <row r="643" spans="1:13">
      <c r="A643" s="112">
        <v>640</v>
      </c>
      <c r="B643" s="113">
        <v>42557</v>
      </c>
      <c r="C643" s="114">
        <v>47.37</v>
      </c>
      <c r="D643" s="115">
        <f t="shared" si="94"/>
        <v>48.589999999999996</v>
      </c>
      <c r="E643" s="115">
        <f t="shared" si="90"/>
        <v>-1.2199999999999989</v>
      </c>
      <c r="F643" s="115">
        <f t="shared" si="91"/>
        <v>1.2199999999999989</v>
      </c>
      <c r="G643" s="115">
        <f t="shared" si="92"/>
        <v>1.4883999999999973</v>
      </c>
      <c r="H643" s="115">
        <f t="shared" si="93"/>
        <v>2.5754697065653344E-2</v>
      </c>
      <c r="I643" s="116">
        <f t="shared" si="96"/>
        <v>47.417199999999994</v>
      </c>
      <c r="J643" s="116">
        <f t="shared" si="97"/>
        <v>-4.7199999999996578E-2</v>
      </c>
      <c r="K643" s="116">
        <f t="shared" si="98"/>
        <v>4.7199999999996578E-2</v>
      </c>
      <c r="L643" s="116">
        <f t="shared" si="99"/>
        <v>2.2278399999996769E-3</v>
      </c>
      <c r="M643" s="117">
        <f t="shared" si="95"/>
        <v>-9.9641123073668106E-4</v>
      </c>
    </row>
    <row r="644" spans="1:13">
      <c r="A644" s="112">
        <v>641</v>
      </c>
      <c r="B644" s="107">
        <v>42558</v>
      </c>
      <c r="C644" s="108">
        <v>45.22</v>
      </c>
      <c r="D644" s="115">
        <f t="shared" si="94"/>
        <v>48.44</v>
      </c>
      <c r="E644" s="115">
        <f t="shared" si="90"/>
        <v>-3.2199999999999989</v>
      </c>
      <c r="F644" s="115">
        <f t="shared" si="91"/>
        <v>3.2199999999999989</v>
      </c>
      <c r="G644" s="115">
        <f t="shared" si="92"/>
        <v>10.368399999999992</v>
      </c>
      <c r="H644" s="115">
        <f t="shared" si="93"/>
        <v>7.1207430340557251E-2</v>
      </c>
      <c r="I644" s="116">
        <f t="shared" si="96"/>
        <v>47.531199999999991</v>
      </c>
      <c r="J644" s="116">
        <f t="shared" si="97"/>
        <v>-2.3111999999999924</v>
      </c>
      <c r="K644" s="116">
        <f t="shared" si="98"/>
        <v>2.3111999999999924</v>
      </c>
      <c r="L644" s="116">
        <f t="shared" si="99"/>
        <v>5.3416454399999651</v>
      </c>
      <c r="M644" s="117">
        <f t="shared" si="95"/>
        <v>-5.1110128261830881E-2</v>
      </c>
    </row>
    <row r="645" spans="1:13">
      <c r="A645" s="112">
        <v>642</v>
      </c>
      <c r="B645" s="113">
        <v>42559</v>
      </c>
      <c r="C645" s="114">
        <v>45.37</v>
      </c>
      <c r="D645" s="115">
        <f t="shared" si="94"/>
        <v>48.139499999999998</v>
      </c>
      <c r="E645" s="115">
        <f t="shared" si="90"/>
        <v>-2.7695000000000007</v>
      </c>
      <c r="F645" s="115">
        <f t="shared" si="91"/>
        <v>2.7695000000000007</v>
      </c>
      <c r="G645" s="115">
        <f t="shared" si="92"/>
        <v>7.6701302500000041</v>
      </c>
      <c r="H645" s="115">
        <f t="shared" si="93"/>
        <v>6.1042539122768372E-2</v>
      </c>
      <c r="I645" s="116">
        <f t="shared" si="96"/>
        <v>47.585199999999993</v>
      </c>
      <c r="J645" s="116">
        <f t="shared" si="97"/>
        <v>-2.2151999999999958</v>
      </c>
      <c r="K645" s="116">
        <f t="shared" si="98"/>
        <v>2.2151999999999958</v>
      </c>
      <c r="L645" s="116">
        <f t="shared" si="99"/>
        <v>4.9071110399999815</v>
      </c>
      <c r="M645" s="117">
        <f t="shared" si="95"/>
        <v>-4.8825214899713379E-2</v>
      </c>
    </row>
    <row r="646" spans="1:13">
      <c r="A646" s="112">
        <v>643</v>
      </c>
      <c r="B646" s="107">
        <v>42562</v>
      </c>
      <c r="C646" s="108">
        <v>44.73</v>
      </c>
      <c r="D646" s="115">
        <f t="shared" si="94"/>
        <v>47.881999999999998</v>
      </c>
      <c r="E646" s="115">
        <f t="shared" si="90"/>
        <v>-3.152000000000001</v>
      </c>
      <c r="F646" s="115">
        <f t="shared" si="91"/>
        <v>3.152000000000001</v>
      </c>
      <c r="G646" s="115">
        <f t="shared" si="92"/>
        <v>9.9351040000000062</v>
      </c>
      <c r="H646" s="115">
        <f t="shared" si="93"/>
        <v>7.0467247932036695E-2</v>
      </c>
      <c r="I646" s="116">
        <f t="shared" si="96"/>
        <v>47.586799999999997</v>
      </c>
      <c r="J646" s="116">
        <f t="shared" si="97"/>
        <v>-2.8567999999999998</v>
      </c>
      <c r="K646" s="116">
        <f t="shared" si="98"/>
        <v>2.8567999999999998</v>
      </c>
      <c r="L646" s="116">
        <f t="shared" si="99"/>
        <v>8.1613062399999983</v>
      </c>
      <c r="M646" s="117">
        <f t="shared" si="95"/>
        <v>-6.3867650346523586E-2</v>
      </c>
    </row>
    <row r="647" spans="1:13">
      <c r="A647" s="112">
        <v>644</v>
      </c>
      <c r="B647" s="113">
        <v>42563</v>
      </c>
      <c r="C647" s="114">
        <v>46.82</v>
      </c>
      <c r="D647" s="115">
        <f t="shared" si="94"/>
        <v>47.664000000000001</v>
      </c>
      <c r="E647" s="115">
        <f t="shared" si="90"/>
        <v>-0.84400000000000119</v>
      </c>
      <c r="F647" s="115">
        <f t="shared" si="91"/>
        <v>0.84400000000000119</v>
      </c>
      <c r="G647" s="115">
        <f t="shared" si="92"/>
        <v>0.71233600000000197</v>
      </c>
      <c r="H647" s="115">
        <f t="shared" si="93"/>
        <v>1.8026484408372515E-2</v>
      </c>
      <c r="I647" s="116">
        <f t="shared" si="96"/>
        <v>47.5608</v>
      </c>
      <c r="J647" s="116">
        <f t="shared" si="97"/>
        <v>-0.74080000000000013</v>
      </c>
      <c r="K647" s="116">
        <f t="shared" si="98"/>
        <v>0.74080000000000013</v>
      </c>
      <c r="L647" s="116">
        <f t="shared" si="99"/>
        <v>0.54878464000000016</v>
      </c>
      <c r="M647" s="117">
        <f t="shared" si="95"/>
        <v>-1.5822298163178133E-2</v>
      </c>
    </row>
    <row r="648" spans="1:13">
      <c r="A648" s="112">
        <v>645</v>
      </c>
      <c r="B648" s="107">
        <v>42564</v>
      </c>
      <c r="C648" s="108">
        <v>44.87</v>
      </c>
      <c r="D648" s="115">
        <f t="shared" si="94"/>
        <v>47.560500000000005</v>
      </c>
      <c r="E648" s="115">
        <f t="shared" si="90"/>
        <v>-2.6905000000000072</v>
      </c>
      <c r="F648" s="115">
        <f t="shared" si="91"/>
        <v>2.6905000000000072</v>
      </c>
      <c r="G648" s="115">
        <f t="shared" si="92"/>
        <v>7.2387902500000392</v>
      </c>
      <c r="H648" s="115">
        <f t="shared" si="93"/>
        <v>5.9962112770225257E-2</v>
      </c>
      <c r="I648" s="116">
        <f t="shared" si="96"/>
        <v>47.577600000000004</v>
      </c>
      <c r="J648" s="116">
        <f t="shared" si="97"/>
        <v>-2.7076000000000064</v>
      </c>
      <c r="K648" s="116">
        <f t="shared" si="98"/>
        <v>2.7076000000000064</v>
      </c>
      <c r="L648" s="116">
        <f t="shared" si="99"/>
        <v>7.3310977600000351</v>
      </c>
      <c r="M648" s="117">
        <f t="shared" si="95"/>
        <v>-6.034321372854929E-2</v>
      </c>
    </row>
    <row r="649" spans="1:13">
      <c r="A649" s="112">
        <v>646</v>
      </c>
      <c r="B649" s="113">
        <v>42565</v>
      </c>
      <c r="C649" s="114">
        <v>45.64</v>
      </c>
      <c r="D649" s="115">
        <f t="shared" si="94"/>
        <v>47.379500000000007</v>
      </c>
      <c r="E649" s="115">
        <f t="shared" si="90"/>
        <v>-1.7395000000000067</v>
      </c>
      <c r="F649" s="115">
        <f t="shared" si="91"/>
        <v>1.7395000000000067</v>
      </c>
      <c r="G649" s="115">
        <f t="shared" si="92"/>
        <v>3.0258602500000231</v>
      </c>
      <c r="H649" s="115">
        <f t="shared" si="93"/>
        <v>3.8113496932515485E-2</v>
      </c>
      <c r="I649" s="116">
        <f t="shared" si="96"/>
        <v>47.58</v>
      </c>
      <c r="J649" s="116">
        <f t="shared" si="97"/>
        <v>-1.9399999999999977</v>
      </c>
      <c r="K649" s="116">
        <f t="shared" si="98"/>
        <v>1.9399999999999977</v>
      </c>
      <c r="L649" s="116">
        <f t="shared" si="99"/>
        <v>3.7635999999999914</v>
      </c>
      <c r="M649" s="117">
        <f t="shared" si="95"/>
        <v>-4.250657318141976E-2</v>
      </c>
    </row>
    <row r="650" spans="1:13">
      <c r="A650" s="112">
        <v>647</v>
      </c>
      <c r="B650" s="107">
        <v>42566</v>
      </c>
      <c r="C650" s="108">
        <v>45.93</v>
      </c>
      <c r="D650" s="115">
        <f t="shared" si="94"/>
        <v>47.26550000000001</v>
      </c>
      <c r="E650" s="115">
        <f t="shared" si="90"/>
        <v>-1.3355000000000103</v>
      </c>
      <c r="F650" s="115">
        <f t="shared" si="91"/>
        <v>1.3355000000000103</v>
      </c>
      <c r="G650" s="115">
        <f t="shared" si="92"/>
        <v>1.7835602500000276</v>
      </c>
      <c r="H650" s="115">
        <f t="shared" si="93"/>
        <v>2.9076856085347495E-2</v>
      </c>
      <c r="I650" s="116">
        <f t="shared" si="96"/>
        <v>47.619799999999998</v>
      </c>
      <c r="J650" s="116">
        <f t="shared" si="97"/>
        <v>-1.6897999999999982</v>
      </c>
      <c r="K650" s="116">
        <f t="shared" si="98"/>
        <v>1.6897999999999982</v>
      </c>
      <c r="L650" s="116">
        <f t="shared" si="99"/>
        <v>2.8554240399999937</v>
      </c>
      <c r="M650" s="117">
        <f t="shared" si="95"/>
        <v>-3.6790768560853435E-2</v>
      </c>
    </row>
    <row r="651" spans="1:13">
      <c r="A651" s="112">
        <v>648</v>
      </c>
      <c r="B651" s="113">
        <v>42569</v>
      </c>
      <c r="C651" s="114">
        <v>45.23</v>
      </c>
      <c r="D651" s="115">
        <f t="shared" si="94"/>
        <v>47.25500000000001</v>
      </c>
      <c r="E651" s="115">
        <f t="shared" si="90"/>
        <v>-2.0250000000000128</v>
      </c>
      <c r="F651" s="115">
        <f t="shared" si="91"/>
        <v>2.0250000000000128</v>
      </c>
      <c r="G651" s="115">
        <f t="shared" si="92"/>
        <v>4.1006250000000515</v>
      </c>
      <c r="H651" s="115">
        <f t="shared" si="93"/>
        <v>4.4771169577714195E-2</v>
      </c>
      <c r="I651" s="116">
        <f t="shared" si="96"/>
        <v>47.66299999999999</v>
      </c>
      <c r="J651" s="116">
        <f t="shared" si="97"/>
        <v>-2.4329999999999927</v>
      </c>
      <c r="K651" s="116">
        <f t="shared" si="98"/>
        <v>2.4329999999999927</v>
      </c>
      <c r="L651" s="116">
        <f t="shared" si="99"/>
        <v>5.9194889999999649</v>
      </c>
      <c r="M651" s="117">
        <f t="shared" si="95"/>
        <v>-5.3791731151890183E-2</v>
      </c>
    </row>
    <row r="652" spans="1:13">
      <c r="A652" s="112">
        <v>649</v>
      </c>
      <c r="B652" s="107">
        <v>42570</v>
      </c>
      <c r="C652" s="108">
        <v>44.64</v>
      </c>
      <c r="D652" s="115">
        <f t="shared" si="94"/>
        <v>47.116500000000002</v>
      </c>
      <c r="E652" s="115">
        <f t="shared" si="90"/>
        <v>-2.4765000000000015</v>
      </c>
      <c r="F652" s="115">
        <f t="shared" si="91"/>
        <v>2.4765000000000015</v>
      </c>
      <c r="G652" s="115">
        <f t="shared" si="92"/>
        <v>6.1330522500000075</v>
      </c>
      <c r="H652" s="115">
        <f t="shared" si="93"/>
        <v>5.547715053763444E-2</v>
      </c>
      <c r="I652" s="116">
        <f t="shared" si="96"/>
        <v>47.680999999999997</v>
      </c>
      <c r="J652" s="116">
        <f t="shared" si="97"/>
        <v>-3.0409999999999968</v>
      </c>
      <c r="K652" s="116">
        <f t="shared" si="98"/>
        <v>3.0409999999999968</v>
      </c>
      <c r="L652" s="116">
        <f t="shared" si="99"/>
        <v>9.2476809999999805</v>
      </c>
      <c r="M652" s="117">
        <f t="shared" si="95"/>
        <v>-6.8122759856630757E-2</v>
      </c>
    </row>
    <row r="653" spans="1:13">
      <c r="A653" s="112">
        <v>650</v>
      </c>
      <c r="B653" s="113">
        <v>42571</v>
      </c>
      <c r="C653" s="114">
        <v>44.96</v>
      </c>
      <c r="D653" s="115">
        <f t="shared" si="94"/>
        <v>46.878500000000003</v>
      </c>
      <c r="E653" s="115">
        <f t="shared" si="90"/>
        <v>-1.9185000000000016</v>
      </c>
      <c r="F653" s="115">
        <f t="shared" si="91"/>
        <v>1.9185000000000016</v>
      </c>
      <c r="G653" s="115">
        <f t="shared" si="92"/>
        <v>3.6806422500000062</v>
      </c>
      <c r="H653" s="115">
        <f t="shared" si="93"/>
        <v>4.2671263345195769E-2</v>
      </c>
      <c r="I653" s="116">
        <f t="shared" si="96"/>
        <v>47.682199999999995</v>
      </c>
      <c r="J653" s="116">
        <f t="shared" si="97"/>
        <v>-2.7221999999999937</v>
      </c>
      <c r="K653" s="116">
        <f t="shared" si="98"/>
        <v>2.7221999999999937</v>
      </c>
      <c r="L653" s="116">
        <f t="shared" si="99"/>
        <v>7.4103728399999662</v>
      </c>
      <c r="M653" s="117">
        <f t="shared" si="95"/>
        <v>-6.0547153024910892E-2</v>
      </c>
    </row>
    <row r="654" spans="1:13">
      <c r="A654" s="112">
        <v>651</v>
      </c>
      <c r="B654" s="107">
        <v>42572</v>
      </c>
      <c r="C654" s="108">
        <v>43.96</v>
      </c>
      <c r="D654" s="115">
        <f t="shared" si="94"/>
        <v>46.679000000000002</v>
      </c>
      <c r="E654" s="115">
        <f t="shared" si="90"/>
        <v>-2.7190000000000012</v>
      </c>
      <c r="F654" s="115">
        <f t="shared" si="91"/>
        <v>2.7190000000000012</v>
      </c>
      <c r="G654" s="115">
        <f t="shared" si="92"/>
        <v>7.3929610000000068</v>
      </c>
      <c r="H654" s="115">
        <f t="shared" si="93"/>
        <v>6.1851683348498658E-2</v>
      </c>
      <c r="I654" s="116">
        <f t="shared" si="96"/>
        <v>47.712399999999995</v>
      </c>
      <c r="J654" s="116">
        <f t="shared" si="97"/>
        <v>-3.7523999999999944</v>
      </c>
      <c r="K654" s="116">
        <f t="shared" si="98"/>
        <v>3.7523999999999944</v>
      </c>
      <c r="L654" s="116">
        <f t="shared" si="99"/>
        <v>14.080505759999959</v>
      </c>
      <c r="M654" s="117">
        <f t="shared" si="95"/>
        <v>-8.535941765241116E-2</v>
      </c>
    </row>
    <row r="655" spans="1:13">
      <c r="A655" s="112">
        <v>652</v>
      </c>
      <c r="B655" s="113">
        <v>42573</v>
      </c>
      <c r="C655" s="114">
        <v>43.41</v>
      </c>
      <c r="D655" s="115">
        <f t="shared" si="94"/>
        <v>46.419000000000004</v>
      </c>
      <c r="E655" s="115">
        <f t="shared" si="90"/>
        <v>-3.0090000000000074</v>
      </c>
      <c r="F655" s="115">
        <f t="shared" si="91"/>
        <v>3.0090000000000074</v>
      </c>
      <c r="G655" s="115">
        <f t="shared" si="92"/>
        <v>9.0540810000000445</v>
      </c>
      <c r="H655" s="115">
        <f t="shared" si="93"/>
        <v>6.9315825846579304E-2</v>
      </c>
      <c r="I655" s="116">
        <f t="shared" si="96"/>
        <v>47.698</v>
      </c>
      <c r="J655" s="116">
        <f t="shared" si="97"/>
        <v>-4.2880000000000038</v>
      </c>
      <c r="K655" s="116">
        <f t="shared" si="98"/>
        <v>4.2880000000000038</v>
      </c>
      <c r="L655" s="116">
        <f t="shared" si="99"/>
        <v>18.386944000000032</v>
      </c>
      <c r="M655" s="117">
        <f t="shared" si="95"/>
        <v>-9.8779083160562178E-2</v>
      </c>
    </row>
    <row r="656" spans="1:13">
      <c r="A656" s="112">
        <v>653</v>
      </c>
      <c r="B656" s="107">
        <v>42576</v>
      </c>
      <c r="C656" s="108">
        <v>42.4</v>
      </c>
      <c r="D656" s="115">
        <f t="shared" si="94"/>
        <v>46.122500000000002</v>
      </c>
      <c r="E656" s="115">
        <f t="shared" si="90"/>
        <v>-3.7225000000000037</v>
      </c>
      <c r="F656" s="115">
        <f t="shared" si="91"/>
        <v>3.7225000000000037</v>
      </c>
      <c r="G656" s="115">
        <f t="shared" si="92"/>
        <v>13.857006250000028</v>
      </c>
      <c r="H656" s="115">
        <f t="shared" si="93"/>
        <v>8.7794811320754812E-2</v>
      </c>
      <c r="I656" s="116">
        <f t="shared" si="96"/>
        <v>47.641999999999996</v>
      </c>
      <c r="J656" s="116">
        <f t="shared" si="97"/>
        <v>-5.2419999999999973</v>
      </c>
      <c r="K656" s="116">
        <f t="shared" si="98"/>
        <v>5.2419999999999973</v>
      </c>
      <c r="L656" s="116">
        <f t="shared" si="99"/>
        <v>27.47856399999997</v>
      </c>
      <c r="M656" s="117">
        <f t="shared" si="95"/>
        <v>-0.12363207547169805</v>
      </c>
    </row>
    <row r="657" spans="1:13">
      <c r="A657" s="112">
        <v>654</v>
      </c>
      <c r="B657" s="113">
        <v>42577</v>
      </c>
      <c r="C657" s="114">
        <v>42.16</v>
      </c>
      <c r="D657" s="115">
        <f t="shared" si="94"/>
        <v>45.907500000000006</v>
      </c>
      <c r="E657" s="115">
        <f t="shared" si="90"/>
        <v>-3.7475000000000094</v>
      </c>
      <c r="F657" s="115">
        <f t="shared" si="91"/>
        <v>3.7475000000000094</v>
      </c>
      <c r="G657" s="115">
        <f t="shared" si="92"/>
        <v>14.043756250000071</v>
      </c>
      <c r="H657" s="115">
        <f t="shared" si="93"/>
        <v>8.8887571157495487E-2</v>
      </c>
      <c r="I657" s="116">
        <f t="shared" si="96"/>
        <v>47.557200000000002</v>
      </c>
      <c r="J657" s="116">
        <f t="shared" si="97"/>
        <v>-5.3972000000000051</v>
      </c>
      <c r="K657" s="116">
        <f t="shared" si="98"/>
        <v>5.3972000000000051</v>
      </c>
      <c r="L657" s="116">
        <f t="shared" si="99"/>
        <v>29.129767840000056</v>
      </c>
      <c r="M657" s="117">
        <f t="shared" si="95"/>
        <v>-0.12801707779886162</v>
      </c>
    </row>
    <row r="658" spans="1:13">
      <c r="A658" s="112">
        <v>655</v>
      </c>
      <c r="B658" s="107">
        <v>42578</v>
      </c>
      <c r="C658" s="108">
        <v>41.9</v>
      </c>
      <c r="D658" s="115">
        <f t="shared" si="94"/>
        <v>45.725499999999997</v>
      </c>
      <c r="E658" s="115">
        <f t="shared" si="90"/>
        <v>-3.8254999999999981</v>
      </c>
      <c r="F658" s="115">
        <f t="shared" si="91"/>
        <v>3.8254999999999981</v>
      </c>
      <c r="G658" s="115">
        <f t="shared" si="92"/>
        <v>14.634450249999986</v>
      </c>
      <c r="H658" s="115">
        <f t="shared" si="93"/>
        <v>9.1300715990453418E-2</v>
      </c>
      <c r="I658" s="116">
        <f t="shared" si="96"/>
        <v>47.475999999999992</v>
      </c>
      <c r="J658" s="116">
        <f t="shared" si="97"/>
        <v>-5.5759999999999934</v>
      </c>
      <c r="K658" s="116">
        <f t="shared" si="98"/>
        <v>5.5759999999999934</v>
      </c>
      <c r="L658" s="116">
        <f t="shared" si="99"/>
        <v>31.091775999999925</v>
      </c>
      <c r="M658" s="117">
        <f t="shared" si="95"/>
        <v>-0.13307875894988053</v>
      </c>
    </row>
    <row r="659" spans="1:13">
      <c r="A659" s="112">
        <v>656</v>
      </c>
      <c r="B659" s="113">
        <v>42579</v>
      </c>
      <c r="C659" s="114">
        <v>41.13</v>
      </c>
      <c r="D659" s="115">
        <f t="shared" si="94"/>
        <v>45.423999999999999</v>
      </c>
      <c r="E659" s="115">
        <f t="shared" si="90"/>
        <v>-4.2939999999999969</v>
      </c>
      <c r="F659" s="115">
        <f t="shared" si="91"/>
        <v>4.2939999999999969</v>
      </c>
      <c r="G659" s="115">
        <f t="shared" si="92"/>
        <v>18.438435999999975</v>
      </c>
      <c r="H659" s="115">
        <f t="shared" si="93"/>
        <v>0.10440068076829556</v>
      </c>
      <c r="I659" s="116">
        <f t="shared" si="96"/>
        <v>47.3596</v>
      </c>
      <c r="J659" s="116">
        <f t="shared" si="97"/>
        <v>-6.2295999999999978</v>
      </c>
      <c r="K659" s="116">
        <f t="shared" si="98"/>
        <v>6.2295999999999978</v>
      </c>
      <c r="L659" s="116">
        <f t="shared" si="99"/>
        <v>38.807916159999969</v>
      </c>
      <c r="M659" s="117">
        <f t="shared" si="95"/>
        <v>-0.15146122052030142</v>
      </c>
    </row>
    <row r="660" spans="1:13">
      <c r="A660" s="112">
        <v>657</v>
      </c>
      <c r="B660" s="107">
        <v>42580</v>
      </c>
      <c r="C660" s="108">
        <v>41.54</v>
      </c>
      <c r="D660" s="115">
        <f t="shared" si="94"/>
        <v>44.988</v>
      </c>
      <c r="E660" s="115">
        <f t="shared" si="90"/>
        <v>-3.4480000000000004</v>
      </c>
      <c r="F660" s="115">
        <f t="shared" si="91"/>
        <v>3.4480000000000004</v>
      </c>
      <c r="G660" s="115">
        <f t="shared" si="92"/>
        <v>11.888704000000002</v>
      </c>
      <c r="H660" s="115">
        <f t="shared" si="93"/>
        <v>8.300433317284546E-2</v>
      </c>
      <c r="I660" s="116">
        <f t="shared" si="96"/>
        <v>47.2164</v>
      </c>
      <c r="J660" s="116">
        <f t="shared" si="97"/>
        <v>-5.676400000000001</v>
      </c>
      <c r="K660" s="116">
        <f t="shared" si="98"/>
        <v>5.676400000000001</v>
      </c>
      <c r="L660" s="116">
        <f t="shared" si="99"/>
        <v>32.22151696000001</v>
      </c>
      <c r="M660" s="117">
        <f t="shared" si="95"/>
        <v>-0.13664901299951857</v>
      </c>
    </row>
    <row r="661" spans="1:13">
      <c r="A661" s="112">
        <v>658</v>
      </c>
      <c r="B661" s="113">
        <v>42583</v>
      </c>
      <c r="C661" s="114">
        <v>40.049999999999997</v>
      </c>
      <c r="D661" s="115">
        <f t="shared" si="94"/>
        <v>44.651499999999999</v>
      </c>
      <c r="E661" s="115">
        <f t="shared" si="90"/>
        <v>-4.6015000000000015</v>
      </c>
      <c r="F661" s="115">
        <f t="shared" si="91"/>
        <v>4.6015000000000015</v>
      </c>
      <c r="G661" s="115">
        <f t="shared" si="92"/>
        <v>21.173802250000012</v>
      </c>
      <c r="H661" s="115">
        <f t="shared" si="93"/>
        <v>0.11489388264669168</v>
      </c>
      <c r="I661" s="116">
        <f t="shared" si="96"/>
        <v>47.084799999999994</v>
      </c>
      <c r="J661" s="116">
        <f t="shared" si="97"/>
        <v>-7.0347999999999971</v>
      </c>
      <c r="K661" s="116">
        <f t="shared" si="98"/>
        <v>7.0347999999999971</v>
      </c>
      <c r="L661" s="116">
        <f t="shared" si="99"/>
        <v>49.48841103999996</v>
      </c>
      <c r="M661" s="117">
        <f t="shared" si="95"/>
        <v>-0.17565043695380769</v>
      </c>
    </row>
    <row r="662" spans="1:13">
      <c r="A662" s="112">
        <v>659</v>
      </c>
      <c r="B662" s="107">
        <v>42584</v>
      </c>
      <c r="C662" s="108">
        <v>39.5</v>
      </c>
      <c r="D662" s="115">
        <f t="shared" si="94"/>
        <v>44.202999999999989</v>
      </c>
      <c r="E662" s="115">
        <f t="shared" si="90"/>
        <v>-4.7029999999999887</v>
      </c>
      <c r="F662" s="115">
        <f t="shared" si="91"/>
        <v>4.7029999999999887</v>
      </c>
      <c r="G662" s="115">
        <f t="shared" si="92"/>
        <v>22.118208999999894</v>
      </c>
      <c r="H662" s="115">
        <f t="shared" si="93"/>
        <v>0.11906329113924022</v>
      </c>
      <c r="I662" s="116">
        <f t="shared" si="96"/>
        <v>46.922600000000003</v>
      </c>
      <c r="J662" s="116">
        <f t="shared" si="97"/>
        <v>-7.4226000000000028</v>
      </c>
      <c r="K662" s="116">
        <f t="shared" si="98"/>
        <v>7.4226000000000028</v>
      </c>
      <c r="L662" s="116">
        <f t="shared" si="99"/>
        <v>55.094990760000044</v>
      </c>
      <c r="M662" s="117">
        <f t="shared" si="95"/>
        <v>-0.18791392405063298</v>
      </c>
    </row>
    <row r="663" spans="1:13">
      <c r="A663" s="112">
        <v>660</v>
      </c>
      <c r="B663" s="113">
        <v>42585</v>
      </c>
      <c r="C663" s="114">
        <v>40.799999999999997</v>
      </c>
      <c r="D663" s="115">
        <f t="shared" si="94"/>
        <v>43.841499999999989</v>
      </c>
      <c r="E663" s="115">
        <f t="shared" si="90"/>
        <v>-3.0414999999999921</v>
      </c>
      <c r="F663" s="115">
        <f t="shared" si="91"/>
        <v>3.0414999999999921</v>
      </c>
      <c r="G663" s="115">
        <f t="shared" si="92"/>
        <v>9.2507222499999511</v>
      </c>
      <c r="H663" s="115">
        <f t="shared" si="93"/>
        <v>7.4546568627450793E-2</v>
      </c>
      <c r="I663" s="116">
        <f t="shared" si="96"/>
        <v>46.7592</v>
      </c>
      <c r="J663" s="116">
        <f t="shared" si="97"/>
        <v>-5.9592000000000027</v>
      </c>
      <c r="K663" s="116">
        <f t="shared" si="98"/>
        <v>5.9592000000000027</v>
      </c>
      <c r="L663" s="116">
        <f t="shared" si="99"/>
        <v>35.512064640000034</v>
      </c>
      <c r="M663" s="117">
        <f t="shared" si="95"/>
        <v>-0.14605882352941185</v>
      </c>
    </row>
    <row r="664" spans="1:13">
      <c r="A664" s="112">
        <v>661</v>
      </c>
      <c r="B664" s="107">
        <v>42586</v>
      </c>
      <c r="C664" s="108">
        <v>41.92</v>
      </c>
      <c r="D664" s="115">
        <f t="shared" si="94"/>
        <v>43.512999999999991</v>
      </c>
      <c r="E664" s="115">
        <f t="shared" ref="E664:E727" si="100">C664-D664</f>
        <v>-1.5929999999999893</v>
      </c>
      <c r="F664" s="115">
        <f t="shared" ref="F664:F727" si="101">ABS(E664)</f>
        <v>1.5929999999999893</v>
      </c>
      <c r="G664" s="115">
        <f t="shared" ref="G664:G727" si="102">E664^2</f>
        <v>2.5376489999999658</v>
      </c>
      <c r="H664" s="115">
        <f t="shared" ref="H664:H727" si="103">F664/C664</f>
        <v>3.8000954198473026E-2</v>
      </c>
      <c r="I664" s="116">
        <f t="shared" si="96"/>
        <v>46.612800000000007</v>
      </c>
      <c r="J664" s="116">
        <f t="shared" si="97"/>
        <v>-4.6928000000000054</v>
      </c>
      <c r="K664" s="116">
        <f t="shared" si="98"/>
        <v>4.6928000000000054</v>
      </c>
      <c r="L664" s="116">
        <f t="shared" si="99"/>
        <v>22.022371840000051</v>
      </c>
      <c r="M664" s="117">
        <f t="shared" si="95"/>
        <v>-0.11194656488549631</v>
      </c>
    </row>
    <row r="665" spans="1:13">
      <c r="A665" s="112">
        <v>662</v>
      </c>
      <c r="B665" s="113">
        <v>42587</v>
      </c>
      <c r="C665" s="114">
        <v>41.83</v>
      </c>
      <c r="D665" s="115">
        <f t="shared" si="94"/>
        <v>43.347999999999985</v>
      </c>
      <c r="E665" s="115">
        <f t="shared" si="100"/>
        <v>-1.5179999999999865</v>
      </c>
      <c r="F665" s="115">
        <f t="shared" si="101"/>
        <v>1.5179999999999865</v>
      </c>
      <c r="G665" s="115">
        <f t="shared" si="102"/>
        <v>2.304323999999959</v>
      </c>
      <c r="H665" s="115">
        <f t="shared" si="103"/>
        <v>3.6289744202724995E-2</v>
      </c>
      <c r="I665" s="116">
        <f t="shared" si="96"/>
        <v>46.490400000000008</v>
      </c>
      <c r="J665" s="116">
        <f t="shared" si="97"/>
        <v>-4.6604000000000099</v>
      </c>
      <c r="K665" s="116">
        <f t="shared" si="98"/>
        <v>4.6604000000000099</v>
      </c>
      <c r="L665" s="116">
        <f t="shared" si="99"/>
        <v>21.719328160000092</v>
      </c>
      <c r="M665" s="117">
        <f t="shared" si="95"/>
        <v>-0.11141286158259646</v>
      </c>
    </row>
    <row r="666" spans="1:13">
      <c r="A666" s="112">
        <v>663</v>
      </c>
      <c r="B666" s="107">
        <v>42590</v>
      </c>
      <c r="C666" s="108">
        <v>43.06</v>
      </c>
      <c r="D666" s="115">
        <f t="shared" ref="D666:D729" si="104">AVERAGE(C646:C665)</f>
        <v>43.170999999999985</v>
      </c>
      <c r="E666" s="115">
        <f t="shared" si="100"/>
        <v>-0.11099999999998289</v>
      </c>
      <c r="F666" s="115">
        <f t="shared" si="101"/>
        <v>0.11099999999998289</v>
      </c>
      <c r="G666" s="115">
        <f t="shared" si="102"/>
        <v>1.2320999999996201E-2</v>
      </c>
      <c r="H666" s="115">
        <f t="shared" si="103"/>
        <v>2.5777984208077771E-3</v>
      </c>
      <c r="I666" s="116">
        <f t="shared" si="96"/>
        <v>46.345000000000006</v>
      </c>
      <c r="J666" s="116">
        <f t="shared" si="97"/>
        <v>-3.2850000000000037</v>
      </c>
      <c r="K666" s="116">
        <f t="shared" si="98"/>
        <v>3.2850000000000037</v>
      </c>
      <c r="L666" s="116">
        <f t="shared" si="99"/>
        <v>10.791225000000024</v>
      </c>
      <c r="M666" s="117">
        <f t="shared" si="95"/>
        <v>-7.6288899210404174E-2</v>
      </c>
    </row>
    <row r="667" spans="1:13">
      <c r="A667" s="112">
        <v>664</v>
      </c>
      <c r="B667" s="113">
        <v>42591</v>
      </c>
      <c r="C667" s="114">
        <v>42.78</v>
      </c>
      <c r="D667" s="115">
        <f t="shared" si="104"/>
        <v>43.087499999999991</v>
      </c>
      <c r="E667" s="115">
        <f t="shared" si="100"/>
        <v>-0.30749999999999034</v>
      </c>
      <c r="F667" s="115">
        <f t="shared" si="101"/>
        <v>0.30749999999999034</v>
      </c>
      <c r="G667" s="115">
        <f t="shared" si="102"/>
        <v>9.4556249999994055E-2</v>
      </c>
      <c r="H667" s="115">
        <f t="shared" si="103"/>
        <v>7.1879382889198304E-3</v>
      </c>
      <c r="I667" s="116">
        <f t="shared" si="96"/>
        <v>46.22620000000002</v>
      </c>
      <c r="J667" s="116">
        <f t="shared" si="97"/>
        <v>-3.4462000000000188</v>
      </c>
      <c r="K667" s="116">
        <f t="shared" si="98"/>
        <v>3.4462000000000188</v>
      </c>
      <c r="L667" s="116">
        <f t="shared" si="99"/>
        <v>11.87629444000013</v>
      </c>
      <c r="M667" s="117">
        <f t="shared" si="95"/>
        <v>-8.0556334735858312E-2</v>
      </c>
    </row>
    <row r="668" spans="1:13">
      <c r="A668" s="112">
        <v>665</v>
      </c>
      <c r="B668" s="107">
        <v>42592</v>
      </c>
      <c r="C668" s="108">
        <v>41.75</v>
      </c>
      <c r="D668" s="115">
        <f t="shared" si="104"/>
        <v>42.885499999999993</v>
      </c>
      <c r="E668" s="115">
        <f t="shared" si="100"/>
        <v>-1.1354999999999933</v>
      </c>
      <c r="F668" s="115">
        <f t="shared" si="101"/>
        <v>1.1354999999999933</v>
      </c>
      <c r="G668" s="115">
        <f t="shared" si="102"/>
        <v>1.2893602499999848</v>
      </c>
      <c r="H668" s="115">
        <f t="shared" si="103"/>
        <v>2.7197604790419001E-2</v>
      </c>
      <c r="I668" s="116">
        <f t="shared" si="96"/>
        <v>46.094600000000007</v>
      </c>
      <c r="J668" s="116">
        <f t="shared" si="97"/>
        <v>-4.3446000000000069</v>
      </c>
      <c r="K668" s="116">
        <f t="shared" si="98"/>
        <v>4.3446000000000069</v>
      </c>
      <c r="L668" s="116">
        <f t="shared" si="99"/>
        <v>18.875549160000059</v>
      </c>
      <c r="M668" s="117">
        <f t="shared" si="95"/>
        <v>-0.10406227544910196</v>
      </c>
    </row>
    <row r="669" spans="1:13">
      <c r="A669" s="112">
        <v>666</v>
      </c>
      <c r="B669" s="113">
        <v>42593</v>
      </c>
      <c r="C669" s="114">
        <v>43.51</v>
      </c>
      <c r="D669" s="115">
        <f t="shared" si="104"/>
        <v>42.729499999999987</v>
      </c>
      <c r="E669" s="115">
        <f t="shared" si="100"/>
        <v>0.78050000000001063</v>
      </c>
      <c r="F669" s="115">
        <f t="shared" si="101"/>
        <v>0.78050000000001063</v>
      </c>
      <c r="G669" s="115">
        <f t="shared" si="102"/>
        <v>0.60918025000001663</v>
      </c>
      <c r="H669" s="115">
        <f t="shared" si="103"/>
        <v>1.7938404964376251E-2</v>
      </c>
      <c r="I669" s="116">
        <f t="shared" si="96"/>
        <v>45.947600000000008</v>
      </c>
      <c r="J669" s="116">
        <f t="shared" si="97"/>
        <v>-2.4376000000000104</v>
      </c>
      <c r="K669" s="116">
        <f t="shared" si="98"/>
        <v>2.4376000000000104</v>
      </c>
      <c r="L669" s="116">
        <f t="shared" si="99"/>
        <v>5.9418937600000508</v>
      </c>
      <c r="M669" s="117">
        <f t="shared" si="95"/>
        <v>-5.6023902551137914E-2</v>
      </c>
    </row>
    <row r="670" spans="1:13">
      <c r="A670" s="112">
        <v>667</v>
      </c>
      <c r="B670" s="107">
        <v>42594</v>
      </c>
      <c r="C670" s="108">
        <v>44.47</v>
      </c>
      <c r="D670" s="115">
        <f t="shared" si="104"/>
        <v>42.62299999999999</v>
      </c>
      <c r="E670" s="115">
        <f t="shared" si="100"/>
        <v>1.8470000000000084</v>
      </c>
      <c r="F670" s="115">
        <f t="shared" si="101"/>
        <v>1.8470000000000084</v>
      </c>
      <c r="G670" s="115">
        <f t="shared" si="102"/>
        <v>3.411409000000031</v>
      </c>
      <c r="H670" s="115">
        <f t="shared" si="103"/>
        <v>4.15336181695527E-2</v>
      </c>
      <c r="I670" s="116">
        <f t="shared" si="96"/>
        <v>45.836400000000012</v>
      </c>
      <c r="J670" s="116">
        <f t="shared" si="97"/>
        <v>-1.3664000000000129</v>
      </c>
      <c r="K670" s="116">
        <f t="shared" si="98"/>
        <v>1.3664000000000129</v>
      </c>
      <c r="L670" s="116">
        <f t="shared" si="99"/>
        <v>1.8670489600000353</v>
      </c>
      <c r="M670" s="117">
        <f t="shared" si="95"/>
        <v>-3.0726332358893927E-2</v>
      </c>
    </row>
    <row r="671" spans="1:13">
      <c r="A671" s="112">
        <v>668</v>
      </c>
      <c r="B671" s="113">
        <v>42597</v>
      </c>
      <c r="C671" s="114">
        <v>45.72</v>
      </c>
      <c r="D671" s="115">
        <f t="shared" si="104"/>
        <v>42.55</v>
      </c>
      <c r="E671" s="115">
        <f t="shared" si="100"/>
        <v>3.1700000000000017</v>
      </c>
      <c r="F671" s="115">
        <f t="shared" si="101"/>
        <v>3.1700000000000017</v>
      </c>
      <c r="G671" s="115">
        <f t="shared" si="102"/>
        <v>10.04890000000001</v>
      </c>
      <c r="H671" s="115">
        <f t="shared" si="103"/>
        <v>6.9335083114610715E-2</v>
      </c>
      <c r="I671" s="116">
        <f t="shared" si="96"/>
        <v>45.743000000000009</v>
      </c>
      <c r="J671" s="116">
        <f t="shared" si="97"/>
        <v>-2.3000000000010346E-2</v>
      </c>
      <c r="K671" s="116">
        <f t="shared" si="98"/>
        <v>2.3000000000010346E-2</v>
      </c>
      <c r="L671" s="116">
        <f t="shared" si="99"/>
        <v>5.2900000000047592E-4</v>
      </c>
      <c r="M671" s="117">
        <f t="shared" si="95"/>
        <v>-5.0306211723557192E-4</v>
      </c>
    </row>
    <row r="672" spans="1:13">
      <c r="A672" s="112">
        <v>669</v>
      </c>
      <c r="B672" s="107">
        <v>42598</v>
      </c>
      <c r="C672" s="108">
        <v>46.57</v>
      </c>
      <c r="D672" s="115">
        <f t="shared" si="104"/>
        <v>42.5745</v>
      </c>
      <c r="E672" s="115">
        <f t="shared" si="100"/>
        <v>3.9954999999999998</v>
      </c>
      <c r="F672" s="115">
        <f t="shared" si="101"/>
        <v>3.9954999999999998</v>
      </c>
      <c r="G672" s="115">
        <f t="shared" si="102"/>
        <v>15.964020249999999</v>
      </c>
      <c r="H672" s="115">
        <f t="shared" si="103"/>
        <v>8.5795576551427957E-2</v>
      </c>
      <c r="I672" s="116">
        <f t="shared" si="96"/>
        <v>45.683600000000006</v>
      </c>
      <c r="J672" s="116">
        <f t="shared" si="97"/>
        <v>0.88639999999999475</v>
      </c>
      <c r="K672" s="116">
        <f t="shared" si="98"/>
        <v>0.88639999999999475</v>
      </c>
      <c r="L672" s="116">
        <f t="shared" si="99"/>
        <v>0.78570495999999068</v>
      </c>
      <c r="M672" s="117">
        <f t="shared" si="95"/>
        <v>1.9033712690573218E-2</v>
      </c>
    </row>
    <row r="673" spans="1:13">
      <c r="A673" s="112">
        <v>670</v>
      </c>
      <c r="B673" s="113">
        <v>42599</v>
      </c>
      <c r="C673" s="114">
        <v>46.81</v>
      </c>
      <c r="D673" s="115">
        <f t="shared" si="104"/>
        <v>42.671000000000006</v>
      </c>
      <c r="E673" s="115">
        <f t="shared" si="100"/>
        <v>4.1389999999999958</v>
      </c>
      <c r="F673" s="115">
        <f t="shared" si="101"/>
        <v>4.1389999999999958</v>
      </c>
      <c r="G673" s="115">
        <f t="shared" si="102"/>
        <v>17.131320999999964</v>
      </c>
      <c r="H673" s="115">
        <f t="shared" si="103"/>
        <v>8.8421277504806578E-2</v>
      </c>
      <c r="I673" s="116">
        <f t="shared" si="96"/>
        <v>45.62080000000001</v>
      </c>
      <c r="J673" s="116">
        <f t="shared" si="97"/>
        <v>1.1891999999999925</v>
      </c>
      <c r="K673" s="116">
        <f t="shared" si="98"/>
        <v>1.1891999999999925</v>
      </c>
      <c r="L673" s="116">
        <f t="shared" si="99"/>
        <v>1.4141966399999821</v>
      </c>
      <c r="M673" s="117">
        <f t="shared" si="95"/>
        <v>2.5404828028198941E-2</v>
      </c>
    </row>
    <row r="674" spans="1:13">
      <c r="A674" s="112">
        <v>671</v>
      </c>
      <c r="B674" s="107">
        <v>42600</v>
      </c>
      <c r="C674" s="108">
        <v>48.2</v>
      </c>
      <c r="D674" s="115">
        <f t="shared" si="104"/>
        <v>42.763500000000008</v>
      </c>
      <c r="E674" s="115">
        <f t="shared" si="100"/>
        <v>5.4364999999999952</v>
      </c>
      <c r="F674" s="115">
        <f t="shared" si="101"/>
        <v>5.4364999999999952</v>
      </c>
      <c r="G674" s="115">
        <f t="shared" si="102"/>
        <v>29.555532249999949</v>
      </c>
      <c r="H674" s="115">
        <f t="shared" si="103"/>
        <v>0.11279045643153517</v>
      </c>
      <c r="I674" s="116">
        <f t="shared" si="96"/>
        <v>45.549600000000012</v>
      </c>
      <c r="J674" s="116">
        <f t="shared" si="97"/>
        <v>2.6503999999999905</v>
      </c>
      <c r="K674" s="116">
        <f t="shared" si="98"/>
        <v>2.6503999999999905</v>
      </c>
      <c r="L674" s="116">
        <f t="shared" si="99"/>
        <v>7.0246201599999498</v>
      </c>
      <c r="M674" s="117">
        <f t="shared" si="95"/>
        <v>5.4987551867219715E-2</v>
      </c>
    </row>
    <row r="675" spans="1:13">
      <c r="A675" s="112">
        <v>672</v>
      </c>
      <c r="B675" s="113">
        <v>42601</v>
      </c>
      <c r="C675" s="114">
        <v>48.48</v>
      </c>
      <c r="D675" s="115">
        <f t="shared" si="104"/>
        <v>42.975500000000011</v>
      </c>
      <c r="E675" s="115">
        <f t="shared" si="100"/>
        <v>5.504499999999986</v>
      </c>
      <c r="F675" s="115">
        <f t="shared" si="101"/>
        <v>5.504499999999986</v>
      </c>
      <c r="G675" s="115">
        <f t="shared" si="102"/>
        <v>30.299520249999844</v>
      </c>
      <c r="H675" s="115">
        <f t="shared" si="103"/>
        <v>0.11354166666666639</v>
      </c>
      <c r="I675" s="116">
        <f t="shared" si="96"/>
        <v>45.488999999999997</v>
      </c>
      <c r="J675" s="116">
        <f t="shared" si="97"/>
        <v>2.9909999999999997</v>
      </c>
      <c r="K675" s="116">
        <f t="shared" si="98"/>
        <v>2.9909999999999997</v>
      </c>
      <c r="L675" s="116">
        <f t="shared" si="99"/>
        <v>8.9460809999999977</v>
      </c>
      <c r="M675" s="117">
        <f t="shared" si="95"/>
        <v>6.1695544554455445E-2</v>
      </c>
    </row>
    <row r="676" spans="1:13">
      <c r="A676" s="112">
        <v>673</v>
      </c>
      <c r="B676" s="107">
        <v>42604</v>
      </c>
      <c r="C676" s="108">
        <v>46.8</v>
      </c>
      <c r="D676" s="115">
        <f t="shared" si="104"/>
        <v>43.229000000000006</v>
      </c>
      <c r="E676" s="115">
        <f t="shared" si="100"/>
        <v>3.5709999999999908</v>
      </c>
      <c r="F676" s="115">
        <f t="shared" si="101"/>
        <v>3.5709999999999908</v>
      </c>
      <c r="G676" s="115">
        <f t="shared" si="102"/>
        <v>12.752040999999934</v>
      </c>
      <c r="H676" s="115">
        <f t="shared" si="103"/>
        <v>7.6303418803418607E-2</v>
      </c>
      <c r="I676" s="116">
        <f t="shared" si="96"/>
        <v>45.448200000000007</v>
      </c>
      <c r="J676" s="116">
        <f t="shared" si="97"/>
        <v>1.3517999999999901</v>
      </c>
      <c r="K676" s="116">
        <f t="shared" si="98"/>
        <v>1.3517999999999901</v>
      </c>
      <c r="L676" s="116">
        <f t="shared" si="99"/>
        <v>1.8273632399999733</v>
      </c>
      <c r="M676" s="117">
        <f t="shared" si="95"/>
        <v>2.8884615384615175E-2</v>
      </c>
    </row>
    <row r="677" spans="1:13">
      <c r="A677" s="112">
        <v>674</v>
      </c>
      <c r="B677" s="113">
        <v>42605</v>
      </c>
      <c r="C677" s="114">
        <v>47.54</v>
      </c>
      <c r="D677" s="115">
        <f t="shared" si="104"/>
        <v>43.448999999999998</v>
      </c>
      <c r="E677" s="115">
        <f t="shared" si="100"/>
        <v>4.0910000000000011</v>
      </c>
      <c r="F677" s="115">
        <f t="shared" si="101"/>
        <v>4.0910000000000011</v>
      </c>
      <c r="G677" s="115">
        <f t="shared" si="102"/>
        <v>16.736281000000009</v>
      </c>
      <c r="H677" s="115">
        <f t="shared" si="103"/>
        <v>8.6053849389987405E-2</v>
      </c>
      <c r="I677" s="116">
        <f t="shared" si="96"/>
        <v>45.402400000000014</v>
      </c>
      <c r="J677" s="116">
        <f t="shared" si="97"/>
        <v>2.1375999999999848</v>
      </c>
      <c r="K677" s="116">
        <f t="shared" si="98"/>
        <v>2.1375999999999848</v>
      </c>
      <c r="L677" s="116">
        <f t="shared" si="99"/>
        <v>4.5693337599999353</v>
      </c>
      <c r="M677" s="117">
        <f t="shared" si="95"/>
        <v>4.4964240639461188E-2</v>
      </c>
    </row>
    <row r="678" spans="1:13">
      <c r="A678" s="112">
        <v>675</v>
      </c>
      <c r="B678" s="107">
        <v>42606</v>
      </c>
      <c r="C678" s="108">
        <v>46.29</v>
      </c>
      <c r="D678" s="115">
        <f t="shared" si="104"/>
        <v>43.718000000000004</v>
      </c>
      <c r="E678" s="115">
        <f t="shared" si="100"/>
        <v>2.5719999999999956</v>
      </c>
      <c r="F678" s="115">
        <f t="shared" si="101"/>
        <v>2.5719999999999956</v>
      </c>
      <c r="G678" s="115">
        <f t="shared" si="102"/>
        <v>6.6151839999999771</v>
      </c>
      <c r="H678" s="115">
        <f t="shared" si="103"/>
        <v>5.5562756534888652E-2</v>
      </c>
      <c r="I678" s="116">
        <f t="shared" si="96"/>
        <v>45.37540000000002</v>
      </c>
      <c r="J678" s="116">
        <f t="shared" si="97"/>
        <v>0.91459999999997876</v>
      </c>
      <c r="K678" s="116">
        <f t="shared" si="98"/>
        <v>0.91459999999997876</v>
      </c>
      <c r="L678" s="116">
        <f t="shared" si="99"/>
        <v>0.8364931599999611</v>
      </c>
      <c r="M678" s="117">
        <f t="shared" si="95"/>
        <v>1.9758047094404381E-2</v>
      </c>
    </row>
    <row r="679" spans="1:13">
      <c r="A679" s="112">
        <v>676</v>
      </c>
      <c r="B679" s="113">
        <v>42607</v>
      </c>
      <c r="C679" s="114">
        <v>46.97</v>
      </c>
      <c r="D679" s="115">
        <f t="shared" si="104"/>
        <v>43.9375</v>
      </c>
      <c r="E679" s="115">
        <f t="shared" si="100"/>
        <v>3.0324999999999989</v>
      </c>
      <c r="F679" s="115">
        <f t="shared" si="101"/>
        <v>3.0324999999999989</v>
      </c>
      <c r="G679" s="115">
        <f t="shared" si="102"/>
        <v>9.1960562499999927</v>
      </c>
      <c r="H679" s="115">
        <f t="shared" si="103"/>
        <v>6.4562486693634208E-2</v>
      </c>
      <c r="I679" s="116">
        <f t="shared" si="96"/>
        <v>45.331400000000009</v>
      </c>
      <c r="J679" s="116">
        <f t="shared" si="97"/>
        <v>1.6385999999999896</v>
      </c>
      <c r="K679" s="116">
        <f t="shared" si="98"/>
        <v>1.6385999999999896</v>
      </c>
      <c r="L679" s="116">
        <f t="shared" si="99"/>
        <v>2.6850099599999662</v>
      </c>
      <c r="M679" s="117">
        <f t="shared" si="95"/>
        <v>3.4886097509048107E-2</v>
      </c>
    </row>
    <row r="680" spans="1:13">
      <c r="A680" s="112">
        <v>677</v>
      </c>
      <c r="B680" s="107">
        <v>42608</v>
      </c>
      <c r="C680" s="108">
        <v>47.64</v>
      </c>
      <c r="D680" s="115">
        <f t="shared" si="104"/>
        <v>44.229500000000009</v>
      </c>
      <c r="E680" s="115">
        <f t="shared" si="100"/>
        <v>3.4104999999999919</v>
      </c>
      <c r="F680" s="115">
        <f t="shared" si="101"/>
        <v>3.4104999999999919</v>
      </c>
      <c r="G680" s="115">
        <f t="shared" si="102"/>
        <v>11.631510249999945</v>
      </c>
      <c r="H680" s="115">
        <f t="shared" si="103"/>
        <v>7.1589000839630393E-2</v>
      </c>
      <c r="I680" s="116">
        <f t="shared" si="96"/>
        <v>45.312400000000004</v>
      </c>
      <c r="J680" s="116">
        <f t="shared" si="97"/>
        <v>2.3275999999999968</v>
      </c>
      <c r="K680" s="116">
        <f t="shared" si="98"/>
        <v>2.3275999999999968</v>
      </c>
      <c r="L680" s="116">
        <f t="shared" si="99"/>
        <v>5.417721759999985</v>
      </c>
      <c r="M680" s="117">
        <f t="shared" si="95"/>
        <v>4.8858102434928566E-2</v>
      </c>
    </row>
    <row r="681" spans="1:13">
      <c r="A681" s="112">
        <v>678</v>
      </c>
      <c r="B681" s="113">
        <v>42611</v>
      </c>
      <c r="C681" s="114">
        <v>46.97</v>
      </c>
      <c r="D681" s="115">
        <f t="shared" si="104"/>
        <v>44.534499999999994</v>
      </c>
      <c r="E681" s="115">
        <f t="shared" si="100"/>
        <v>2.4355000000000047</v>
      </c>
      <c r="F681" s="115">
        <f t="shared" si="101"/>
        <v>2.4355000000000047</v>
      </c>
      <c r="G681" s="115">
        <f t="shared" si="102"/>
        <v>5.9316602500000224</v>
      </c>
      <c r="H681" s="115">
        <f t="shared" si="103"/>
        <v>5.1852246114541298E-2</v>
      </c>
      <c r="I681" s="116">
        <f t="shared" si="96"/>
        <v>45.342400000000005</v>
      </c>
      <c r="J681" s="116">
        <f t="shared" si="97"/>
        <v>1.6275999999999939</v>
      </c>
      <c r="K681" s="116">
        <f t="shared" si="98"/>
        <v>1.6275999999999939</v>
      </c>
      <c r="L681" s="116">
        <f t="shared" si="99"/>
        <v>2.6490817599999801</v>
      </c>
      <c r="M681" s="117">
        <f t="shared" si="95"/>
        <v>3.4651905471577475E-2</v>
      </c>
    </row>
    <row r="682" spans="1:13">
      <c r="A682" s="112">
        <v>679</v>
      </c>
      <c r="B682" s="107">
        <v>42612</v>
      </c>
      <c r="C682" s="108">
        <v>46.32</v>
      </c>
      <c r="D682" s="115">
        <f t="shared" si="104"/>
        <v>44.880499999999998</v>
      </c>
      <c r="E682" s="115">
        <f t="shared" si="100"/>
        <v>1.4395000000000024</v>
      </c>
      <c r="F682" s="115">
        <f t="shared" si="101"/>
        <v>1.4395000000000024</v>
      </c>
      <c r="G682" s="115">
        <f t="shared" si="102"/>
        <v>2.0721602500000071</v>
      </c>
      <c r="H682" s="115">
        <f t="shared" si="103"/>
        <v>3.1077288428324749E-2</v>
      </c>
      <c r="I682" s="116">
        <f t="shared" si="96"/>
        <v>45.321799999999996</v>
      </c>
      <c r="J682" s="116">
        <f t="shared" si="97"/>
        <v>0.9982000000000042</v>
      </c>
      <c r="K682" s="116">
        <f t="shared" si="98"/>
        <v>0.9982000000000042</v>
      </c>
      <c r="L682" s="116">
        <f t="shared" si="99"/>
        <v>0.99640324000000835</v>
      </c>
      <c r="M682" s="117">
        <f t="shared" si="95"/>
        <v>2.1550086355785928E-2</v>
      </c>
    </row>
    <row r="683" spans="1:13">
      <c r="A683" s="112">
        <v>680</v>
      </c>
      <c r="B683" s="113">
        <v>42613</v>
      </c>
      <c r="C683" s="114">
        <v>44.68</v>
      </c>
      <c r="D683" s="115">
        <f t="shared" si="104"/>
        <v>45.221500000000006</v>
      </c>
      <c r="E683" s="115">
        <f t="shared" si="100"/>
        <v>-0.54150000000000631</v>
      </c>
      <c r="F683" s="115">
        <f t="shared" si="101"/>
        <v>0.54150000000000631</v>
      </c>
      <c r="G683" s="115">
        <f t="shared" si="102"/>
        <v>0.29322225000000685</v>
      </c>
      <c r="H683" s="115">
        <f t="shared" si="103"/>
        <v>1.2119516562220375E-2</v>
      </c>
      <c r="I683" s="116">
        <f t="shared" si="96"/>
        <v>45.260199999999998</v>
      </c>
      <c r="J683" s="116">
        <f t="shared" si="97"/>
        <v>-0.58019999999999783</v>
      </c>
      <c r="K683" s="116">
        <f t="shared" si="98"/>
        <v>0.58019999999999783</v>
      </c>
      <c r="L683" s="116">
        <f t="shared" si="99"/>
        <v>0.33663203999999747</v>
      </c>
      <c r="M683" s="117">
        <f t="shared" si="95"/>
        <v>-1.2985675917636478E-2</v>
      </c>
    </row>
    <row r="684" spans="1:13">
      <c r="A684" s="112">
        <v>681</v>
      </c>
      <c r="B684" s="107">
        <v>42614</v>
      </c>
      <c r="C684" s="108">
        <v>43.17</v>
      </c>
      <c r="D684" s="115">
        <f t="shared" si="104"/>
        <v>45.415499999999994</v>
      </c>
      <c r="E684" s="115">
        <f t="shared" si="100"/>
        <v>-2.2454999999999927</v>
      </c>
      <c r="F684" s="115">
        <f t="shared" si="101"/>
        <v>2.2454999999999927</v>
      </c>
      <c r="G684" s="115">
        <f t="shared" si="102"/>
        <v>5.0422702499999676</v>
      </c>
      <c r="H684" s="115">
        <f t="shared" si="103"/>
        <v>5.2015288394718383E-2</v>
      </c>
      <c r="I684" s="116">
        <f t="shared" si="96"/>
        <v>45.174799999999998</v>
      </c>
      <c r="J684" s="116">
        <f t="shared" si="97"/>
        <v>-2.0047999999999959</v>
      </c>
      <c r="K684" s="116">
        <f t="shared" si="98"/>
        <v>2.0047999999999959</v>
      </c>
      <c r="L684" s="116">
        <f t="shared" si="99"/>
        <v>4.019223039999984</v>
      </c>
      <c r="M684" s="117">
        <f t="shared" si="95"/>
        <v>-4.6439657169330455E-2</v>
      </c>
    </row>
    <row r="685" spans="1:13">
      <c r="A685" s="112">
        <v>682</v>
      </c>
      <c r="B685" s="113">
        <v>42615</v>
      </c>
      <c r="C685" s="114">
        <v>44.39</v>
      </c>
      <c r="D685" s="115">
        <f t="shared" si="104"/>
        <v>45.477999999999994</v>
      </c>
      <c r="E685" s="115">
        <f t="shared" si="100"/>
        <v>-1.0879999999999939</v>
      </c>
      <c r="F685" s="115">
        <f t="shared" si="101"/>
        <v>1.0879999999999939</v>
      </c>
      <c r="G685" s="115">
        <f t="shared" si="102"/>
        <v>1.1837439999999866</v>
      </c>
      <c r="H685" s="115">
        <f t="shared" si="103"/>
        <v>2.4510024780355799E-2</v>
      </c>
      <c r="I685" s="116">
        <f t="shared" si="96"/>
        <v>45.055</v>
      </c>
      <c r="J685" s="116">
        <f t="shared" si="97"/>
        <v>-0.66499999999999915</v>
      </c>
      <c r="K685" s="116">
        <f t="shared" si="98"/>
        <v>0.66499999999999915</v>
      </c>
      <c r="L685" s="116">
        <f t="shared" si="99"/>
        <v>0.44222499999999887</v>
      </c>
      <c r="M685" s="117">
        <f t="shared" si="95"/>
        <v>-1.4980851543140328E-2</v>
      </c>
    </row>
    <row r="686" spans="1:13">
      <c r="A686" s="112">
        <v>683</v>
      </c>
      <c r="B686" s="107">
        <v>42618</v>
      </c>
      <c r="C686" s="108">
        <v>44.39</v>
      </c>
      <c r="D686" s="115">
        <f t="shared" si="104"/>
        <v>45.605999999999995</v>
      </c>
      <c r="E686" s="115">
        <f t="shared" si="100"/>
        <v>-1.215999999999994</v>
      </c>
      <c r="F686" s="115">
        <f t="shared" si="101"/>
        <v>1.215999999999994</v>
      </c>
      <c r="G686" s="115">
        <f t="shared" si="102"/>
        <v>1.4786559999999853</v>
      </c>
      <c r="H686" s="115">
        <f t="shared" si="103"/>
        <v>2.7393557107456497E-2</v>
      </c>
      <c r="I686" s="116">
        <f t="shared" si="96"/>
        <v>44.955999999999996</v>
      </c>
      <c r="J686" s="116">
        <f t="shared" si="97"/>
        <v>-0.5659999999999954</v>
      </c>
      <c r="K686" s="116">
        <f t="shared" si="98"/>
        <v>0.5659999999999954</v>
      </c>
      <c r="L686" s="116">
        <f t="shared" si="99"/>
        <v>0.32035599999999481</v>
      </c>
      <c r="M686" s="117">
        <f t="shared" si="95"/>
        <v>-1.2750619508898296E-2</v>
      </c>
    </row>
    <row r="687" spans="1:13">
      <c r="A687" s="112">
        <v>684</v>
      </c>
      <c r="B687" s="113">
        <v>42619</v>
      </c>
      <c r="C687" s="114">
        <v>44.85</v>
      </c>
      <c r="D687" s="115">
        <f t="shared" si="104"/>
        <v>45.672499999999999</v>
      </c>
      <c r="E687" s="115">
        <f t="shared" si="100"/>
        <v>-0.82249999999999801</v>
      </c>
      <c r="F687" s="115">
        <f t="shared" si="101"/>
        <v>0.82249999999999801</v>
      </c>
      <c r="G687" s="115">
        <f t="shared" si="102"/>
        <v>0.67650624999999676</v>
      </c>
      <c r="H687" s="115">
        <f t="shared" si="103"/>
        <v>1.8338907469342206E-2</v>
      </c>
      <c r="I687" s="116">
        <f t="shared" si="96"/>
        <v>44.909799999999997</v>
      </c>
      <c r="J687" s="116">
        <f t="shared" si="97"/>
        <v>-5.9799999999995634E-2</v>
      </c>
      <c r="K687" s="116">
        <f t="shared" si="98"/>
        <v>5.9799999999995634E-2</v>
      </c>
      <c r="L687" s="116">
        <f t="shared" si="99"/>
        <v>3.5760399999994778E-3</v>
      </c>
      <c r="M687" s="117">
        <f t="shared" si="95"/>
        <v>-1.3333333333332359E-3</v>
      </c>
    </row>
    <row r="688" spans="1:13">
      <c r="A688" s="112">
        <v>685</v>
      </c>
      <c r="B688" s="107">
        <v>42620</v>
      </c>
      <c r="C688" s="108">
        <v>45.47</v>
      </c>
      <c r="D688" s="115">
        <f t="shared" si="104"/>
        <v>45.775999999999996</v>
      </c>
      <c r="E688" s="115">
        <f t="shared" si="100"/>
        <v>-0.30599999999999739</v>
      </c>
      <c r="F688" s="115">
        <f t="shared" si="101"/>
        <v>0.30599999999999739</v>
      </c>
      <c r="G688" s="115">
        <f t="shared" si="102"/>
        <v>9.3635999999998401E-2</v>
      </c>
      <c r="H688" s="115">
        <f t="shared" si="103"/>
        <v>6.7297118979546379E-3</v>
      </c>
      <c r="I688" s="116">
        <f t="shared" si="96"/>
        <v>44.890799999999992</v>
      </c>
      <c r="J688" s="116">
        <f t="shared" si="97"/>
        <v>0.57920000000000726</v>
      </c>
      <c r="K688" s="116">
        <f t="shared" si="98"/>
        <v>0.57920000000000726</v>
      </c>
      <c r="L688" s="116">
        <f t="shared" si="99"/>
        <v>0.33547264000000843</v>
      </c>
      <c r="M688" s="117">
        <f t="shared" si="95"/>
        <v>1.2738069056520944E-2</v>
      </c>
    </row>
    <row r="689" spans="1:13">
      <c r="A689" s="112">
        <v>686</v>
      </c>
      <c r="B689" s="113">
        <v>42621</v>
      </c>
      <c r="C689" s="114">
        <v>47.63</v>
      </c>
      <c r="D689" s="115">
        <f t="shared" si="104"/>
        <v>45.962000000000003</v>
      </c>
      <c r="E689" s="115">
        <f t="shared" si="100"/>
        <v>1.6679999999999993</v>
      </c>
      <c r="F689" s="115">
        <f t="shared" si="101"/>
        <v>1.6679999999999993</v>
      </c>
      <c r="G689" s="115">
        <f t="shared" si="102"/>
        <v>2.7822239999999976</v>
      </c>
      <c r="H689" s="115">
        <f t="shared" si="103"/>
        <v>3.5019945412555098E-2</v>
      </c>
      <c r="I689" s="116">
        <f t="shared" si="96"/>
        <v>44.841599999999993</v>
      </c>
      <c r="J689" s="116">
        <f t="shared" si="97"/>
        <v>2.78840000000001</v>
      </c>
      <c r="K689" s="116">
        <f t="shared" si="98"/>
        <v>2.78840000000001</v>
      </c>
      <c r="L689" s="116">
        <f t="shared" si="99"/>
        <v>7.7751745600000559</v>
      </c>
      <c r="M689" s="117">
        <f t="shared" si="95"/>
        <v>5.8542935124921473E-2</v>
      </c>
    </row>
    <row r="690" spans="1:13">
      <c r="A690" s="112">
        <v>687</v>
      </c>
      <c r="B690" s="107">
        <v>42622</v>
      </c>
      <c r="C690" s="108">
        <v>45.88</v>
      </c>
      <c r="D690" s="115">
        <f t="shared" si="104"/>
        <v>46.167999999999999</v>
      </c>
      <c r="E690" s="115">
        <f t="shared" si="100"/>
        <v>-0.2879999999999967</v>
      </c>
      <c r="F690" s="115">
        <f t="shared" si="101"/>
        <v>0.2879999999999967</v>
      </c>
      <c r="G690" s="115">
        <f t="shared" si="102"/>
        <v>8.2943999999998103E-2</v>
      </c>
      <c r="H690" s="115">
        <f t="shared" si="103"/>
        <v>6.2772449869223342E-3</v>
      </c>
      <c r="I690" s="116">
        <f t="shared" si="96"/>
        <v>44.797199999999997</v>
      </c>
      <c r="J690" s="116">
        <f t="shared" si="97"/>
        <v>1.082800000000006</v>
      </c>
      <c r="K690" s="116">
        <f t="shared" si="98"/>
        <v>1.082800000000006</v>
      </c>
      <c r="L690" s="116">
        <f t="shared" si="99"/>
        <v>1.1724558400000129</v>
      </c>
      <c r="M690" s="117">
        <f t="shared" si="95"/>
        <v>2.3600697471665343E-2</v>
      </c>
    </row>
    <row r="691" spans="1:13">
      <c r="A691" s="112">
        <v>688</v>
      </c>
      <c r="B691" s="113">
        <v>42625</v>
      </c>
      <c r="C691" s="114">
        <v>46.28</v>
      </c>
      <c r="D691" s="115">
        <f t="shared" si="104"/>
        <v>46.238500000000002</v>
      </c>
      <c r="E691" s="115">
        <f t="shared" si="100"/>
        <v>4.1499999999999204E-2</v>
      </c>
      <c r="F691" s="115">
        <f t="shared" si="101"/>
        <v>4.1499999999999204E-2</v>
      </c>
      <c r="G691" s="115">
        <f t="shared" si="102"/>
        <v>1.7222499999999339E-3</v>
      </c>
      <c r="H691" s="115">
        <f t="shared" si="103"/>
        <v>8.9671564390663794E-4</v>
      </c>
      <c r="I691" s="116">
        <f t="shared" si="96"/>
        <v>44.749399999999994</v>
      </c>
      <c r="J691" s="116">
        <f t="shared" si="97"/>
        <v>1.5306000000000068</v>
      </c>
      <c r="K691" s="116">
        <f t="shared" si="98"/>
        <v>1.5306000000000068</v>
      </c>
      <c r="L691" s="116">
        <f t="shared" si="99"/>
        <v>2.3427363600000208</v>
      </c>
      <c r="M691" s="117">
        <f t="shared" si="95"/>
        <v>3.3072601555747767E-2</v>
      </c>
    </row>
    <row r="692" spans="1:13">
      <c r="A692" s="112">
        <v>689</v>
      </c>
      <c r="B692" s="107">
        <v>42626</v>
      </c>
      <c r="C692" s="108">
        <v>44.91</v>
      </c>
      <c r="D692" s="115">
        <f t="shared" si="104"/>
        <v>46.266499999999994</v>
      </c>
      <c r="E692" s="115">
        <f t="shared" si="100"/>
        <v>-1.3564999999999969</v>
      </c>
      <c r="F692" s="115">
        <f t="shared" si="101"/>
        <v>1.3564999999999969</v>
      </c>
      <c r="G692" s="115">
        <f t="shared" si="102"/>
        <v>1.8400922499999917</v>
      </c>
      <c r="H692" s="115">
        <f t="shared" si="103"/>
        <v>3.0204854152749878E-2</v>
      </c>
      <c r="I692" s="116">
        <f t="shared" si="96"/>
        <v>44.694600000000001</v>
      </c>
      <c r="J692" s="116">
        <f t="shared" si="97"/>
        <v>0.21539999999999537</v>
      </c>
      <c r="K692" s="116">
        <f t="shared" si="98"/>
        <v>0.21539999999999537</v>
      </c>
      <c r="L692" s="116">
        <f t="shared" si="99"/>
        <v>4.6397159999998008E-2</v>
      </c>
      <c r="M692" s="117">
        <f t="shared" si="95"/>
        <v>4.7962591850366377E-3</v>
      </c>
    </row>
    <row r="693" spans="1:13">
      <c r="A693" s="112">
        <v>690</v>
      </c>
      <c r="B693" s="113">
        <v>42627</v>
      </c>
      <c r="C693" s="114">
        <v>43.62</v>
      </c>
      <c r="D693" s="115">
        <f t="shared" si="104"/>
        <v>46.183499999999995</v>
      </c>
      <c r="E693" s="115">
        <f t="shared" si="100"/>
        <v>-2.5634999999999977</v>
      </c>
      <c r="F693" s="115">
        <f t="shared" si="101"/>
        <v>2.5634999999999977</v>
      </c>
      <c r="G693" s="115">
        <f t="shared" si="102"/>
        <v>6.5715322499999882</v>
      </c>
      <c r="H693" s="115">
        <f t="shared" si="103"/>
        <v>5.8768913342503386E-2</v>
      </c>
      <c r="I693" s="116">
        <f t="shared" si="96"/>
        <v>44.658200000000008</v>
      </c>
      <c r="J693" s="116">
        <f t="shared" si="97"/>
        <v>-1.0382000000000104</v>
      </c>
      <c r="K693" s="116">
        <f t="shared" si="98"/>
        <v>1.0382000000000104</v>
      </c>
      <c r="L693" s="116">
        <f t="shared" si="99"/>
        <v>1.0778592400000218</v>
      </c>
      <c r="M693" s="117">
        <f t="shared" si="95"/>
        <v>-2.3801008711600423E-2</v>
      </c>
    </row>
    <row r="694" spans="1:13">
      <c r="A694" s="112">
        <v>691</v>
      </c>
      <c r="B694" s="107">
        <v>42628</v>
      </c>
      <c r="C694" s="108">
        <v>43.85</v>
      </c>
      <c r="D694" s="115">
        <f t="shared" si="104"/>
        <v>46.023999999999994</v>
      </c>
      <c r="E694" s="115">
        <f t="shared" si="100"/>
        <v>-2.1739999999999924</v>
      </c>
      <c r="F694" s="115">
        <f t="shared" si="101"/>
        <v>2.1739999999999924</v>
      </c>
      <c r="G694" s="115">
        <f t="shared" si="102"/>
        <v>4.7262759999999666</v>
      </c>
      <c r="H694" s="115">
        <f t="shared" si="103"/>
        <v>4.957810718358021E-2</v>
      </c>
      <c r="I694" s="116">
        <f t="shared" si="96"/>
        <v>44.583199999999998</v>
      </c>
      <c r="J694" s="116">
        <f t="shared" si="97"/>
        <v>-0.73319999999999652</v>
      </c>
      <c r="K694" s="116">
        <f t="shared" si="98"/>
        <v>0.73319999999999652</v>
      </c>
      <c r="L694" s="116">
        <f t="shared" si="99"/>
        <v>0.53758223999999488</v>
      </c>
      <c r="M694" s="117">
        <f t="shared" si="95"/>
        <v>-1.6720638540478824E-2</v>
      </c>
    </row>
    <row r="695" spans="1:13">
      <c r="A695" s="112">
        <v>692</v>
      </c>
      <c r="B695" s="113">
        <v>42629</v>
      </c>
      <c r="C695" s="114">
        <v>43.04</v>
      </c>
      <c r="D695" s="115">
        <f t="shared" si="104"/>
        <v>45.8065</v>
      </c>
      <c r="E695" s="115">
        <f t="shared" si="100"/>
        <v>-2.7665000000000006</v>
      </c>
      <c r="F695" s="115">
        <f t="shared" si="101"/>
        <v>2.7665000000000006</v>
      </c>
      <c r="G695" s="115">
        <f t="shared" si="102"/>
        <v>7.6535222500000035</v>
      </c>
      <c r="H695" s="115">
        <f t="shared" si="103"/>
        <v>6.4277416356877337E-2</v>
      </c>
      <c r="I695" s="116">
        <f t="shared" si="96"/>
        <v>44.555799999999998</v>
      </c>
      <c r="J695" s="116">
        <f t="shared" si="97"/>
        <v>-1.5157999999999987</v>
      </c>
      <c r="K695" s="116">
        <f t="shared" si="98"/>
        <v>1.5157999999999987</v>
      </c>
      <c r="L695" s="116">
        <f t="shared" si="99"/>
        <v>2.2976496399999959</v>
      </c>
      <c r="M695" s="117">
        <f t="shared" ref="M695:M758" si="105">J695/C695</f>
        <v>-3.5218401486988821E-2</v>
      </c>
    </row>
    <row r="696" spans="1:13">
      <c r="A696" s="112">
        <v>693</v>
      </c>
      <c r="B696" s="107">
        <v>42632</v>
      </c>
      <c r="C696" s="108">
        <v>43.34</v>
      </c>
      <c r="D696" s="115">
        <f t="shared" si="104"/>
        <v>45.534499999999994</v>
      </c>
      <c r="E696" s="115">
        <f t="shared" si="100"/>
        <v>-2.1944999999999908</v>
      </c>
      <c r="F696" s="115">
        <f t="shared" si="101"/>
        <v>2.1944999999999908</v>
      </c>
      <c r="G696" s="115">
        <f t="shared" si="102"/>
        <v>4.8158302499999595</v>
      </c>
      <c r="H696" s="115">
        <f t="shared" si="103"/>
        <v>5.0634517766497245E-2</v>
      </c>
      <c r="I696" s="116">
        <f t="shared" ref="I696:I759" si="106">AVERAGE(C646:C695)</f>
        <v>44.5092</v>
      </c>
      <c r="J696" s="116">
        <f t="shared" ref="J696:J759" si="107">C696-I696</f>
        <v>-1.1691999999999965</v>
      </c>
      <c r="K696" s="116">
        <f t="shared" ref="K696:K759" si="108">ABS(J696)</f>
        <v>1.1691999999999965</v>
      </c>
      <c r="L696" s="116">
        <f t="shared" ref="L696:L759" si="109">J696^2</f>
        <v>1.3670286399999918</v>
      </c>
      <c r="M696" s="117">
        <f t="shared" si="105"/>
        <v>-2.6977388094139281E-2</v>
      </c>
    </row>
    <row r="697" spans="1:13">
      <c r="A697" s="112">
        <v>694</v>
      </c>
      <c r="B697" s="113">
        <v>42633</v>
      </c>
      <c r="C697" s="114">
        <v>43.85</v>
      </c>
      <c r="D697" s="115">
        <f t="shared" si="104"/>
        <v>45.361499999999999</v>
      </c>
      <c r="E697" s="115">
        <f t="shared" si="100"/>
        <v>-1.5114999999999981</v>
      </c>
      <c r="F697" s="115">
        <f t="shared" si="101"/>
        <v>1.5114999999999981</v>
      </c>
      <c r="G697" s="115">
        <f t="shared" si="102"/>
        <v>2.2846322499999943</v>
      </c>
      <c r="H697" s="115">
        <f t="shared" si="103"/>
        <v>3.4469783352337469E-2</v>
      </c>
      <c r="I697" s="116">
        <f t="shared" si="106"/>
        <v>44.481400000000001</v>
      </c>
      <c r="J697" s="116">
        <f t="shared" si="107"/>
        <v>-0.6313999999999993</v>
      </c>
      <c r="K697" s="116">
        <f t="shared" si="108"/>
        <v>0.6313999999999993</v>
      </c>
      <c r="L697" s="116">
        <f t="shared" si="109"/>
        <v>0.3986659599999991</v>
      </c>
      <c r="M697" s="117">
        <f t="shared" si="105"/>
        <v>-1.4399087799315834E-2</v>
      </c>
    </row>
    <row r="698" spans="1:13">
      <c r="A698" s="112">
        <v>695</v>
      </c>
      <c r="B698" s="107">
        <v>42634</v>
      </c>
      <c r="C698" s="108">
        <v>45.33</v>
      </c>
      <c r="D698" s="115">
        <f t="shared" si="104"/>
        <v>45.177</v>
      </c>
      <c r="E698" s="115">
        <f t="shared" si="100"/>
        <v>0.15299999999999869</v>
      </c>
      <c r="F698" s="115">
        <f t="shared" si="101"/>
        <v>0.15299999999999869</v>
      </c>
      <c r="G698" s="115">
        <f t="shared" si="102"/>
        <v>2.34089999999996E-2</v>
      </c>
      <c r="H698" s="115">
        <f t="shared" si="103"/>
        <v>3.3752481800132074E-3</v>
      </c>
      <c r="I698" s="116">
        <f t="shared" si="106"/>
        <v>44.422000000000004</v>
      </c>
      <c r="J698" s="116">
        <f t="shared" si="107"/>
        <v>0.90799999999999415</v>
      </c>
      <c r="K698" s="116">
        <f t="shared" si="108"/>
        <v>0.90799999999999415</v>
      </c>
      <c r="L698" s="116">
        <f t="shared" si="109"/>
        <v>0.82446399999998932</v>
      </c>
      <c r="M698" s="117">
        <f t="shared" si="105"/>
        <v>2.0030884623869274E-2</v>
      </c>
    </row>
    <row r="699" spans="1:13">
      <c r="A699" s="112">
        <v>696</v>
      </c>
      <c r="B699" s="113">
        <v>42635</v>
      </c>
      <c r="C699" s="114">
        <v>46.1</v>
      </c>
      <c r="D699" s="115">
        <f t="shared" si="104"/>
        <v>45.129000000000005</v>
      </c>
      <c r="E699" s="115">
        <f t="shared" si="100"/>
        <v>0.97099999999999653</v>
      </c>
      <c r="F699" s="115">
        <f t="shared" si="101"/>
        <v>0.97099999999999653</v>
      </c>
      <c r="G699" s="115">
        <f t="shared" si="102"/>
        <v>0.94284099999999327</v>
      </c>
      <c r="H699" s="115">
        <f t="shared" si="103"/>
        <v>2.1062906724511856E-2</v>
      </c>
      <c r="I699" s="116">
        <f t="shared" si="106"/>
        <v>44.431199999999997</v>
      </c>
      <c r="J699" s="116">
        <f t="shared" si="107"/>
        <v>1.6688000000000045</v>
      </c>
      <c r="K699" s="116">
        <f t="shared" si="108"/>
        <v>1.6688000000000045</v>
      </c>
      <c r="L699" s="116">
        <f t="shared" si="109"/>
        <v>2.7848934400000149</v>
      </c>
      <c r="M699" s="117">
        <f t="shared" si="105"/>
        <v>3.6199566160520703E-2</v>
      </c>
    </row>
    <row r="700" spans="1:13">
      <c r="A700" s="112">
        <v>697</v>
      </c>
      <c r="B700" s="107">
        <v>42636</v>
      </c>
      <c r="C700" s="108">
        <v>44.36</v>
      </c>
      <c r="D700" s="115">
        <f t="shared" si="104"/>
        <v>45.085500000000003</v>
      </c>
      <c r="E700" s="115">
        <f t="shared" si="100"/>
        <v>-0.72550000000000381</v>
      </c>
      <c r="F700" s="115">
        <f t="shared" si="101"/>
        <v>0.72550000000000381</v>
      </c>
      <c r="G700" s="115">
        <f t="shared" si="102"/>
        <v>0.52635025000000557</v>
      </c>
      <c r="H700" s="115">
        <f t="shared" si="103"/>
        <v>1.6354824165915324E-2</v>
      </c>
      <c r="I700" s="116">
        <f t="shared" si="106"/>
        <v>44.440399999999997</v>
      </c>
      <c r="J700" s="116">
        <f t="shared" si="107"/>
        <v>-8.0399999999997362E-2</v>
      </c>
      <c r="K700" s="116">
        <f t="shared" si="108"/>
        <v>8.0399999999997362E-2</v>
      </c>
      <c r="L700" s="116">
        <f t="shared" si="109"/>
        <v>6.4641599999995759E-3</v>
      </c>
      <c r="M700" s="117">
        <f t="shared" si="105"/>
        <v>-1.8124436429214916E-3</v>
      </c>
    </row>
    <row r="701" spans="1:13">
      <c r="A701" s="112">
        <v>698</v>
      </c>
      <c r="B701" s="113">
        <v>42639</v>
      </c>
      <c r="C701" s="114">
        <v>45.6</v>
      </c>
      <c r="D701" s="115">
        <f t="shared" si="104"/>
        <v>44.921500000000002</v>
      </c>
      <c r="E701" s="115">
        <f t="shared" si="100"/>
        <v>0.67849999999999966</v>
      </c>
      <c r="F701" s="115">
        <f t="shared" si="101"/>
        <v>0.67849999999999966</v>
      </c>
      <c r="G701" s="115">
        <f t="shared" si="102"/>
        <v>0.46036224999999953</v>
      </c>
      <c r="H701" s="115">
        <f t="shared" si="103"/>
        <v>1.4879385964912274E-2</v>
      </c>
      <c r="I701" s="116">
        <f t="shared" si="106"/>
        <v>44.409000000000006</v>
      </c>
      <c r="J701" s="116">
        <f t="shared" si="107"/>
        <v>1.1909999999999954</v>
      </c>
      <c r="K701" s="116">
        <f t="shared" si="108"/>
        <v>1.1909999999999954</v>
      </c>
      <c r="L701" s="116">
        <f t="shared" si="109"/>
        <v>1.418480999999989</v>
      </c>
      <c r="M701" s="117">
        <f t="shared" si="105"/>
        <v>2.6118421052631478E-2</v>
      </c>
    </row>
    <row r="702" spans="1:13">
      <c r="A702" s="112">
        <v>699</v>
      </c>
      <c r="B702" s="107">
        <v>42640</v>
      </c>
      <c r="C702" s="108">
        <v>44.65</v>
      </c>
      <c r="D702" s="115">
        <f t="shared" si="104"/>
        <v>44.853000000000002</v>
      </c>
      <c r="E702" s="115">
        <f t="shared" si="100"/>
        <v>-0.20300000000000296</v>
      </c>
      <c r="F702" s="115">
        <f t="shared" si="101"/>
        <v>0.20300000000000296</v>
      </c>
      <c r="G702" s="115">
        <f t="shared" si="102"/>
        <v>4.1209000000001203E-2</v>
      </c>
      <c r="H702" s="115">
        <f t="shared" si="103"/>
        <v>4.5464725643897643E-3</v>
      </c>
      <c r="I702" s="116">
        <f t="shared" si="106"/>
        <v>44.416400000000003</v>
      </c>
      <c r="J702" s="116">
        <f t="shared" si="107"/>
        <v>0.23359999999999559</v>
      </c>
      <c r="K702" s="116">
        <f t="shared" si="108"/>
        <v>0.23359999999999559</v>
      </c>
      <c r="L702" s="116">
        <f t="shared" si="109"/>
        <v>5.4568959999997939E-2</v>
      </c>
      <c r="M702" s="117">
        <f t="shared" si="105"/>
        <v>5.2318029115340555E-3</v>
      </c>
    </row>
    <row r="703" spans="1:13">
      <c r="A703" s="112">
        <v>700</v>
      </c>
      <c r="B703" s="113">
        <v>42641</v>
      </c>
      <c r="C703" s="114">
        <v>47.07</v>
      </c>
      <c r="D703" s="115">
        <f t="shared" si="104"/>
        <v>44.769500000000008</v>
      </c>
      <c r="E703" s="115">
        <f t="shared" si="100"/>
        <v>2.3004999999999924</v>
      </c>
      <c r="F703" s="115">
        <f t="shared" si="101"/>
        <v>2.3004999999999924</v>
      </c>
      <c r="G703" s="115">
        <f t="shared" si="102"/>
        <v>5.2923002499999656</v>
      </c>
      <c r="H703" s="115">
        <f t="shared" si="103"/>
        <v>4.8874017420862385E-2</v>
      </c>
      <c r="I703" s="116">
        <f t="shared" si="106"/>
        <v>44.41660000000001</v>
      </c>
      <c r="J703" s="116">
        <f t="shared" si="107"/>
        <v>2.6533999999999907</v>
      </c>
      <c r="K703" s="116">
        <f t="shared" si="108"/>
        <v>2.6533999999999907</v>
      </c>
      <c r="L703" s="116">
        <f t="shared" si="109"/>
        <v>7.0405315599999501</v>
      </c>
      <c r="M703" s="117">
        <f t="shared" si="105"/>
        <v>5.6371361801571929E-2</v>
      </c>
    </row>
    <row r="704" spans="1:13">
      <c r="A704" s="112">
        <v>701</v>
      </c>
      <c r="B704" s="107">
        <v>42642</v>
      </c>
      <c r="C704" s="108">
        <v>47.72</v>
      </c>
      <c r="D704" s="115">
        <f t="shared" si="104"/>
        <v>44.889000000000003</v>
      </c>
      <c r="E704" s="115">
        <f t="shared" si="100"/>
        <v>2.830999999999996</v>
      </c>
      <c r="F704" s="115">
        <f t="shared" si="101"/>
        <v>2.830999999999996</v>
      </c>
      <c r="G704" s="115">
        <f t="shared" si="102"/>
        <v>8.0145609999999774</v>
      </c>
      <c r="H704" s="115">
        <f t="shared" si="103"/>
        <v>5.9325230511315927E-2</v>
      </c>
      <c r="I704" s="116">
        <f t="shared" si="106"/>
        <v>44.458800000000011</v>
      </c>
      <c r="J704" s="116">
        <f t="shared" si="107"/>
        <v>3.2611999999999881</v>
      </c>
      <c r="K704" s="116">
        <f t="shared" si="108"/>
        <v>3.2611999999999881</v>
      </c>
      <c r="L704" s="116">
        <f t="shared" si="109"/>
        <v>10.635425439999922</v>
      </c>
      <c r="M704" s="117">
        <f t="shared" si="105"/>
        <v>6.8340318524727328E-2</v>
      </c>
    </row>
    <row r="705" spans="1:13">
      <c r="A705" s="112">
        <v>702</v>
      </c>
      <c r="B705" s="113">
        <v>42643</v>
      </c>
      <c r="C705" s="114">
        <v>47.72</v>
      </c>
      <c r="D705" s="115">
        <f t="shared" si="104"/>
        <v>45.116500000000009</v>
      </c>
      <c r="E705" s="115">
        <f t="shared" si="100"/>
        <v>2.6034999999999897</v>
      </c>
      <c r="F705" s="115">
        <f t="shared" si="101"/>
        <v>2.6034999999999897</v>
      </c>
      <c r="G705" s="115">
        <f t="shared" si="102"/>
        <v>6.7782122499999469</v>
      </c>
      <c r="H705" s="115">
        <f t="shared" si="103"/>
        <v>5.455783738474413E-2</v>
      </c>
      <c r="I705" s="116">
        <f t="shared" si="106"/>
        <v>44.534000000000006</v>
      </c>
      <c r="J705" s="116">
        <f t="shared" si="107"/>
        <v>3.1859999999999928</v>
      </c>
      <c r="K705" s="116">
        <f t="shared" si="108"/>
        <v>3.1859999999999928</v>
      </c>
      <c r="L705" s="116">
        <f t="shared" si="109"/>
        <v>10.150595999999954</v>
      </c>
      <c r="M705" s="117">
        <f t="shared" si="105"/>
        <v>6.6764459346185939E-2</v>
      </c>
    </row>
    <row r="706" spans="1:13">
      <c r="A706" s="112">
        <v>703</v>
      </c>
      <c r="B706" s="107">
        <v>42646</v>
      </c>
      <c r="C706" s="108">
        <v>48.8</v>
      </c>
      <c r="D706" s="115">
        <f t="shared" si="104"/>
        <v>45.283000000000008</v>
      </c>
      <c r="E706" s="115">
        <f t="shared" si="100"/>
        <v>3.5169999999999888</v>
      </c>
      <c r="F706" s="115">
        <f t="shared" si="101"/>
        <v>3.5169999999999888</v>
      </c>
      <c r="G706" s="115">
        <f t="shared" si="102"/>
        <v>12.369288999999922</v>
      </c>
      <c r="H706" s="115">
        <f t="shared" si="103"/>
        <v>7.2069672131147317E-2</v>
      </c>
      <c r="I706" s="116">
        <f t="shared" si="106"/>
        <v>44.620199999999997</v>
      </c>
      <c r="J706" s="116">
        <f t="shared" si="107"/>
        <v>4.1798000000000002</v>
      </c>
      <c r="K706" s="116">
        <f t="shared" si="108"/>
        <v>4.1798000000000002</v>
      </c>
      <c r="L706" s="116">
        <f t="shared" si="109"/>
        <v>17.470728040000001</v>
      </c>
      <c r="M706" s="117">
        <f t="shared" si="105"/>
        <v>8.5651639344262301E-2</v>
      </c>
    </row>
    <row r="707" spans="1:13">
      <c r="A707" s="112">
        <v>704</v>
      </c>
      <c r="B707" s="113">
        <v>42647</v>
      </c>
      <c r="C707" s="114">
        <v>48.67</v>
      </c>
      <c r="D707" s="115">
        <f t="shared" si="104"/>
        <v>45.50350000000001</v>
      </c>
      <c r="E707" s="115">
        <f t="shared" si="100"/>
        <v>3.1664999999999921</v>
      </c>
      <c r="F707" s="115">
        <f t="shared" si="101"/>
        <v>3.1664999999999921</v>
      </c>
      <c r="G707" s="115">
        <f t="shared" si="102"/>
        <v>10.026722249999949</v>
      </c>
      <c r="H707" s="115">
        <f t="shared" si="103"/>
        <v>6.5060612286829508E-2</v>
      </c>
      <c r="I707" s="116">
        <f t="shared" si="106"/>
        <v>44.748199999999997</v>
      </c>
      <c r="J707" s="116">
        <f t="shared" si="107"/>
        <v>3.9218000000000046</v>
      </c>
      <c r="K707" s="116">
        <f t="shared" si="108"/>
        <v>3.9218000000000046</v>
      </c>
      <c r="L707" s="116">
        <f t="shared" si="109"/>
        <v>15.380515240000037</v>
      </c>
      <c r="M707" s="117">
        <f t="shared" si="105"/>
        <v>8.0579412369015918E-2</v>
      </c>
    </row>
    <row r="708" spans="1:13">
      <c r="A708" s="112">
        <v>705</v>
      </c>
      <c r="B708" s="107">
        <v>42648</v>
      </c>
      <c r="C708" s="108">
        <v>49.75</v>
      </c>
      <c r="D708" s="115">
        <f t="shared" si="104"/>
        <v>45.694499999999998</v>
      </c>
      <c r="E708" s="115">
        <f t="shared" si="100"/>
        <v>4.0555000000000021</v>
      </c>
      <c r="F708" s="115">
        <f t="shared" si="101"/>
        <v>4.0555000000000021</v>
      </c>
      <c r="G708" s="115">
        <f t="shared" si="102"/>
        <v>16.447080250000017</v>
      </c>
      <c r="H708" s="115">
        <f t="shared" si="103"/>
        <v>8.151758793969853E-2</v>
      </c>
      <c r="I708" s="116">
        <f t="shared" si="106"/>
        <v>44.878399999999992</v>
      </c>
      <c r="J708" s="116">
        <f t="shared" si="107"/>
        <v>4.8716000000000079</v>
      </c>
      <c r="K708" s="116">
        <f t="shared" si="108"/>
        <v>4.8716000000000079</v>
      </c>
      <c r="L708" s="116">
        <f t="shared" si="109"/>
        <v>23.732486560000076</v>
      </c>
      <c r="M708" s="117">
        <f t="shared" si="105"/>
        <v>9.7921608040201169E-2</v>
      </c>
    </row>
    <row r="709" spans="1:13">
      <c r="A709" s="112">
        <v>706</v>
      </c>
      <c r="B709" s="113">
        <v>42649</v>
      </c>
      <c r="C709" s="114">
        <v>50.44</v>
      </c>
      <c r="D709" s="115">
        <f t="shared" si="104"/>
        <v>45.908500000000004</v>
      </c>
      <c r="E709" s="115">
        <f t="shared" si="100"/>
        <v>4.5314999999999941</v>
      </c>
      <c r="F709" s="115">
        <f t="shared" si="101"/>
        <v>4.5314999999999941</v>
      </c>
      <c r="G709" s="115">
        <f t="shared" si="102"/>
        <v>20.534492249999946</v>
      </c>
      <c r="H709" s="115">
        <f t="shared" si="103"/>
        <v>8.9839413164155321E-2</v>
      </c>
      <c r="I709" s="116">
        <f t="shared" si="106"/>
        <v>45.035400000000003</v>
      </c>
      <c r="J709" s="116">
        <f t="shared" si="107"/>
        <v>5.404599999999995</v>
      </c>
      <c r="K709" s="116">
        <f t="shared" si="108"/>
        <v>5.404599999999995</v>
      </c>
      <c r="L709" s="116">
        <f t="shared" si="109"/>
        <v>29.209701159999945</v>
      </c>
      <c r="M709" s="117">
        <f t="shared" si="105"/>
        <v>0.10714908802537659</v>
      </c>
    </row>
    <row r="710" spans="1:13">
      <c r="A710" s="112">
        <v>707</v>
      </c>
      <c r="B710" s="107">
        <v>42650</v>
      </c>
      <c r="C710" s="108">
        <v>49.76</v>
      </c>
      <c r="D710" s="115">
        <f t="shared" si="104"/>
        <v>46.048999999999999</v>
      </c>
      <c r="E710" s="115">
        <f t="shared" si="100"/>
        <v>3.7109999999999985</v>
      </c>
      <c r="F710" s="115">
        <f t="shared" si="101"/>
        <v>3.7109999999999985</v>
      </c>
      <c r="G710" s="115">
        <f t="shared" si="102"/>
        <v>13.771520999999989</v>
      </c>
      <c r="H710" s="115">
        <f t="shared" si="103"/>
        <v>7.4577974276527306E-2</v>
      </c>
      <c r="I710" s="116">
        <f t="shared" si="106"/>
        <v>45.221600000000009</v>
      </c>
      <c r="J710" s="116">
        <f t="shared" si="107"/>
        <v>4.5383999999999887</v>
      </c>
      <c r="K710" s="116">
        <f t="shared" si="108"/>
        <v>4.5383999999999887</v>
      </c>
      <c r="L710" s="116">
        <f t="shared" si="109"/>
        <v>20.597074559999896</v>
      </c>
      <c r="M710" s="117">
        <f t="shared" si="105"/>
        <v>9.1205787781350259E-2</v>
      </c>
    </row>
    <row r="711" spans="1:13">
      <c r="A711" s="112">
        <v>708</v>
      </c>
      <c r="B711" s="113">
        <v>42653</v>
      </c>
      <c r="C711" s="114">
        <v>49.76</v>
      </c>
      <c r="D711" s="115">
        <f t="shared" si="104"/>
        <v>46.243000000000009</v>
      </c>
      <c r="E711" s="115">
        <f t="shared" si="100"/>
        <v>3.5169999999999888</v>
      </c>
      <c r="F711" s="115">
        <f t="shared" si="101"/>
        <v>3.5169999999999888</v>
      </c>
      <c r="G711" s="115">
        <f t="shared" si="102"/>
        <v>12.369288999999922</v>
      </c>
      <c r="H711" s="115">
        <f t="shared" si="103"/>
        <v>7.0679260450160555E-2</v>
      </c>
      <c r="I711" s="116">
        <f t="shared" si="106"/>
        <v>45.386000000000003</v>
      </c>
      <c r="J711" s="116">
        <f t="shared" si="107"/>
        <v>4.3739999999999952</v>
      </c>
      <c r="K711" s="116">
        <f t="shared" si="108"/>
        <v>4.3739999999999952</v>
      </c>
      <c r="L711" s="116">
        <f t="shared" si="109"/>
        <v>19.131875999999959</v>
      </c>
      <c r="M711" s="117">
        <f t="shared" si="105"/>
        <v>8.7901929260450068E-2</v>
      </c>
    </row>
    <row r="712" spans="1:13">
      <c r="A712" s="112">
        <v>709</v>
      </c>
      <c r="B712" s="107">
        <v>42654</v>
      </c>
      <c r="C712" s="108">
        <v>50.72</v>
      </c>
      <c r="D712" s="115">
        <f t="shared" si="104"/>
        <v>46.416999999999994</v>
      </c>
      <c r="E712" s="115">
        <f t="shared" si="100"/>
        <v>4.3030000000000044</v>
      </c>
      <c r="F712" s="115">
        <f t="shared" si="101"/>
        <v>4.3030000000000044</v>
      </c>
      <c r="G712" s="115">
        <f t="shared" si="102"/>
        <v>18.515809000000036</v>
      </c>
      <c r="H712" s="115">
        <f t="shared" si="103"/>
        <v>8.4838328075709873E-2</v>
      </c>
      <c r="I712" s="116">
        <f t="shared" si="106"/>
        <v>45.580200000000005</v>
      </c>
      <c r="J712" s="116">
        <f t="shared" si="107"/>
        <v>5.1397999999999939</v>
      </c>
      <c r="K712" s="116">
        <f t="shared" si="108"/>
        <v>5.1397999999999939</v>
      </c>
      <c r="L712" s="116">
        <f t="shared" si="109"/>
        <v>26.417544039999939</v>
      </c>
      <c r="M712" s="117">
        <f t="shared" si="105"/>
        <v>0.10133675078864342</v>
      </c>
    </row>
    <row r="713" spans="1:13">
      <c r="A713" s="112">
        <v>710</v>
      </c>
      <c r="B713" s="113">
        <v>42655</v>
      </c>
      <c r="C713" s="114">
        <v>50.14</v>
      </c>
      <c r="D713" s="115">
        <f t="shared" si="104"/>
        <v>46.707499999999996</v>
      </c>
      <c r="E713" s="115">
        <f t="shared" si="100"/>
        <v>3.4325000000000045</v>
      </c>
      <c r="F713" s="115">
        <f t="shared" si="101"/>
        <v>3.4325000000000045</v>
      </c>
      <c r="G713" s="115">
        <f t="shared" si="102"/>
        <v>11.782056250000032</v>
      </c>
      <c r="H713" s="115">
        <f t="shared" si="103"/>
        <v>6.8458316713203127E-2</v>
      </c>
      <c r="I713" s="116">
        <f t="shared" si="106"/>
        <v>45.804600000000001</v>
      </c>
      <c r="J713" s="116">
        <f t="shared" si="107"/>
        <v>4.3353999999999999</v>
      </c>
      <c r="K713" s="116">
        <f t="shared" si="108"/>
        <v>4.3353999999999999</v>
      </c>
      <c r="L713" s="116">
        <f t="shared" si="109"/>
        <v>18.795693159999999</v>
      </c>
      <c r="M713" s="117">
        <f t="shared" si="105"/>
        <v>8.6465895492620654E-2</v>
      </c>
    </row>
    <row r="714" spans="1:13">
      <c r="A714" s="112">
        <v>711</v>
      </c>
      <c r="B714" s="107">
        <v>42656</v>
      </c>
      <c r="C714" s="108">
        <v>50.47</v>
      </c>
      <c r="D714" s="115">
        <f t="shared" si="104"/>
        <v>47.033499999999997</v>
      </c>
      <c r="E714" s="115">
        <f t="shared" si="100"/>
        <v>3.4365000000000023</v>
      </c>
      <c r="F714" s="115">
        <f t="shared" si="101"/>
        <v>3.4365000000000023</v>
      </c>
      <c r="G714" s="115">
        <f t="shared" si="102"/>
        <v>11.809532250000016</v>
      </c>
      <c r="H714" s="115">
        <f t="shared" si="103"/>
        <v>6.8089954428373345E-2</v>
      </c>
      <c r="I714" s="116">
        <f t="shared" si="106"/>
        <v>45.991399999999985</v>
      </c>
      <c r="J714" s="116">
        <f t="shared" si="107"/>
        <v>4.4786000000000143</v>
      </c>
      <c r="K714" s="116">
        <f t="shared" si="108"/>
        <v>4.4786000000000143</v>
      </c>
      <c r="L714" s="116">
        <f t="shared" si="109"/>
        <v>20.057857960000128</v>
      </c>
      <c r="M714" s="117">
        <f t="shared" si="105"/>
        <v>8.8737864077670189E-2</v>
      </c>
    </row>
    <row r="715" spans="1:13">
      <c r="A715" s="112">
        <v>712</v>
      </c>
      <c r="B715" s="113">
        <v>42657</v>
      </c>
      <c r="C715" s="114">
        <v>50.35</v>
      </c>
      <c r="D715" s="115">
        <f t="shared" si="104"/>
        <v>47.364499999999992</v>
      </c>
      <c r="E715" s="115">
        <f t="shared" si="100"/>
        <v>2.9855000000000089</v>
      </c>
      <c r="F715" s="115">
        <f t="shared" si="101"/>
        <v>2.9855000000000089</v>
      </c>
      <c r="G715" s="115">
        <f t="shared" si="102"/>
        <v>8.9132102500000538</v>
      </c>
      <c r="H715" s="115">
        <f t="shared" si="103"/>
        <v>5.9294935451837318E-2</v>
      </c>
      <c r="I715" s="116">
        <f t="shared" si="106"/>
        <v>46.162399999999991</v>
      </c>
      <c r="J715" s="116">
        <f t="shared" si="107"/>
        <v>4.1876000000000104</v>
      </c>
      <c r="K715" s="116">
        <f t="shared" si="108"/>
        <v>4.1876000000000104</v>
      </c>
      <c r="L715" s="116">
        <f t="shared" si="109"/>
        <v>17.535993760000089</v>
      </c>
      <c r="M715" s="117">
        <f t="shared" si="105"/>
        <v>8.3169811320754919E-2</v>
      </c>
    </row>
    <row r="716" spans="1:13">
      <c r="A716" s="112">
        <v>713</v>
      </c>
      <c r="B716" s="107">
        <v>42660</v>
      </c>
      <c r="C716" s="108">
        <v>49.97</v>
      </c>
      <c r="D716" s="115">
        <f t="shared" si="104"/>
        <v>47.730000000000004</v>
      </c>
      <c r="E716" s="115">
        <f t="shared" si="100"/>
        <v>2.2399999999999949</v>
      </c>
      <c r="F716" s="115">
        <f t="shared" si="101"/>
        <v>2.2399999999999949</v>
      </c>
      <c r="G716" s="115">
        <f t="shared" si="102"/>
        <v>5.0175999999999767</v>
      </c>
      <c r="H716" s="115">
        <f t="shared" si="103"/>
        <v>4.4826896137682509E-2</v>
      </c>
      <c r="I716" s="116">
        <f t="shared" si="106"/>
        <v>46.332799999999992</v>
      </c>
      <c r="J716" s="116">
        <f t="shared" si="107"/>
        <v>3.6372000000000071</v>
      </c>
      <c r="K716" s="116">
        <f t="shared" si="108"/>
        <v>3.6372000000000071</v>
      </c>
      <c r="L716" s="116">
        <f t="shared" si="109"/>
        <v>13.229223840000051</v>
      </c>
      <c r="M716" s="117">
        <f t="shared" si="105"/>
        <v>7.2787672603562281E-2</v>
      </c>
    </row>
    <row r="717" spans="1:13">
      <c r="A717" s="112">
        <v>714</v>
      </c>
      <c r="B717" s="113">
        <v>42661</v>
      </c>
      <c r="C717" s="114">
        <v>50.3</v>
      </c>
      <c r="D717" s="115">
        <f t="shared" si="104"/>
        <v>48.061500000000002</v>
      </c>
      <c r="E717" s="115">
        <f t="shared" si="100"/>
        <v>2.2384999999999948</v>
      </c>
      <c r="F717" s="115">
        <f t="shared" si="101"/>
        <v>2.2384999999999948</v>
      </c>
      <c r="G717" s="115">
        <f t="shared" si="102"/>
        <v>5.0108822499999768</v>
      </c>
      <c r="H717" s="115">
        <f t="shared" si="103"/>
        <v>4.4502982107355767E-2</v>
      </c>
      <c r="I717" s="116">
        <f t="shared" si="106"/>
        <v>46.470999999999975</v>
      </c>
      <c r="J717" s="116">
        <f t="shared" si="107"/>
        <v>3.8290000000000219</v>
      </c>
      <c r="K717" s="116">
        <f t="shared" si="108"/>
        <v>3.8290000000000219</v>
      </c>
      <c r="L717" s="116">
        <f t="shared" si="109"/>
        <v>14.661241000000167</v>
      </c>
      <c r="M717" s="117">
        <f t="shared" si="105"/>
        <v>7.6123260437376189E-2</v>
      </c>
    </row>
    <row r="718" spans="1:13">
      <c r="A718" s="112">
        <v>715</v>
      </c>
      <c r="B718" s="107">
        <v>42662</v>
      </c>
      <c r="C718" s="108">
        <v>51.59</v>
      </c>
      <c r="D718" s="115">
        <f t="shared" si="104"/>
        <v>48.384</v>
      </c>
      <c r="E718" s="115">
        <f t="shared" si="100"/>
        <v>3.2060000000000031</v>
      </c>
      <c r="F718" s="115">
        <f t="shared" si="101"/>
        <v>3.2060000000000031</v>
      </c>
      <c r="G718" s="115">
        <f t="shared" si="102"/>
        <v>10.278436000000021</v>
      </c>
      <c r="H718" s="115">
        <f t="shared" si="103"/>
        <v>6.2143826322930855E-2</v>
      </c>
      <c r="I718" s="116">
        <f t="shared" si="106"/>
        <v>46.621399999999973</v>
      </c>
      <c r="J718" s="116">
        <f t="shared" si="107"/>
        <v>4.9686000000000305</v>
      </c>
      <c r="K718" s="116">
        <f t="shared" si="108"/>
        <v>4.9686000000000305</v>
      </c>
      <c r="L718" s="116">
        <f t="shared" si="109"/>
        <v>24.686985960000303</v>
      </c>
      <c r="M718" s="117">
        <f t="shared" si="105"/>
        <v>9.6309362279512117E-2</v>
      </c>
    </row>
    <row r="719" spans="1:13">
      <c r="A719" s="112">
        <v>716</v>
      </c>
      <c r="B719" s="113">
        <v>42663</v>
      </c>
      <c r="C719" s="114">
        <v>50.31</v>
      </c>
      <c r="D719" s="115">
        <f t="shared" si="104"/>
        <v>48.69700000000001</v>
      </c>
      <c r="E719" s="115">
        <f t="shared" si="100"/>
        <v>1.6129999999999924</v>
      </c>
      <c r="F719" s="115">
        <f t="shared" si="101"/>
        <v>1.6129999999999924</v>
      </c>
      <c r="G719" s="115">
        <f t="shared" si="102"/>
        <v>2.6017689999999756</v>
      </c>
      <c r="H719" s="115">
        <f t="shared" si="103"/>
        <v>3.2061220433313303E-2</v>
      </c>
      <c r="I719" s="116">
        <f t="shared" si="106"/>
        <v>46.81819999999999</v>
      </c>
      <c r="J719" s="116">
        <f t="shared" si="107"/>
        <v>3.491800000000012</v>
      </c>
      <c r="K719" s="116">
        <f t="shared" si="108"/>
        <v>3.491800000000012</v>
      </c>
      <c r="L719" s="116">
        <f t="shared" si="109"/>
        <v>12.192667240000084</v>
      </c>
      <c r="M719" s="117">
        <f t="shared" si="105"/>
        <v>6.9405684754522204E-2</v>
      </c>
    </row>
    <row r="720" spans="1:13">
      <c r="A720" s="112">
        <v>717</v>
      </c>
      <c r="B720" s="107">
        <v>42664</v>
      </c>
      <c r="C720" s="108">
        <v>50.61</v>
      </c>
      <c r="D720" s="115">
        <f t="shared" si="104"/>
        <v>48.907500000000006</v>
      </c>
      <c r="E720" s="115">
        <f t="shared" si="100"/>
        <v>1.7024999999999935</v>
      </c>
      <c r="F720" s="115">
        <f t="shared" si="101"/>
        <v>1.7024999999999935</v>
      </c>
      <c r="G720" s="115">
        <f t="shared" si="102"/>
        <v>2.8985062499999779</v>
      </c>
      <c r="H720" s="115">
        <f t="shared" si="103"/>
        <v>3.363959691760509E-2</v>
      </c>
      <c r="I720" s="116">
        <f t="shared" si="106"/>
        <v>46.954199999999993</v>
      </c>
      <c r="J720" s="116">
        <f t="shared" si="107"/>
        <v>3.6558000000000064</v>
      </c>
      <c r="K720" s="116">
        <f t="shared" si="108"/>
        <v>3.6558000000000064</v>
      </c>
      <c r="L720" s="116">
        <f t="shared" si="109"/>
        <v>13.364873640000047</v>
      </c>
      <c r="M720" s="117">
        <f t="shared" si="105"/>
        <v>7.2234736218138834E-2</v>
      </c>
    </row>
    <row r="721" spans="1:13">
      <c r="A721" s="112">
        <v>718</v>
      </c>
      <c r="B721" s="113">
        <v>42667</v>
      </c>
      <c r="C721" s="114">
        <v>50.18</v>
      </c>
      <c r="D721" s="115">
        <f t="shared" si="104"/>
        <v>49.220000000000013</v>
      </c>
      <c r="E721" s="115">
        <f t="shared" si="100"/>
        <v>0.95999999999998664</v>
      </c>
      <c r="F721" s="115">
        <f t="shared" si="101"/>
        <v>0.95999999999998664</v>
      </c>
      <c r="G721" s="115">
        <f t="shared" si="102"/>
        <v>0.92159999999997433</v>
      </c>
      <c r="H721" s="115">
        <f t="shared" si="103"/>
        <v>1.9131127939417829E-2</v>
      </c>
      <c r="I721" s="116">
        <f t="shared" si="106"/>
        <v>47.076999999999991</v>
      </c>
      <c r="J721" s="116">
        <f t="shared" si="107"/>
        <v>3.1030000000000086</v>
      </c>
      <c r="K721" s="116">
        <f t="shared" si="108"/>
        <v>3.1030000000000086</v>
      </c>
      <c r="L721" s="116">
        <f t="shared" si="109"/>
        <v>9.6286090000000542</v>
      </c>
      <c r="M721" s="117">
        <f t="shared" si="105"/>
        <v>6.1837385412515121E-2</v>
      </c>
    </row>
    <row r="722" spans="1:13">
      <c r="A722" s="112">
        <v>719</v>
      </c>
      <c r="B722" s="107">
        <v>42668</v>
      </c>
      <c r="C722" s="108">
        <v>49.45</v>
      </c>
      <c r="D722" s="115">
        <f t="shared" si="104"/>
        <v>49.448999999999998</v>
      </c>
      <c r="E722" s="115">
        <f t="shared" si="100"/>
        <v>1.0000000000047748E-3</v>
      </c>
      <c r="F722" s="115">
        <f t="shared" si="101"/>
        <v>1.0000000000047748E-3</v>
      </c>
      <c r="G722" s="115">
        <f t="shared" si="102"/>
        <v>1.0000000000095496E-6</v>
      </c>
      <c r="H722" s="115">
        <f t="shared" si="103"/>
        <v>2.0222446916173405E-5</v>
      </c>
      <c r="I722" s="116">
        <f t="shared" si="106"/>
        <v>47.166199999999989</v>
      </c>
      <c r="J722" s="116">
        <f t="shared" si="107"/>
        <v>2.2838000000000136</v>
      </c>
      <c r="K722" s="116">
        <f t="shared" si="108"/>
        <v>2.2838000000000136</v>
      </c>
      <c r="L722" s="116">
        <f t="shared" si="109"/>
        <v>5.2157424400000618</v>
      </c>
      <c r="M722" s="117">
        <f t="shared" si="105"/>
        <v>4.6184024266936574E-2</v>
      </c>
    </row>
    <row r="723" spans="1:13">
      <c r="A723" s="112">
        <v>720</v>
      </c>
      <c r="B723" s="113">
        <v>42669</v>
      </c>
      <c r="C723" s="114">
        <v>48.75</v>
      </c>
      <c r="D723" s="115">
        <f t="shared" si="104"/>
        <v>49.689</v>
      </c>
      <c r="E723" s="115">
        <f t="shared" si="100"/>
        <v>-0.93900000000000006</v>
      </c>
      <c r="F723" s="115">
        <f t="shared" si="101"/>
        <v>0.93900000000000006</v>
      </c>
      <c r="G723" s="115">
        <f t="shared" si="102"/>
        <v>0.88172100000000009</v>
      </c>
      <c r="H723" s="115">
        <f t="shared" si="103"/>
        <v>1.9261538461538462E-2</v>
      </c>
      <c r="I723" s="116">
        <f t="shared" si="106"/>
        <v>47.22379999999999</v>
      </c>
      <c r="J723" s="116">
        <f t="shared" si="107"/>
        <v>1.52620000000001</v>
      </c>
      <c r="K723" s="116">
        <f t="shared" si="108"/>
        <v>1.52620000000001</v>
      </c>
      <c r="L723" s="116">
        <f t="shared" si="109"/>
        <v>2.3292864400000304</v>
      </c>
      <c r="M723" s="117">
        <f t="shared" si="105"/>
        <v>3.1306666666666871E-2</v>
      </c>
    </row>
    <row r="724" spans="1:13">
      <c r="A724" s="112">
        <v>721</v>
      </c>
      <c r="B724" s="107">
        <v>42670</v>
      </c>
      <c r="C724" s="108">
        <v>49.71</v>
      </c>
      <c r="D724" s="115">
        <f t="shared" si="104"/>
        <v>49.773000000000003</v>
      </c>
      <c r="E724" s="115">
        <f t="shared" si="100"/>
        <v>-6.3000000000002387E-2</v>
      </c>
      <c r="F724" s="115">
        <f t="shared" si="101"/>
        <v>6.3000000000002387E-2</v>
      </c>
      <c r="G724" s="115">
        <f t="shared" si="102"/>
        <v>3.9690000000003004E-3</v>
      </c>
      <c r="H724" s="115">
        <f t="shared" si="103"/>
        <v>1.2673506336753648E-3</v>
      </c>
      <c r="I724" s="116">
        <f t="shared" si="106"/>
        <v>47.262599999999992</v>
      </c>
      <c r="J724" s="116">
        <f t="shared" si="107"/>
        <v>2.4474000000000089</v>
      </c>
      <c r="K724" s="116">
        <f t="shared" si="108"/>
        <v>2.4474000000000089</v>
      </c>
      <c r="L724" s="116">
        <f t="shared" si="109"/>
        <v>5.9897667600000437</v>
      </c>
      <c r="M724" s="117">
        <f t="shared" si="105"/>
        <v>4.9233554616777489E-2</v>
      </c>
    </row>
    <row r="725" spans="1:13">
      <c r="A725" s="112">
        <v>722</v>
      </c>
      <c r="B725" s="113">
        <v>42671</v>
      </c>
      <c r="C725" s="114">
        <v>48.72</v>
      </c>
      <c r="D725" s="115">
        <f t="shared" si="104"/>
        <v>49.872500000000002</v>
      </c>
      <c r="E725" s="115">
        <f t="shared" si="100"/>
        <v>-1.1525000000000034</v>
      </c>
      <c r="F725" s="115">
        <f t="shared" si="101"/>
        <v>1.1525000000000034</v>
      </c>
      <c r="G725" s="115">
        <f t="shared" si="102"/>
        <v>1.3282562500000079</v>
      </c>
      <c r="H725" s="115">
        <f t="shared" si="103"/>
        <v>2.3655582922824374E-2</v>
      </c>
      <c r="I725" s="116">
        <f t="shared" si="106"/>
        <v>47.292799999999986</v>
      </c>
      <c r="J725" s="116">
        <f t="shared" si="107"/>
        <v>1.4272000000000133</v>
      </c>
      <c r="K725" s="116">
        <f t="shared" si="108"/>
        <v>1.4272000000000133</v>
      </c>
      <c r="L725" s="116">
        <f t="shared" si="109"/>
        <v>2.036899840000038</v>
      </c>
      <c r="M725" s="117">
        <f t="shared" si="105"/>
        <v>2.9293924466338533E-2</v>
      </c>
    </row>
    <row r="726" spans="1:13">
      <c r="A726" s="112">
        <v>723</v>
      </c>
      <c r="B726" s="107">
        <v>42674</v>
      </c>
      <c r="C726" s="108">
        <v>46.83</v>
      </c>
      <c r="D726" s="115">
        <f t="shared" si="104"/>
        <v>49.922499999999999</v>
      </c>
      <c r="E726" s="115">
        <f t="shared" si="100"/>
        <v>-3.0925000000000011</v>
      </c>
      <c r="F726" s="115">
        <f t="shared" si="101"/>
        <v>3.0925000000000011</v>
      </c>
      <c r="G726" s="115">
        <f t="shared" si="102"/>
        <v>9.5635562500000066</v>
      </c>
      <c r="H726" s="115">
        <f t="shared" si="103"/>
        <v>6.6036728592782437E-2</v>
      </c>
      <c r="I726" s="116">
        <f t="shared" si="106"/>
        <v>47.297599999999996</v>
      </c>
      <c r="J726" s="116">
        <f t="shared" si="107"/>
        <v>-0.46759999999999735</v>
      </c>
      <c r="K726" s="116">
        <f t="shared" si="108"/>
        <v>0.46759999999999735</v>
      </c>
      <c r="L726" s="116">
        <f t="shared" si="109"/>
        <v>0.21864975999999753</v>
      </c>
      <c r="M726" s="117">
        <f t="shared" si="105"/>
        <v>-9.9850523168908255E-3</v>
      </c>
    </row>
    <row r="727" spans="1:13">
      <c r="A727" s="112">
        <v>724</v>
      </c>
      <c r="B727" s="113">
        <v>42675</v>
      </c>
      <c r="C727" s="114">
        <v>46.66</v>
      </c>
      <c r="D727" s="115">
        <f t="shared" si="104"/>
        <v>49.824000000000005</v>
      </c>
      <c r="E727" s="115">
        <f t="shared" si="100"/>
        <v>-3.1640000000000086</v>
      </c>
      <c r="F727" s="115">
        <f t="shared" si="101"/>
        <v>3.1640000000000086</v>
      </c>
      <c r="G727" s="115">
        <f t="shared" si="102"/>
        <v>10.010896000000054</v>
      </c>
      <c r="H727" s="115">
        <f t="shared" si="103"/>
        <v>6.7809687098157073E-2</v>
      </c>
      <c r="I727" s="116">
        <f t="shared" si="106"/>
        <v>47.298199999999987</v>
      </c>
      <c r="J727" s="116">
        <f t="shared" si="107"/>
        <v>-0.63819999999999055</v>
      </c>
      <c r="K727" s="116">
        <f t="shared" si="108"/>
        <v>0.63819999999999055</v>
      </c>
      <c r="L727" s="116">
        <f t="shared" si="109"/>
        <v>0.40729923999998796</v>
      </c>
      <c r="M727" s="117">
        <f t="shared" si="105"/>
        <v>-1.3677668238319559E-2</v>
      </c>
    </row>
    <row r="728" spans="1:13">
      <c r="A728" s="112">
        <v>725</v>
      </c>
      <c r="B728" s="107">
        <v>42676</v>
      </c>
      <c r="C728" s="108">
        <v>45.32</v>
      </c>
      <c r="D728" s="115">
        <f t="shared" si="104"/>
        <v>49.723500000000001</v>
      </c>
      <c r="E728" s="115">
        <f t="shared" ref="E728:E791" si="110">C728-D728</f>
        <v>-4.4035000000000011</v>
      </c>
      <c r="F728" s="115">
        <f t="shared" ref="F728:F791" si="111">ABS(E728)</f>
        <v>4.4035000000000011</v>
      </c>
      <c r="G728" s="115">
        <f t="shared" ref="G728:G791" si="112">E728^2</f>
        <v>19.39081225000001</v>
      </c>
      <c r="H728" s="115">
        <f t="shared" ref="H728:H791" si="113">F728/C728</f>
        <v>9.716460723742279E-2</v>
      </c>
      <c r="I728" s="116">
        <f t="shared" si="106"/>
        <v>47.280599999999986</v>
      </c>
      <c r="J728" s="116">
        <f t="shared" si="107"/>
        <v>-1.9605999999999852</v>
      </c>
      <c r="K728" s="116">
        <f t="shared" si="108"/>
        <v>1.9605999999999852</v>
      </c>
      <c r="L728" s="116">
        <f t="shared" si="109"/>
        <v>3.8439523599999421</v>
      </c>
      <c r="M728" s="117">
        <f t="shared" si="105"/>
        <v>-4.3261253309796674E-2</v>
      </c>
    </row>
    <row r="729" spans="1:13">
      <c r="A729" s="112">
        <v>726</v>
      </c>
      <c r="B729" s="113">
        <v>42677</v>
      </c>
      <c r="C729" s="114">
        <v>44.66</v>
      </c>
      <c r="D729" s="115">
        <f t="shared" si="104"/>
        <v>49.502000000000002</v>
      </c>
      <c r="E729" s="115">
        <f t="shared" si="110"/>
        <v>-4.8420000000000059</v>
      </c>
      <c r="F729" s="115">
        <f t="shared" si="111"/>
        <v>4.8420000000000059</v>
      </c>
      <c r="G729" s="115">
        <f t="shared" si="112"/>
        <v>23.444964000000056</v>
      </c>
      <c r="H729" s="115">
        <f t="shared" si="113"/>
        <v>0.10841916703985684</v>
      </c>
      <c r="I729" s="116">
        <f t="shared" si="106"/>
        <v>47.261200000000002</v>
      </c>
      <c r="J729" s="116">
        <f t="shared" si="107"/>
        <v>-2.6012000000000057</v>
      </c>
      <c r="K729" s="116">
        <f t="shared" si="108"/>
        <v>2.6012000000000057</v>
      </c>
      <c r="L729" s="116">
        <f t="shared" si="109"/>
        <v>6.7662414400000301</v>
      </c>
      <c r="M729" s="117">
        <f t="shared" si="105"/>
        <v>-5.8244514106583205E-2</v>
      </c>
    </row>
    <row r="730" spans="1:13">
      <c r="A730" s="112">
        <v>727</v>
      </c>
      <c r="B730" s="107">
        <v>42678</v>
      </c>
      <c r="C730" s="108">
        <v>44.07</v>
      </c>
      <c r="D730" s="115">
        <f t="shared" ref="D730:D793" si="114">AVERAGE(C710:C729)</f>
        <v>49.213000000000001</v>
      </c>
      <c r="E730" s="115">
        <f t="shared" si="110"/>
        <v>-5.1430000000000007</v>
      </c>
      <c r="F730" s="115">
        <f t="shared" si="111"/>
        <v>5.1430000000000007</v>
      </c>
      <c r="G730" s="115">
        <f t="shared" si="112"/>
        <v>26.450449000000006</v>
      </c>
      <c r="H730" s="115">
        <f t="shared" si="113"/>
        <v>0.11670070342636715</v>
      </c>
      <c r="I730" s="116">
        <f t="shared" si="106"/>
        <v>47.215000000000003</v>
      </c>
      <c r="J730" s="116">
        <f t="shared" si="107"/>
        <v>-3.1450000000000031</v>
      </c>
      <c r="K730" s="116">
        <f t="shared" si="108"/>
        <v>3.1450000000000031</v>
      </c>
      <c r="L730" s="116">
        <f t="shared" si="109"/>
        <v>9.8910250000000204</v>
      </c>
      <c r="M730" s="117">
        <f t="shared" si="105"/>
        <v>-7.1363739505332494E-2</v>
      </c>
    </row>
    <row r="731" spans="1:13">
      <c r="A731" s="112">
        <v>728</v>
      </c>
      <c r="B731" s="113">
        <v>42681</v>
      </c>
      <c r="C731" s="114">
        <v>44.88</v>
      </c>
      <c r="D731" s="115">
        <f t="shared" si="114"/>
        <v>48.928500000000007</v>
      </c>
      <c r="E731" s="115">
        <f t="shared" si="110"/>
        <v>-4.0485000000000042</v>
      </c>
      <c r="F731" s="115">
        <f t="shared" si="111"/>
        <v>4.0485000000000042</v>
      </c>
      <c r="G731" s="115">
        <f t="shared" si="112"/>
        <v>16.390352250000035</v>
      </c>
      <c r="H731" s="115">
        <f t="shared" si="113"/>
        <v>9.0207219251336984E-2</v>
      </c>
      <c r="I731" s="116">
        <f t="shared" si="106"/>
        <v>47.143599999999999</v>
      </c>
      <c r="J731" s="116">
        <f t="shared" si="107"/>
        <v>-2.2635999999999967</v>
      </c>
      <c r="K731" s="116">
        <f t="shared" si="108"/>
        <v>2.2635999999999967</v>
      </c>
      <c r="L731" s="116">
        <f t="shared" si="109"/>
        <v>5.1238849599999856</v>
      </c>
      <c r="M731" s="117">
        <f t="shared" si="105"/>
        <v>-5.043672014260242E-2</v>
      </c>
    </row>
    <row r="732" spans="1:13">
      <c r="A732" s="112">
        <v>729</v>
      </c>
      <c r="B732" s="107">
        <v>42682</v>
      </c>
      <c r="C732" s="108">
        <v>44.96</v>
      </c>
      <c r="D732" s="115">
        <f t="shared" si="114"/>
        <v>48.684500000000007</v>
      </c>
      <c r="E732" s="115">
        <f t="shared" si="110"/>
        <v>-3.7245000000000061</v>
      </c>
      <c r="F732" s="115">
        <f t="shared" si="111"/>
        <v>3.7245000000000061</v>
      </c>
      <c r="G732" s="115">
        <f t="shared" si="112"/>
        <v>13.871900250000046</v>
      </c>
      <c r="H732" s="115">
        <f t="shared" si="113"/>
        <v>8.2840302491103343E-2</v>
      </c>
      <c r="I732" s="116">
        <f t="shared" si="106"/>
        <v>47.101800000000004</v>
      </c>
      <c r="J732" s="116">
        <f t="shared" si="107"/>
        <v>-2.1418000000000035</v>
      </c>
      <c r="K732" s="116">
        <f t="shared" si="108"/>
        <v>2.1418000000000035</v>
      </c>
      <c r="L732" s="116">
        <f t="shared" si="109"/>
        <v>4.5873072400000146</v>
      </c>
      <c r="M732" s="117">
        <f t="shared" si="105"/>
        <v>-4.7637900355871961E-2</v>
      </c>
    </row>
    <row r="733" spans="1:13">
      <c r="A733" s="112">
        <v>730</v>
      </c>
      <c r="B733" s="113">
        <v>42683</v>
      </c>
      <c r="C733" s="114">
        <v>45.2</v>
      </c>
      <c r="D733" s="115">
        <f t="shared" si="114"/>
        <v>48.396500000000017</v>
      </c>
      <c r="E733" s="115">
        <f t="shared" si="110"/>
        <v>-3.1965000000000146</v>
      </c>
      <c r="F733" s="115">
        <f t="shared" si="111"/>
        <v>3.1965000000000146</v>
      </c>
      <c r="G733" s="115">
        <f t="shared" si="112"/>
        <v>10.217612250000093</v>
      </c>
      <c r="H733" s="115">
        <f t="shared" si="113"/>
        <v>7.0719026548672889E-2</v>
      </c>
      <c r="I733" s="116">
        <f t="shared" si="106"/>
        <v>47.074600000000011</v>
      </c>
      <c r="J733" s="116">
        <f t="shared" si="107"/>
        <v>-1.874600000000008</v>
      </c>
      <c r="K733" s="116">
        <f t="shared" si="108"/>
        <v>1.874600000000008</v>
      </c>
      <c r="L733" s="116">
        <f t="shared" si="109"/>
        <v>3.5141251600000301</v>
      </c>
      <c r="M733" s="117">
        <f t="shared" si="105"/>
        <v>-4.1473451327433804E-2</v>
      </c>
    </row>
    <row r="734" spans="1:13">
      <c r="A734" s="112">
        <v>731</v>
      </c>
      <c r="B734" s="107">
        <v>42684</v>
      </c>
      <c r="C734" s="108">
        <v>44.62</v>
      </c>
      <c r="D734" s="115">
        <f t="shared" si="114"/>
        <v>48.14950000000001</v>
      </c>
      <c r="E734" s="115">
        <f t="shared" si="110"/>
        <v>-3.529500000000013</v>
      </c>
      <c r="F734" s="115">
        <f t="shared" si="111"/>
        <v>3.529500000000013</v>
      </c>
      <c r="G734" s="115">
        <f t="shared" si="112"/>
        <v>12.457370250000091</v>
      </c>
      <c r="H734" s="115">
        <f t="shared" si="113"/>
        <v>7.9101299865531452E-2</v>
      </c>
      <c r="I734" s="116">
        <f t="shared" si="106"/>
        <v>47.085000000000008</v>
      </c>
      <c r="J734" s="116">
        <f t="shared" si="107"/>
        <v>-2.4650000000000105</v>
      </c>
      <c r="K734" s="116">
        <f t="shared" si="108"/>
        <v>2.4650000000000105</v>
      </c>
      <c r="L734" s="116">
        <f t="shared" si="109"/>
        <v>6.0762250000000515</v>
      </c>
      <c r="M734" s="117">
        <f t="shared" si="105"/>
        <v>-5.5244285073958108E-2</v>
      </c>
    </row>
    <row r="735" spans="1:13">
      <c r="A735" s="112">
        <v>732</v>
      </c>
      <c r="B735" s="113">
        <v>42685</v>
      </c>
      <c r="C735" s="114">
        <v>43.39</v>
      </c>
      <c r="D735" s="115">
        <f t="shared" si="114"/>
        <v>47.857000000000006</v>
      </c>
      <c r="E735" s="115">
        <f t="shared" si="110"/>
        <v>-4.4670000000000059</v>
      </c>
      <c r="F735" s="115">
        <f t="shared" si="111"/>
        <v>4.4670000000000059</v>
      </c>
      <c r="G735" s="115">
        <f t="shared" si="112"/>
        <v>19.954089000000053</v>
      </c>
      <c r="H735" s="115">
        <f t="shared" si="113"/>
        <v>0.10294998847660765</v>
      </c>
      <c r="I735" s="116">
        <f t="shared" si="106"/>
        <v>47.114000000000004</v>
      </c>
      <c r="J735" s="116">
        <f t="shared" si="107"/>
        <v>-3.7240000000000038</v>
      </c>
      <c r="K735" s="116">
        <f t="shared" si="108"/>
        <v>3.7240000000000038</v>
      </c>
      <c r="L735" s="116">
        <f t="shared" si="109"/>
        <v>13.868176000000028</v>
      </c>
      <c r="M735" s="117">
        <f t="shared" si="105"/>
        <v>-8.5826227241299929E-2</v>
      </c>
    </row>
    <row r="736" spans="1:13">
      <c r="A736" s="112">
        <v>733</v>
      </c>
      <c r="B736" s="107">
        <v>42688</v>
      </c>
      <c r="C736" s="108">
        <v>43.29</v>
      </c>
      <c r="D736" s="115">
        <f t="shared" si="114"/>
        <v>47.509000000000007</v>
      </c>
      <c r="E736" s="115">
        <f t="shared" si="110"/>
        <v>-4.2190000000000083</v>
      </c>
      <c r="F736" s="115">
        <f t="shared" si="111"/>
        <v>4.2190000000000083</v>
      </c>
      <c r="G736" s="115">
        <f t="shared" si="112"/>
        <v>17.799961000000071</v>
      </c>
      <c r="H736" s="115">
        <f t="shared" si="113"/>
        <v>9.7458997458997651E-2</v>
      </c>
      <c r="I736" s="116">
        <f t="shared" si="106"/>
        <v>47.093999999999994</v>
      </c>
      <c r="J736" s="116">
        <f t="shared" si="107"/>
        <v>-3.8039999999999949</v>
      </c>
      <c r="K736" s="116">
        <f t="shared" si="108"/>
        <v>3.8039999999999949</v>
      </c>
      <c r="L736" s="116">
        <f t="shared" si="109"/>
        <v>14.470415999999961</v>
      </c>
      <c r="M736" s="117">
        <f t="shared" si="105"/>
        <v>-8.7872487872487762E-2</v>
      </c>
    </row>
    <row r="737" spans="1:13">
      <c r="A737" s="112">
        <v>734</v>
      </c>
      <c r="B737" s="113">
        <v>42689</v>
      </c>
      <c r="C737" s="114">
        <v>45.86</v>
      </c>
      <c r="D737" s="115">
        <f t="shared" si="114"/>
        <v>47.175000000000004</v>
      </c>
      <c r="E737" s="115">
        <f t="shared" si="110"/>
        <v>-1.3150000000000048</v>
      </c>
      <c r="F737" s="115">
        <f t="shared" si="111"/>
        <v>1.3150000000000048</v>
      </c>
      <c r="G737" s="115">
        <f t="shared" si="112"/>
        <v>1.7292250000000127</v>
      </c>
      <c r="H737" s="115">
        <f t="shared" si="113"/>
        <v>2.8674225904928147E-2</v>
      </c>
      <c r="I737" s="116">
        <f t="shared" si="106"/>
        <v>47.071999999999996</v>
      </c>
      <c r="J737" s="116">
        <f t="shared" si="107"/>
        <v>-1.2119999999999962</v>
      </c>
      <c r="K737" s="116">
        <f t="shared" si="108"/>
        <v>1.2119999999999962</v>
      </c>
      <c r="L737" s="116">
        <f t="shared" si="109"/>
        <v>1.4689439999999907</v>
      </c>
      <c r="M737" s="117">
        <f t="shared" si="105"/>
        <v>-2.6428259921500136E-2</v>
      </c>
    </row>
    <row r="738" spans="1:13">
      <c r="A738" s="112">
        <v>735</v>
      </c>
      <c r="B738" s="107">
        <v>42690</v>
      </c>
      <c r="C738" s="108">
        <v>45.56</v>
      </c>
      <c r="D738" s="115">
        <f t="shared" si="114"/>
        <v>46.953000000000003</v>
      </c>
      <c r="E738" s="115">
        <f t="shared" si="110"/>
        <v>-1.3930000000000007</v>
      </c>
      <c r="F738" s="115">
        <f t="shared" si="111"/>
        <v>1.3930000000000007</v>
      </c>
      <c r="G738" s="115">
        <f t="shared" si="112"/>
        <v>1.9404490000000019</v>
      </c>
      <c r="H738" s="115">
        <f t="shared" si="113"/>
        <v>3.057506584723443E-2</v>
      </c>
      <c r="I738" s="116">
        <f t="shared" si="106"/>
        <v>47.092199999999991</v>
      </c>
      <c r="J738" s="116">
        <f t="shared" si="107"/>
        <v>-1.5321999999999889</v>
      </c>
      <c r="K738" s="116">
        <f t="shared" si="108"/>
        <v>1.5321999999999889</v>
      </c>
      <c r="L738" s="116">
        <f t="shared" si="109"/>
        <v>2.3476368399999661</v>
      </c>
      <c r="M738" s="117">
        <f t="shared" si="105"/>
        <v>-3.3630377524143738E-2</v>
      </c>
    </row>
    <row r="739" spans="1:13">
      <c r="A739" s="112">
        <v>736</v>
      </c>
      <c r="B739" s="113">
        <v>42691</v>
      </c>
      <c r="C739" s="114">
        <v>45.37</v>
      </c>
      <c r="D739" s="115">
        <f t="shared" si="114"/>
        <v>46.651500000000013</v>
      </c>
      <c r="E739" s="115">
        <f t="shared" si="110"/>
        <v>-1.2815000000000154</v>
      </c>
      <c r="F739" s="115">
        <f t="shared" si="111"/>
        <v>1.2815000000000154</v>
      </c>
      <c r="G739" s="115">
        <f t="shared" si="112"/>
        <v>1.6422422500000395</v>
      </c>
      <c r="H739" s="115">
        <f t="shared" si="113"/>
        <v>2.8245536698259101E-2</v>
      </c>
      <c r="I739" s="116">
        <f t="shared" si="106"/>
        <v>47.093999999999994</v>
      </c>
      <c r="J739" s="116">
        <f t="shared" si="107"/>
        <v>-1.7239999999999966</v>
      </c>
      <c r="K739" s="116">
        <f t="shared" si="108"/>
        <v>1.7239999999999966</v>
      </c>
      <c r="L739" s="116">
        <f t="shared" si="109"/>
        <v>2.9721759999999886</v>
      </c>
      <c r="M739" s="117">
        <f t="shared" si="105"/>
        <v>-3.7998677540224748E-2</v>
      </c>
    </row>
    <row r="740" spans="1:13">
      <c r="A740" s="112">
        <v>737</v>
      </c>
      <c r="B740" s="107">
        <v>42692</v>
      </c>
      <c r="C740" s="108">
        <v>45.69</v>
      </c>
      <c r="D740" s="115">
        <f t="shared" si="114"/>
        <v>46.404499999999999</v>
      </c>
      <c r="E740" s="115">
        <f t="shared" si="110"/>
        <v>-0.71450000000000102</v>
      </c>
      <c r="F740" s="115">
        <f t="shared" si="111"/>
        <v>0.71450000000000102</v>
      </c>
      <c r="G740" s="115">
        <f t="shared" si="112"/>
        <v>0.5105102500000015</v>
      </c>
      <c r="H740" s="115">
        <f t="shared" si="113"/>
        <v>1.5637995184942025E-2</v>
      </c>
      <c r="I740" s="116">
        <f t="shared" si="106"/>
        <v>47.048799999999993</v>
      </c>
      <c r="J740" s="116">
        <f t="shared" si="107"/>
        <v>-1.3587999999999951</v>
      </c>
      <c r="K740" s="116">
        <f t="shared" si="108"/>
        <v>1.3587999999999951</v>
      </c>
      <c r="L740" s="116">
        <f t="shared" si="109"/>
        <v>1.8463374399999868</v>
      </c>
      <c r="M740" s="117">
        <f t="shared" si="105"/>
        <v>-2.9739549135478119E-2</v>
      </c>
    </row>
    <row r="741" spans="1:13">
      <c r="A741" s="112">
        <v>738</v>
      </c>
      <c r="B741" s="113">
        <v>42695</v>
      </c>
      <c r="C741" s="114">
        <v>47.48</v>
      </c>
      <c r="D741" s="115">
        <f t="shared" si="114"/>
        <v>46.158500000000004</v>
      </c>
      <c r="E741" s="115">
        <f t="shared" si="110"/>
        <v>1.3214999999999932</v>
      </c>
      <c r="F741" s="115">
        <f t="shared" si="111"/>
        <v>1.3214999999999932</v>
      </c>
      <c r="G741" s="115">
        <f t="shared" si="112"/>
        <v>1.746362249999982</v>
      </c>
      <c r="H741" s="115">
        <f t="shared" si="113"/>
        <v>2.7832771693344426E-2</v>
      </c>
      <c r="I741" s="116">
        <f t="shared" si="106"/>
        <v>47.045000000000002</v>
      </c>
      <c r="J741" s="116">
        <f t="shared" si="107"/>
        <v>0.43499999999999517</v>
      </c>
      <c r="K741" s="116">
        <f t="shared" si="108"/>
        <v>0.43499999999999517</v>
      </c>
      <c r="L741" s="116">
        <f t="shared" si="109"/>
        <v>0.18922499999999579</v>
      </c>
      <c r="M741" s="117">
        <f t="shared" si="105"/>
        <v>9.1617523167648526E-3</v>
      </c>
    </row>
    <row r="742" spans="1:13">
      <c r="A742" s="112">
        <v>739</v>
      </c>
      <c r="B742" s="107">
        <v>42696</v>
      </c>
      <c r="C742" s="108">
        <v>48.07</v>
      </c>
      <c r="D742" s="115">
        <f t="shared" si="114"/>
        <v>46.023499999999999</v>
      </c>
      <c r="E742" s="115">
        <f t="shared" si="110"/>
        <v>2.0465000000000018</v>
      </c>
      <c r="F742" s="115">
        <f t="shared" si="111"/>
        <v>2.0465000000000018</v>
      </c>
      <c r="G742" s="115">
        <f t="shared" si="112"/>
        <v>4.1881622500000075</v>
      </c>
      <c r="H742" s="115">
        <f t="shared" si="113"/>
        <v>4.2573330559600622E-2</v>
      </c>
      <c r="I742" s="116">
        <f t="shared" si="106"/>
        <v>47.068999999999996</v>
      </c>
      <c r="J742" s="116">
        <f t="shared" si="107"/>
        <v>1.0010000000000048</v>
      </c>
      <c r="K742" s="116">
        <f t="shared" si="108"/>
        <v>1.0010000000000048</v>
      </c>
      <c r="L742" s="116">
        <f t="shared" si="109"/>
        <v>1.0020010000000095</v>
      </c>
      <c r="M742" s="117">
        <f t="shared" si="105"/>
        <v>2.0823798627002389E-2</v>
      </c>
    </row>
    <row r="743" spans="1:13">
      <c r="A743" s="112">
        <v>740</v>
      </c>
      <c r="B743" s="113">
        <v>42697</v>
      </c>
      <c r="C743" s="114">
        <v>46.72</v>
      </c>
      <c r="D743" s="115">
        <f t="shared" si="114"/>
        <v>45.954499999999989</v>
      </c>
      <c r="E743" s="115">
        <f t="shared" si="110"/>
        <v>0.76550000000001006</v>
      </c>
      <c r="F743" s="115">
        <f t="shared" si="111"/>
        <v>0.76550000000001006</v>
      </c>
      <c r="G743" s="115">
        <f t="shared" si="112"/>
        <v>0.58599025000001537</v>
      </c>
      <c r="H743" s="115">
        <f t="shared" si="113"/>
        <v>1.6384845890411174E-2</v>
      </c>
      <c r="I743" s="116">
        <f t="shared" si="106"/>
        <v>47.132200000000005</v>
      </c>
      <c r="J743" s="116">
        <f t="shared" si="107"/>
        <v>-0.41220000000000567</v>
      </c>
      <c r="K743" s="116">
        <f t="shared" si="108"/>
        <v>0.41220000000000567</v>
      </c>
      <c r="L743" s="116">
        <f t="shared" si="109"/>
        <v>0.16990884000000467</v>
      </c>
      <c r="M743" s="117">
        <f t="shared" si="105"/>
        <v>-8.8227739726028619E-3</v>
      </c>
    </row>
    <row r="744" spans="1:13">
      <c r="A744" s="112">
        <v>741</v>
      </c>
      <c r="B744" s="107">
        <v>42698</v>
      </c>
      <c r="C744" s="108">
        <v>46.72</v>
      </c>
      <c r="D744" s="115">
        <f t="shared" si="114"/>
        <v>45.853000000000002</v>
      </c>
      <c r="E744" s="115">
        <f t="shared" si="110"/>
        <v>0.86699999999999733</v>
      </c>
      <c r="F744" s="115">
        <f t="shared" si="111"/>
        <v>0.86699999999999733</v>
      </c>
      <c r="G744" s="115">
        <f t="shared" si="112"/>
        <v>0.75168899999999539</v>
      </c>
      <c r="H744" s="115">
        <f t="shared" si="113"/>
        <v>1.8557363013698574E-2</v>
      </c>
      <c r="I744" s="116">
        <f t="shared" si="106"/>
        <v>47.194200000000002</v>
      </c>
      <c r="J744" s="116">
        <f t="shared" si="107"/>
        <v>-0.47420000000000329</v>
      </c>
      <c r="K744" s="116">
        <f t="shared" si="108"/>
        <v>0.47420000000000329</v>
      </c>
      <c r="L744" s="116">
        <f t="shared" si="109"/>
        <v>0.22486564000000311</v>
      </c>
      <c r="M744" s="117">
        <f t="shared" si="105"/>
        <v>-1.0149828767123358E-2</v>
      </c>
    </row>
    <row r="745" spans="1:13">
      <c r="A745" s="112">
        <v>742</v>
      </c>
      <c r="B745" s="113">
        <v>42699</v>
      </c>
      <c r="C745" s="114">
        <v>46.72</v>
      </c>
      <c r="D745" s="115">
        <f t="shared" si="114"/>
        <v>45.703500000000005</v>
      </c>
      <c r="E745" s="115">
        <f t="shared" si="110"/>
        <v>1.0164999999999935</v>
      </c>
      <c r="F745" s="115">
        <f t="shared" si="111"/>
        <v>1.0164999999999935</v>
      </c>
      <c r="G745" s="115">
        <f t="shared" si="112"/>
        <v>1.0332722499999869</v>
      </c>
      <c r="H745" s="115">
        <f t="shared" si="113"/>
        <v>2.1757277397260136E-2</v>
      </c>
      <c r="I745" s="116">
        <f t="shared" si="106"/>
        <v>47.251599999999989</v>
      </c>
      <c r="J745" s="116">
        <f t="shared" si="107"/>
        <v>-0.5315999999999903</v>
      </c>
      <c r="K745" s="116">
        <f t="shared" si="108"/>
        <v>0.5315999999999903</v>
      </c>
      <c r="L745" s="116">
        <f t="shared" si="109"/>
        <v>0.28259855999998967</v>
      </c>
      <c r="M745" s="117">
        <f t="shared" si="105"/>
        <v>-1.1378424657534039E-2</v>
      </c>
    </row>
    <row r="746" spans="1:13">
      <c r="A746" s="112">
        <v>743</v>
      </c>
      <c r="B746" s="107">
        <v>42702</v>
      </c>
      <c r="C746" s="108">
        <v>45.66</v>
      </c>
      <c r="D746" s="115">
        <f t="shared" si="114"/>
        <v>45.603500000000004</v>
      </c>
      <c r="E746" s="115">
        <f t="shared" si="110"/>
        <v>5.6499999999992667E-2</v>
      </c>
      <c r="F746" s="115">
        <f t="shared" si="111"/>
        <v>5.6499999999992667E-2</v>
      </c>
      <c r="G746" s="115">
        <f t="shared" si="112"/>
        <v>3.1922499999991714E-3</v>
      </c>
      <c r="H746" s="115">
        <f t="shared" si="113"/>
        <v>1.2374069207181926E-3</v>
      </c>
      <c r="I746" s="116">
        <f t="shared" si="106"/>
        <v>47.325199999999995</v>
      </c>
      <c r="J746" s="116">
        <f t="shared" si="107"/>
        <v>-1.6651999999999987</v>
      </c>
      <c r="K746" s="116">
        <f t="shared" si="108"/>
        <v>1.6651999999999987</v>
      </c>
      <c r="L746" s="116">
        <f t="shared" si="109"/>
        <v>2.7728910399999958</v>
      </c>
      <c r="M746" s="117">
        <f t="shared" si="105"/>
        <v>-3.6469557599649559E-2</v>
      </c>
    </row>
    <row r="747" spans="1:13">
      <c r="A747" s="112">
        <v>744</v>
      </c>
      <c r="B747" s="113">
        <v>42703</v>
      </c>
      <c r="C747" s="114">
        <v>45.29</v>
      </c>
      <c r="D747" s="115">
        <f t="shared" si="114"/>
        <v>45.545000000000002</v>
      </c>
      <c r="E747" s="115">
        <f t="shared" si="110"/>
        <v>-0.25500000000000256</v>
      </c>
      <c r="F747" s="115">
        <f t="shared" si="111"/>
        <v>0.25500000000000256</v>
      </c>
      <c r="G747" s="115">
        <f t="shared" si="112"/>
        <v>6.5025000000001304E-2</v>
      </c>
      <c r="H747" s="115">
        <f t="shared" si="113"/>
        <v>5.6303819827777119E-3</v>
      </c>
      <c r="I747" s="116">
        <f t="shared" si="106"/>
        <v>47.37159999999998</v>
      </c>
      <c r="J747" s="116">
        <f t="shared" si="107"/>
        <v>-2.0815999999999804</v>
      </c>
      <c r="K747" s="116">
        <f t="shared" si="108"/>
        <v>2.0815999999999804</v>
      </c>
      <c r="L747" s="116">
        <f t="shared" si="109"/>
        <v>4.3330585599999178</v>
      </c>
      <c r="M747" s="117">
        <f t="shared" si="105"/>
        <v>-4.5961580922940615E-2</v>
      </c>
    </row>
    <row r="748" spans="1:13">
      <c r="A748" s="112">
        <v>745</v>
      </c>
      <c r="B748" s="107">
        <v>42704</v>
      </c>
      <c r="C748" s="108">
        <v>49.41</v>
      </c>
      <c r="D748" s="115">
        <f t="shared" si="114"/>
        <v>45.476500000000001</v>
      </c>
      <c r="E748" s="115">
        <f t="shared" si="110"/>
        <v>3.9334999999999951</v>
      </c>
      <c r="F748" s="115">
        <f t="shared" si="111"/>
        <v>3.9334999999999951</v>
      </c>
      <c r="G748" s="115">
        <f t="shared" si="112"/>
        <v>15.472422249999962</v>
      </c>
      <c r="H748" s="115">
        <f t="shared" si="113"/>
        <v>7.9609390811576516E-2</v>
      </c>
      <c r="I748" s="116">
        <f t="shared" si="106"/>
        <v>47.400399999999991</v>
      </c>
      <c r="J748" s="116">
        <f t="shared" si="107"/>
        <v>2.009600000000006</v>
      </c>
      <c r="K748" s="116">
        <f t="shared" si="108"/>
        <v>2.009600000000006</v>
      </c>
      <c r="L748" s="116">
        <f t="shared" si="109"/>
        <v>4.0384921600000245</v>
      </c>
      <c r="M748" s="117">
        <f t="shared" si="105"/>
        <v>4.0671928759360577E-2</v>
      </c>
    </row>
    <row r="749" spans="1:13">
      <c r="A749" s="112">
        <v>746</v>
      </c>
      <c r="B749" s="113">
        <v>42705</v>
      </c>
      <c r="C749" s="114">
        <v>51.08</v>
      </c>
      <c r="D749" s="115">
        <f t="shared" si="114"/>
        <v>45.680999999999997</v>
      </c>
      <c r="E749" s="115">
        <f t="shared" si="110"/>
        <v>5.3990000000000009</v>
      </c>
      <c r="F749" s="115">
        <f t="shared" si="111"/>
        <v>5.3990000000000009</v>
      </c>
      <c r="G749" s="115">
        <f t="shared" si="112"/>
        <v>29.149201000000009</v>
      </c>
      <c r="H749" s="115">
        <f t="shared" si="113"/>
        <v>0.10569694596711043</v>
      </c>
      <c r="I749" s="116">
        <f t="shared" si="106"/>
        <v>47.481999999999992</v>
      </c>
      <c r="J749" s="116">
        <f t="shared" si="107"/>
        <v>3.5980000000000061</v>
      </c>
      <c r="K749" s="116">
        <f t="shared" si="108"/>
        <v>3.5980000000000061</v>
      </c>
      <c r="L749" s="116">
        <f t="shared" si="109"/>
        <v>12.945604000000044</v>
      </c>
      <c r="M749" s="117">
        <f t="shared" si="105"/>
        <v>7.0438527799530276E-2</v>
      </c>
    </row>
    <row r="750" spans="1:13">
      <c r="A750" s="112">
        <v>747</v>
      </c>
      <c r="B750" s="107">
        <v>42706</v>
      </c>
      <c r="C750" s="108">
        <v>51.7</v>
      </c>
      <c r="D750" s="115">
        <f t="shared" si="114"/>
        <v>46.002000000000002</v>
      </c>
      <c r="E750" s="115">
        <f t="shared" si="110"/>
        <v>5.6980000000000004</v>
      </c>
      <c r="F750" s="115">
        <f t="shared" si="111"/>
        <v>5.6980000000000004</v>
      </c>
      <c r="G750" s="115">
        <f t="shared" si="112"/>
        <v>32.467204000000002</v>
      </c>
      <c r="H750" s="115">
        <f t="shared" si="113"/>
        <v>0.11021276595744681</v>
      </c>
      <c r="I750" s="116">
        <f t="shared" si="106"/>
        <v>47.58159999999998</v>
      </c>
      <c r="J750" s="116">
        <f t="shared" si="107"/>
        <v>4.1184000000000225</v>
      </c>
      <c r="K750" s="116">
        <f t="shared" si="108"/>
        <v>4.1184000000000225</v>
      </c>
      <c r="L750" s="116">
        <f t="shared" si="109"/>
        <v>16.961218560000184</v>
      </c>
      <c r="M750" s="117">
        <f t="shared" si="105"/>
        <v>7.9659574468085539E-2</v>
      </c>
    </row>
    <row r="751" spans="1:13">
      <c r="A751" s="112">
        <v>748</v>
      </c>
      <c r="B751" s="113">
        <v>42709</v>
      </c>
      <c r="C751" s="114">
        <v>51.72</v>
      </c>
      <c r="D751" s="115">
        <f t="shared" si="114"/>
        <v>46.383500000000012</v>
      </c>
      <c r="E751" s="115">
        <f t="shared" si="110"/>
        <v>5.3364999999999867</v>
      </c>
      <c r="F751" s="115">
        <f t="shared" si="111"/>
        <v>5.3364999999999867</v>
      </c>
      <c r="G751" s="115">
        <f t="shared" si="112"/>
        <v>28.478232249999859</v>
      </c>
      <c r="H751" s="115">
        <f t="shared" si="113"/>
        <v>0.10318058778035551</v>
      </c>
      <c r="I751" s="116">
        <f t="shared" si="106"/>
        <v>47.728399999999986</v>
      </c>
      <c r="J751" s="116">
        <f t="shared" si="107"/>
        <v>3.9916000000000125</v>
      </c>
      <c r="K751" s="116">
        <f t="shared" si="108"/>
        <v>3.9916000000000125</v>
      </c>
      <c r="L751" s="116">
        <f t="shared" si="109"/>
        <v>15.932870560000099</v>
      </c>
      <c r="M751" s="117">
        <f t="shared" si="105"/>
        <v>7.7177107501933725E-2</v>
      </c>
    </row>
    <row r="752" spans="1:13">
      <c r="A752" s="112">
        <v>749</v>
      </c>
      <c r="B752" s="107">
        <v>42710</v>
      </c>
      <c r="C752" s="108">
        <v>50.95</v>
      </c>
      <c r="D752" s="115">
        <f t="shared" si="114"/>
        <v>46.725500000000004</v>
      </c>
      <c r="E752" s="115">
        <f t="shared" si="110"/>
        <v>4.224499999999999</v>
      </c>
      <c r="F752" s="115">
        <f t="shared" si="111"/>
        <v>4.224499999999999</v>
      </c>
      <c r="G752" s="115">
        <f t="shared" si="112"/>
        <v>17.846400249999991</v>
      </c>
      <c r="H752" s="115">
        <f t="shared" si="113"/>
        <v>8.2914622178606456E-2</v>
      </c>
      <c r="I752" s="116">
        <f t="shared" si="106"/>
        <v>47.850799999999978</v>
      </c>
      <c r="J752" s="116">
        <f t="shared" si="107"/>
        <v>3.0992000000000246</v>
      </c>
      <c r="K752" s="116">
        <f t="shared" si="108"/>
        <v>3.0992000000000246</v>
      </c>
      <c r="L752" s="116">
        <f t="shared" si="109"/>
        <v>9.6050406400001531</v>
      </c>
      <c r="M752" s="117">
        <f t="shared" si="105"/>
        <v>6.0828263002944541E-2</v>
      </c>
    </row>
    <row r="753" spans="1:13">
      <c r="A753" s="112">
        <v>750</v>
      </c>
      <c r="B753" s="113">
        <v>42711</v>
      </c>
      <c r="C753" s="114">
        <v>49.85</v>
      </c>
      <c r="D753" s="115">
        <f t="shared" si="114"/>
        <v>47.025000000000006</v>
      </c>
      <c r="E753" s="115">
        <f t="shared" si="110"/>
        <v>2.8249999999999957</v>
      </c>
      <c r="F753" s="115">
        <f t="shared" si="111"/>
        <v>2.8249999999999957</v>
      </c>
      <c r="G753" s="115">
        <f t="shared" si="112"/>
        <v>7.9806249999999759</v>
      </c>
      <c r="H753" s="115">
        <f t="shared" si="113"/>
        <v>5.6670010030090187E-2</v>
      </c>
      <c r="I753" s="116">
        <f t="shared" si="106"/>
        <v>47.976799999999976</v>
      </c>
      <c r="J753" s="116">
        <f t="shared" si="107"/>
        <v>1.8732000000000255</v>
      </c>
      <c r="K753" s="116">
        <f t="shared" si="108"/>
        <v>1.8732000000000255</v>
      </c>
      <c r="L753" s="116">
        <f t="shared" si="109"/>
        <v>3.5088782400000955</v>
      </c>
      <c r="M753" s="117">
        <f t="shared" si="105"/>
        <v>3.7576730190572227E-2</v>
      </c>
    </row>
    <row r="754" spans="1:13">
      <c r="A754" s="112">
        <v>751</v>
      </c>
      <c r="B754" s="107">
        <v>42712</v>
      </c>
      <c r="C754" s="108">
        <v>50.84</v>
      </c>
      <c r="D754" s="115">
        <f t="shared" si="114"/>
        <v>47.257500000000007</v>
      </c>
      <c r="E754" s="115">
        <f t="shared" si="110"/>
        <v>3.582499999999996</v>
      </c>
      <c r="F754" s="115">
        <f t="shared" si="111"/>
        <v>3.582499999999996</v>
      </c>
      <c r="G754" s="115">
        <f t="shared" si="112"/>
        <v>12.834306249999971</v>
      </c>
      <c r="H754" s="115">
        <f t="shared" si="113"/>
        <v>7.0466168371361049E-2</v>
      </c>
      <c r="I754" s="116">
        <f t="shared" si="106"/>
        <v>48.032399999999981</v>
      </c>
      <c r="J754" s="116">
        <f t="shared" si="107"/>
        <v>2.8076000000000221</v>
      </c>
      <c r="K754" s="116">
        <f t="shared" si="108"/>
        <v>2.8076000000000221</v>
      </c>
      <c r="L754" s="116">
        <f t="shared" si="109"/>
        <v>7.8826177600001239</v>
      </c>
      <c r="M754" s="117">
        <f t="shared" si="105"/>
        <v>5.5224232887490593E-2</v>
      </c>
    </row>
    <row r="755" spans="1:13">
      <c r="A755" s="112">
        <v>752</v>
      </c>
      <c r="B755" s="113">
        <v>42713</v>
      </c>
      <c r="C755" s="114">
        <v>51.51</v>
      </c>
      <c r="D755" s="115">
        <f t="shared" si="114"/>
        <v>47.568500000000014</v>
      </c>
      <c r="E755" s="115">
        <f t="shared" si="110"/>
        <v>3.9414999999999836</v>
      </c>
      <c r="F755" s="115">
        <f t="shared" si="111"/>
        <v>3.9414999999999836</v>
      </c>
      <c r="G755" s="115">
        <f t="shared" si="112"/>
        <v>15.53542224999987</v>
      </c>
      <c r="H755" s="115">
        <f t="shared" si="113"/>
        <v>7.6519122500485023E-2</v>
      </c>
      <c r="I755" s="116">
        <f t="shared" si="106"/>
        <v>48.094799999999985</v>
      </c>
      <c r="J755" s="116">
        <f t="shared" si="107"/>
        <v>3.4152000000000129</v>
      </c>
      <c r="K755" s="116">
        <f t="shared" si="108"/>
        <v>3.4152000000000129</v>
      </c>
      <c r="L755" s="116">
        <f t="shared" si="109"/>
        <v>11.663591040000089</v>
      </c>
      <c r="M755" s="117">
        <f t="shared" si="105"/>
        <v>6.6301688992428914E-2</v>
      </c>
    </row>
    <row r="756" spans="1:13">
      <c r="A756" s="112">
        <v>753</v>
      </c>
      <c r="B756" s="107">
        <v>42716</v>
      </c>
      <c r="C756" s="108">
        <v>52.74</v>
      </c>
      <c r="D756" s="115">
        <f t="shared" si="114"/>
        <v>47.974500000000006</v>
      </c>
      <c r="E756" s="115">
        <f t="shared" si="110"/>
        <v>4.7654999999999959</v>
      </c>
      <c r="F756" s="115">
        <f t="shared" si="111"/>
        <v>4.7654999999999959</v>
      </c>
      <c r="G756" s="115">
        <f t="shared" si="112"/>
        <v>22.709990249999962</v>
      </c>
      <c r="H756" s="115">
        <f t="shared" si="113"/>
        <v>9.0358361774743948E-2</v>
      </c>
      <c r="I756" s="116">
        <f t="shared" si="106"/>
        <v>48.170599999999993</v>
      </c>
      <c r="J756" s="116">
        <f t="shared" si="107"/>
        <v>4.5694000000000088</v>
      </c>
      <c r="K756" s="116">
        <f t="shared" si="108"/>
        <v>4.5694000000000088</v>
      </c>
      <c r="L756" s="116">
        <f t="shared" si="109"/>
        <v>20.879416360000079</v>
      </c>
      <c r="M756" s="117">
        <f t="shared" si="105"/>
        <v>8.6640121350019125E-2</v>
      </c>
    </row>
    <row r="757" spans="1:13">
      <c r="A757" s="112">
        <v>754</v>
      </c>
      <c r="B757" s="113">
        <v>42717</v>
      </c>
      <c r="C757" s="114">
        <v>52.99</v>
      </c>
      <c r="D757" s="115">
        <f t="shared" si="114"/>
        <v>48.447000000000017</v>
      </c>
      <c r="E757" s="115">
        <f t="shared" si="110"/>
        <v>4.5429999999999851</v>
      </c>
      <c r="F757" s="115">
        <f t="shared" si="111"/>
        <v>4.5429999999999851</v>
      </c>
      <c r="G757" s="115">
        <f t="shared" si="112"/>
        <v>20.638848999999865</v>
      </c>
      <c r="H757" s="115">
        <f t="shared" si="113"/>
        <v>8.5733157199471319E-2</v>
      </c>
      <c r="I757" s="116">
        <f t="shared" si="106"/>
        <v>48.249399999999994</v>
      </c>
      <c r="J757" s="116">
        <f t="shared" si="107"/>
        <v>4.7406000000000077</v>
      </c>
      <c r="K757" s="116">
        <f t="shared" si="108"/>
        <v>4.7406000000000077</v>
      </c>
      <c r="L757" s="116">
        <f t="shared" si="109"/>
        <v>22.473288360000073</v>
      </c>
      <c r="M757" s="117">
        <f t="shared" si="105"/>
        <v>8.9462162672202444E-2</v>
      </c>
    </row>
    <row r="758" spans="1:13">
      <c r="A758" s="112">
        <v>755</v>
      </c>
      <c r="B758" s="107">
        <v>42718</v>
      </c>
      <c r="C758" s="108">
        <v>51.01</v>
      </c>
      <c r="D758" s="115">
        <f t="shared" si="114"/>
        <v>48.803500000000014</v>
      </c>
      <c r="E758" s="115">
        <f t="shared" si="110"/>
        <v>2.2064999999999841</v>
      </c>
      <c r="F758" s="115">
        <f t="shared" si="111"/>
        <v>2.2064999999999841</v>
      </c>
      <c r="G758" s="115">
        <f t="shared" si="112"/>
        <v>4.8686422499999304</v>
      </c>
      <c r="H758" s="115">
        <f t="shared" si="113"/>
        <v>4.3256224269750718E-2</v>
      </c>
      <c r="I758" s="116">
        <f t="shared" si="106"/>
        <v>48.335799999999992</v>
      </c>
      <c r="J758" s="116">
        <f t="shared" si="107"/>
        <v>2.6742000000000061</v>
      </c>
      <c r="K758" s="116">
        <f t="shared" si="108"/>
        <v>2.6742000000000061</v>
      </c>
      <c r="L758" s="116">
        <f t="shared" si="109"/>
        <v>7.1513456400000326</v>
      </c>
      <c r="M758" s="117">
        <f t="shared" si="105"/>
        <v>5.2425014702999533E-2</v>
      </c>
    </row>
    <row r="759" spans="1:13">
      <c r="A759" s="112">
        <v>756</v>
      </c>
      <c r="B759" s="113">
        <v>42719</v>
      </c>
      <c r="C759" s="114">
        <v>50.9</v>
      </c>
      <c r="D759" s="115">
        <f t="shared" si="114"/>
        <v>49.076000000000008</v>
      </c>
      <c r="E759" s="115">
        <f t="shared" si="110"/>
        <v>1.823999999999991</v>
      </c>
      <c r="F759" s="115">
        <f t="shared" si="111"/>
        <v>1.823999999999991</v>
      </c>
      <c r="G759" s="115">
        <f t="shared" si="112"/>
        <v>3.3269759999999668</v>
      </c>
      <c r="H759" s="115">
        <f t="shared" si="113"/>
        <v>3.583497053045169E-2</v>
      </c>
      <c r="I759" s="116">
        <f t="shared" si="106"/>
        <v>48.360999999999997</v>
      </c>
      <c r="J759" s="116">
        <f t="shared" si="107"/>
        <v>2.5390000000000015</v>
      </c>
      <c r="K759" s="116">
        <f t="shared" si="108"/>
        <v>2.5390000000000015</v>
      </c>
      <c r="L759" s="116">
        <f t="shared" si="109"/>
        <v>6.4465210000000077</v>
      </c>
      <c r="M759" s="117">
        <f t="shared" ref="M759:M822" si="115">J759/C759</f>
        <v>4.9882121807465651E-2</v>
      </c>
    </row>
    <row r="760" spans="1:13">
      <c r="A760" s="112">
        <v>757</v>
      </c>
      <c r="B760" s="107">
        <v>42720</v>
      </c>
      <c r="C760" s="108">
        <v>51.93</v>
      </c>
      <c r="D760" s="115">
        <f t="shared" si="114"/>
        <v>49.352500000000006</v>
      </c>
      <c r="E760" s="115">
        <f t="shared" si="110"/>
        <v>2.5774999999999935</v>
      </c>
      <c r="F760" s="115">
        <f t="shared" si="111"/>
        <v>2.5774999999999935</v>
      </c>
      <c r="G760" s="115">
        <f t="shared" si="112"/>
        <v>6.643506249999966</v>
      </c>
      <c r="H760" s="115">
        <f t="shared" si="113"/>
        <v>4.9634122857692919E-2</v>
      </c>
      <c r="I760" s="116">
        <f t="shared" ref="I760:I823" si="116">AVERAGE(C710:C759)</f>
        <v>48.370200000000004</v>
      </c>
      <c r="J760" s="116">
        <f t="shared" ref="J760:J823" si="117">C760-I760</f>
        <v>3.5597999999999956</v>
      </c>
      <c r="K760" s="116">
        <f t="shared" ref="K760:K823" si="118">ABS(J760)</f>
        <v>3.5597999999999956</v>
      </c>
      <c r="L760" s="116">
        <f t="shared" ref="L760:L823" si="119">J760^2</f>
        <v>12.672176039999968</v>
      </c>
      <c r="M760" s="117">
        <f t="shared" si="115"/>
        <v>6.854997111496236E-2</v>
      </c>
    </row>
    <row r="761" spans="1:13">
      <c r="A761" s="112">
        <v>758</v>
      </c>
      <c r="B761" s="113">
        <v>42723</v>
      </c>
      <c r="C761" s="114">
        <v>52.13</v>
      </c>
      <c r="D761" s="115">
        <f t="shared" si="114"/>
        <v>49.664500000000004</v>
      </c>
      <c r="E761" s="115">
        <f t="shared" si="110"/>
        <v>2.4654999999999987</v>
      </c>
      <c r="F761" s="115">
        <f t="shared" si="111"/>
        <v>2.4654999999999987</v>
      </c>
      <c r="G761" s="115">
        <f t="shared" si="112"/>
        <v>6.078690249999994</v>
      </c>
      <c r="H761" s="115">
        <f t="shared" si="113"/>
        <v>4.7295223479762102E-2</v>
      </c>
      <c r="I761" s="116">
        <f t="shared" si="116"/>
        <v>48.413600000000002</v>
      </c>
      <c r="J761" s="116">
        <f t="shared" si="117"/>
        <v>3.7164000000000001</v>
      </c>
      <c r="K761" s="116">
        <f t="shared" si="118"/>
        <v>3.7164000000000001</v>
      </c>
      <c r="L761" s="116">
        <f t="shared" si="119"/>
        <v>13.811628960000002</v>
      </c>
      <c r="M761" s="117">
        <f t="shared" si="115"/>
        <v>7.1291003261078068E-2</v>
      </c>
    </row>
    <row r="762" spans="1:13">
      <c r="A762" s="112">
        <v>759</v>
      </c>
      <c r="B762" s="107">
        <v>42724</v>
      </c>
      <c r="C762" s="108">
        <v>52.22</v>
      </c>
      <c r="D762" s="115">
        <f t="shared" si="114"/>
        <v>49.897000000000006</v>
      </c>
      <c r="E762" s="115">
        <f t="shared" si="110"/>
        <v>2.3229999999999933</v>
      </c>
      <c r="F762" s="115">
        <f t="shared" si="111"/>
        <v>2.3229999999999933</v>
      </c>
      <c r="G762" s="115">
        <f t="shared" si="112"/>
        <v>5.3963289999999686</v>
      </c>
      <c r="H762" s="115">
        <f t="shared" si="113"/>
        <v>4.4484871696667816E-2</v>
      </c>
      <c r="I762" s="116">
        <f t="shared" si="116"/>
        <v>48.461000000000006</v>
      </c>
      <c r="J762" s="116">
        <f t="shared" si="117"/>
        <v>3.7589999999999932</v>
      </c>
      <c r="K762" s="116">
        <f t="shared" si="118"/>
        <v>3.7589999999999932</v>
      </c>
      <c r="L762" s="116">
        <f t="shared" si="119"/>
        <v>14.130080999999949</v>
      </c>
      <c r="M762" s="117">
        <f t="shared" si="115"/>
        <v>7.1983914209115152E-2</v>
      </c>
    </row>
    <row r="763" spans="1:13">
      <c r="A763" s="112">
        <v>760</v>
      </c>
      <c r="B763" s="113">
        <v>42725</v>
      </c>
      <c r="C763" s="114">
        <v>51.44</v>
      </c>
      <c r="D763" s="115">
        <f t="shared" si="114"/>
        <v>50.104499999999994</v>
      </c>
      <c r="E763" s="115">
        <f t="shared" si="110"/>
        <v>1.3355000000000032</v>
      </c>
      <c r="F763" s="115">
        <f t="shared" si="111"/>
        <v>1.3355000000000032</v>
      </c>
      <c r="G763" s="115">
        <f t="shared" si="112"/>
        <v>1.7835602500000087</v>
      </c>
      <c r="H763" s="115">
        <f t="shared" si="113"/>
        <v>2.5962286158631481E-2</v>
      </c>
      <c r="I763" s="116">
        <f t="shared" si="116"/>
        <v>48.490999999999993</v>
      </c>
      <c r="J763" s="116">
        <f t="shared" si="117"/>
        <v>2.9490000000000052</v>
      </c>
      <c r="K763" s="116">
        <f t="shared" si="118"/>
        <v>2.9490000000000052</v>
      </c>
      <c r="L763" s="116">
        <f t="shared" si="119"/>
        <v>8.6966010000000313</v>
      </c>
      <c r="M763" s="117">
        <f t="shared" si="115"/>
        <v>5.7328926905132298E-2</v>
      </c>
    </row>
    <row r="764" spans="1:13">
      <c r="A764" s="112">
        <v>761</v>
      </c>
      <c r="B764" s="107">
        <v>42726</v>
      </c>
      <c r="C764" s="108">
        <v>51.98</v>
      </c>
      <c r="D764" s="115">
        <f t="shared" si="114"/>
        <v>50.340499999999999</v>
      </c>
      <c r="E764" s="115">
        <f t="shared" si="110"/>
        <v>1.6394999999999982</v>
      </c>
      <c r="F764" s="115">
        <f t="shared" si="111"/>
        <v>1.6394999999999982</v>
      </c>
      <c r="G764" s="115">
        <f t="shared" si="112"/>
        <v>2.6879602499999939</v>
      </c>
      <c r="H764" s="115">
        <f t="shared" si="113"/>
        <v>3.1540977298961104E-2</v>
      </c>
      <c r="I764" s="116">
        <f t="shared" si="116"/>
        <v>48.516999999999996</v>
      </c>
      <c r="J764" s="116">
        <f t="shared" si="117"/>
        <v>3.463000000000001</v>
      </c>
      <c r="K764" s="116">
        <f t="shared" si="118"/>
        <v>3.463000000000001</v>
      </c>
      <c r="L764" s="116">
        <f t="shared" si="119"/>
        <v>11.992369000000007</v>
      </c>
      <c r="M764" s="117">
        <f t="shared" si="115"/>
        <v>6.6621777606771862E-2</v>
      </c>
    </row>
    <row r="765" spans="1:13">
      <c r="A765" s="112">
        <v>762</v>
      </c>
      <c r="B765" s="113">
        <v>42727</v>
      </c>
      <c r="C765" s="114">
        <v>52.01</v>
      </c>
      <c r="D765" s="115">
        <f t="shared" si="114"/>
        <v>50.603499999999997</v>
      </c>
      <c r="E765" s="115">
        <f t="shared" si="110"/>
        <v>1.4065000000000012</v>
      </c>
      <c r="F765" s="115">
        <f t="shared" si="111"/>
        <v>1.4065000000000012</v>
      </c>
      <c r="G765" s="115">
        <f t="shared" si="112"/>
        <v>1.9782422500000034</v>
      </c>
      <c r="H765" s="115">
        <f t="shared" si="113"/>
        <v>2.7042876369928883E-2</v>
      </c>
      <c r="I765" s="116">
        <f t="shared" si="116"/>
        <v>48.547200000000004</v>
      </c>
      <c r="J765" s="116">
        <f t="shared" si="117"/>
        <v>3.4627999999999943</v>
      </c>
      <c r="K765" s="116">
        <f t="shared" si="118"/>
        <v>3.4627999999999943</v>
      </c>
      <c r="L765" s="116">
        <f t="shared" si="119"/>
        <v>11.990983839999961</v>
      </c>
      <c r="M765" s="117">
        <f t="shared" si="115"/>
        <v>6.65795039415496E-2</v>
      </c>
    </row>
    <row r="766" spans="1:13">
      <c r="A766" s="112">
        <v>763</v>
      </c>
      <c r="B766" s="107">
        <v>42731</v>
      </c>
      <c r="C766" s="108">
        <v>52.82</v>
      </c>
      <c r="D766" s="115">
        <f t="shared" si="114"/>
        <v>50.867999999999995</v>
      </c>
      <c r="E766" s="115">
        <f t="shared" si="110"/>
        <v>1.9520000000000053</v>
      </c>
      <c r="F766" s="115">
        <f t="shared" si="111"/>
        <v>1.9520000000000053</v>
      </c>
      <c r="G766" s="115">
        <f t="shared" si="112"/>
        <v>3.8103040000000208</v>
      </c>
      <c r="H766" s="115">
        <f t="shared" si="113"/>
        <v>3.6955698599015624E-2</v>
      </c>
      <c r="I766" s="116">
        <f t="shared" si="116"/>
        <v>48.580400000000012</v>
      </c>
      <c r="J766" s="116">
        <f t="shared" si="117"/>
        <v>4.2395999999999887</v>
      </c>
      <c r="K766" s="116">
        <f t="shared" si="118"/>
        <v>4.2395999999999887</v>
      </c>
      <c r="L766" s="116">
        <f t="shared" si="119"/>
        <v>17.974208159999904</v>
      </c>
      <c r="M766" s="117">
        <f t="shared" si="115"/>
        <v>8.0265051117000927E-2</v>
      </c>
    </row>
    <row r="767" spans="1:13">
      <c r="A767" s="112">
        <v>764</v>
      </c>
      <c r="B767" s="113">
        <v>42732</v>
      </c>
      <c r="C767" s="114">
        <v>54.01</v>
      </c>
      <c r="D767" s="115">
        <f t="shared" si="114"/>
        <v>51.225999999999999</v>
      </c>
      <c r="E767" s="115">
        <f t="shared" si="110"/>
        <v>2.7839999999999989</v>
      </c>
      <c r="F767" s="115">
        <f t="shared" si="111"/>
        <v>2.7839999999999989</v>
      </c>
      <c r="G767" s="115">
        <f t="shared" si="112"/>
        <v>7.750655999999994</v>
      </c>
      <c r="H767" s="115">
        <f t="shared" si="113"/>
        <v>5.154600999814847E-2</v>
      </c>
      <c r="I767" s="116">
        <f t="shared" si="116"/>
        <v>48.637400000000007</v>
      </c>
      <c r="J767" s="116">
        <f t="shared" si="117"/>
        <v>5.3725999999999914</v>
      </c>
      <c r="K767" s="116">
        <f t="shared" si="118"/>
        <v>5.3725999999999914</v>
      </c>
      <c r="L767" s="116">
        <f t="shared" si="119"/>
        <v>28.864830759999908</v>
      </c>
      <c r="M767" s="117">
        <f t="shared" si="115"/>
        <v>9.9474171449731377E-2</v>
      </c>
    </row>
    <row r="768" spans="1:13">
      <c r="A768" s="112">
        <v>765</v>
      </c>
      <c r="B768" s="107">
        <v>42733</v>
      </c>
      <c r="C768" s="108">
        <v>53.8</v>
      </c>
      <c r="D768" s="115">
        <f t="shared" si="114"/>
        <v>51.662000000000013</v>
      </c>
      <c r="E768" s="115">
        <f t="shared" si="110"/>
        <v>2.1379999999999839</v>
      </c>
      <c r="F768" s="115">
        <f t="shared" si="111"/>
        <v>2.1379999999999839</v>
      </c>
      <c r="G768" s="115">
        <f t="shared" si="112"/>
        <v>4.5710439999999313</v>
      </c>
      <c r="H768" s="115">
        <f t="shared" si="113"/>
        <v>3.9739776951672565E-2</v>
      </c>
      <c r="I768" s="116">
        <f t="shared" si="116"/>
        <v>48.711600000000018</v>
      </c>
      <c r="J768" s="116">
        <f t="shared" si="117"/>
        <v>5.0883999999999787</v>
      </c>
      <c r="K768" s="116">
        <f t="shared" si="118"/>
        <v>5.0883999999999787</v>
      </c>
      <c r="L768" s="116">
        <f t="shared" si="119"/>
        <v>25.891814559999784</v>
      </c>
      <c r="M768" s="117">
        <f t="shared" si="115"/>
        <v>9.4579925650557228E-2</v>
      </c>
    </row>
    <row r="769" spans="1:13">
      <c r="A769" s="112">
        <v>766</v>
      </c>
      <c r="B769" s="113">
        <v>42734</v>
      </c>
      <c r="C769" s="114">
        <v>53.75</v>
      </c>
      <c r="D769" s="115">
        <f t="shared" si="114"/>
        <v>51.881500000000003</v>
      </c>
      <c r="E769" s="115">
        <f t="shared" si="110"/>
        <v>1.8684999999999974</v>
      </c>
      <c r="F769" s="115">
        <f t="shared" si="111"/>
        <v>1.8684999999999974</v>
      </c>
      <c r="G769" s="115">
        <f t="shared" si="112"/>
        <v>3.4912922499999901</v>
      </c>
      <c r="H769" s="115">
        <f t="shared" si="113"/>
        <v>3.4762790697674371E-2</v>
      </c>
      <c r="I769" s="116">
        <f t="shared" si="116"/>
        <v>48.755800000000015</v>
      </c>
      <c r="J769" s="116">
        <f t="shared" si="117"/>
        <v>4.9941999999999851</v>
      </c>
      <c r="K769" s="116">
        <f t="shared" si="118"/>
        <v>4.9941999999999851</v>
      </c>
      <c r="L769" s="116">
        <f t="shared" si="119"/>
        <v>24.942033639999853</v>
      </c>
      <c r="M769" s="117">
        <f t="shared" si="115"/>
        <v>9.2915348837209019E-2</v>
      </c>
    </row>
    <row r="770" spans="1:13">
      <c r="A770" s="112">
        <v>767</v>
      </c>
      <c r="B770" s="107">
        <v>42738</v>
      </c>
      <c r="C770" s="108">
        <v>52.36</v>
      </c>
      <c r="D770" s="115">
        <f t="shared" si="114"/>
        <v>52.015000000000008</v>
      </c>
      <c r="E770" s="115">
        <f t="shared" si="110"/>
        <v>0.34499999999999176</v>
      </c>
      <c r="F770" s="115">
        <f t="shared" si="111"/>
        <v>0.34499999999999176</v>
      </c>
      <c r="G770" s="115">
        <f t="shared" si="112"/>
        <v>0.11902499999999432</v>
      </c>
      <c r="H770" s="115">
        <f t="shared" si="113"/>
        <v>6.5889992360579023E-3</v>
      </c>
      <c r="I770" s="116">
        <f t="shared" si="116"/>
        <v>48.824600000000018</v>
      </c>
      <c r="J770" s="116">
        <f t="shared" si="117"/>
        <v>3.5353999999999814</v>
      </c>
      <c r="K770" s="116">
        <f t="shared" si="118"/>
        <v>3.5353999999999814</v>
      </c>
      <c r="L770" s="116">
        <f t="shared" si="119"/>
        <v>12.499053159999869</v>
      </c>
      <c r="M770" s="117">
        <f t="shared" si="115"/>
        <v>6.7521008403360991E-2</v>
      </c>
    </row>
    <row r="771" spans="1:13">
      <c r="A771" s="112">
        <v>768</v>
      </c>
      <c r="B771" s="113">
        <v>42739</v>
      </c>
      <c r="C771" s="114">
        <v>53.26</v>
      </c>
      <c r="D771" s="115">
        <f t="shared" si="114"/>
        <v>52.048000000000002</v>
      </c>
      <c r="E771" s="115">
        <f t="shared" si="110"/>
        <v>1.2119999999999962</v>
      </c>
      <c r="F771" s="115">
        <f t="shared" si="111"/>
        <v>1.2119999999999962</v>
      </c>
      <c r="G771" s="115">
        <f t="shared" si="112"/>
        <v>1.4689439999999907</v>
      </c>
      <c r="H771" s="115">
        <f t="shared" si="113"/>
        <v>2.2756289898610518E-2</v>
      </c>
      <c r="I771" s="116">
        <f t="shared" si="116"/>
        <v>48.859600000000029</v>
      </c>
      <c r="J771" s="116">
        <f t="shared" si="117"/>
        <v>4.4003999999999692</v>
      </c>
      <c r="K771" s="116">
        <f t="shared" si="118"/>
        <v>4.4003999999999692</v>
      </c>
      <c r="L771" s="116">
        <f t="shared" si="119"/>
        <v>19.36352015999973</v>
      </c>
      <c r="M771" s="117">
        <f t="shared" si="115"/>
        <v>8.2621104018024208E-2</v>
      </c>
    </row>
    <row r="772" spans="1:13">
      <c r="A772" s="112">
        <v>769</v>
      </c>
      <c r="B772" s="107">
        <v>42740</v>
      </c>
      <c r="C772" s="108">
        <v>53.77</v>
      </c>
      <c r="D772" s="115">
        <f t="shared" si="114"/>
        <v>52.125</v>
      </c>
      <c r="E772" s="115">
        <f t="shared" si="110"/>
        <v>1.6450000000000031</v>
      </c>
      <c r="F772" s="115">
        <f t="shared" si="111"/>
        <v>1.6450000000000031</v>
      </c>
      <c r="G772" s="115">
        <f t="shared" si="112"/>
        <v>2.7060250000000101</v>
      </c>
      <c r="H772" s="115">
        <f t="shared" si="113"/>
        <v>3.0593267621350253E-2</v>
      </c>
      <c r="I772" s="116">
        <f t="shared" si="116"/>
        <v>48.921200000000027</v>
      </c>
      <c r="J772" s="116">
        <f t="shared" si="117"/>
        <v>4.8487999999999758</v>
      </c>
      <c r="K772" s="116">
        <f t="shared" si="118"/>
        <v>4.8487999999999758</v>
      </c>
      <c r="L772" s="116">
        <f t="shared" si="119"/>
        <v>23.510861439999765</v>
      </c>
      <c r="M772" s="117">
        <f t="shared" si="115"/>
        <v>9.0176678445229225E-2</v>
      </c>
    </row>
    <row r="773" spans="1:13">
      <c r="A773" s="112">
        <v>770</v>
      </c>
      <c r="B773" s="113">
        <v>42741</v>
      </c>
      <c r="C773" s="114">
        <v>53.98</v>
      </c>
      <c r="D773" s="115">
        <f t="shared" si="114"/>
        <v>52.265999999999998</v>
      </c>
      <c r="E773" s="115">
        <f t="shared" si="110"/>
        <v>1.7139999999999986</v>
      </c>
      <c r="F773" s="115">
        <f t="shared" si="111"/>
        <v>1.7139999999999986</v>
      </c>
      <c r="G773" s="115">
        <f t="shared" si="112"/>
        <v>2.9377959999999952</v>
      </c>
      <c r="H773" s="115">
        <f t="shared" si="113"/>
        <v>3.1752500926268967E-2</v>
      </c>
      <c r="I773" s="116">
        <f t="shared" si="116"/>
        <v>49.007600000000018</v>
      </c>
      <c r="J773" s="116">
        <f t="shared" si="117"/>
        <v>4.9723999999999791</v>
      </c>
      <c r="K773" s="116">
        <f t="shared" si="118"/>
        <v>4.9723999999999791</v>
      </c>
      <c r="L773" s="116">
        <f t="shared" si="119"/>
        <v>24.72476175999979</v>
      </c>
      <c r="M773" s="117">
        <f t="shared" si="115"/>
        <v>9.2115598369766197E-2</v>
      </c>
    </row>
    <row r="774" spans="1:13">
      <c r="A774" s="112">
        <v>771</v>
      </c>
      <c r="B774" s="107">
        <v>42744</v>
      </c>
      <c r="C774" s="108">
        <v>51.95</v>
      </c>
      <c r="D774" s="115">
        <f t="shared" si="114"/>
        <v>52.472500000000004</v>
      </c>
      <c r="E774" s="115">
        <f t="shared" si="110"/>
        <v>-0.52250000000000085</v>
      </c>
      <c r="F774" s="115">
        <f t="shared" si="111"/>
        <v>0.52250000000000085</v>
      </c>
      <c r="G774" s="115">
        <f t="shared" si="112"/>
        <v>0.27300625000000089</v>
      </c>
      <c r="H774" s="115">
        <f t="shared" si="113"/>
        <v>1.0057747834456223E-2</v>
      </c>
      <c r="I774" s="116">
        <f t="shared" si="116"/>
        <v>49.112200000000023</v>
      </c>
      <c r="J774" s="116">
        <f t="shared" si="117"/>
        <v>2.8377999999999801</v>
      </c>
      <c r="K774" s="116">
        <f t="shared" si="118"/>
        <v>2.8377999999999801</v>
      </c>
      <c r="L774" s="116">
        <f t="shared" si="119"/>
        <v>8.0531088399998865</v>
      </c>
      <c r="M774" s="117">
        <f t="shared" si="115"/>
        <v>5.4625601539941865E-2</v>
      </c>
    </row>
    <row r="775" spans="1:13">
      <c r="A775" s="112">
        <v>772</v>
      </c>
      <c r="B775" s="113">
        <v>42745</v>
      </c>
      <c r="C775" s="114">
        <v>50.82</v>
      </c>
      <c r="D775" s="115">
        <f t="shared" si="114"/>
        <v>52.527999999999999</v>
      </c>
      <c r="E775" s="115">
        <f t="shared" si="110"/>
        <v>-1.7079999999999984</v>
      </c>
      <c r="F775" s="115">
        <f t="shared" si="111"/>
        <v>1.7079999999999984</v>
      </c>
      <c r="G775" s="115">
        <f t="shared" si="112"/>
        <v>2.9172639999999945</v>
      </c>
      <c r="H775" s="115">
        <f t="shared" si="113"/>
        <v>3.3608815426997216E-2</v>
      </c>
      <c r="I775" s="116">
        <f t="shared" si="116"/>
        <v>49.157000000000018</v>
      </c>
      <c r="J775" s="116">
        <f t="shared" si="117"/>
        <v>1.6629999999999825</v>
      </c>
      <c r="K775" s="116">
        <f t="shared" si="118"/>
        <v>1.6629999999999825</v>
      </c>
      <c r="L775" s="116">
        <f t="shared" si="119"/>
        <v>2.765568999999942</v>
      </c>
      <c r="M775" s="117">
        <f t="shared" si="115"/>
        <v>3.2723337268791466E-2</v>
      </c>
    </row>
    <row r="776" spans="1:13">
      <c r="A776" s="112">
        <v>773</v>
      </c>
      <c r="B776" s="107">
        <v>42746</v>
      </c>
      <c r="C776" s="108">
        <v>52.19</v>
      </c>
      <c r="D776" s="115">
        <f t="shared" si="114"/>
        <v>52.493500000000004</v>
      </c>
      <c r="E776" s="115">
        <f t="shared" si="110"/>
        <v>-0.30350000000000676</v>
      </c>
      <c r="F776" s="115">
        <f t="shared" si="111"/>
        <v>0.30350000000000676</v>
      </c>
      <c r="G776" s="115">
        <f t="shared" si="112"/>
        <v>9.2112250000004101E-2</v>
      </c>
      <c r="H776" s="115">
        <f t="shared" si="113"/>
        <v>5.8152902854954353E-3</v>
      </c>
      <c r="I776" s="116">
        <f t="shared" si="116"/>
        <v>49.199000000000012</v>
      </c>
      <c r="J776" s="116">
        <f t="shared" si="117"/>
        <v>2.9909999999999854</v>
      </c>
      <c r="K776" s="116">
        <f t="shared" si="118"/>
        <v>2.9909999999999854</v>
      </c>
      <c r="L776" s="116">
        <f t="shared" si="119"/>
        <v>8.9460809999999125</v>
      </c>
      <c r="M776" s="117">
        <f t="shared" si="115"/>
        <v>5.7309829469246704E-2</v>
      </c>
    </row>
    <row r="777" spans="1:13">
      <c r="A777" s="112">
        <v>774</v>
      </c>
      <c r="B777" s="113">
        <v>42747</v>
      </c>
      <c r="C777" s="114">
        <v>53.01</v>
      </c>
      <c r="D777" s="115">
        <f t="shared" si="114"/>
        <v>52.466000000000008</v>
      </c>
      <c r="E777" s="115">
        <f t="shared" si="110"/>
        <v>0.54399999999998983</v>
      </c>
      <c r="F777" s="115">
        <f t="shared" si="111"/>
        <v>0.54399999999998983</v>
      </c>
      <c r="G777" s="115">
        <f t="shared" si="112"/>
        <v>0.29593599999998893</v>
      </c>
      <c r="H777" s="115">
        <f t="shared" si="113"/>
        <v>1.0262214676475945E-2</v>
      </c>
      <c r="I777" s="116">
        <f t="shared" si="116"/>
        <v>49.306200000000018</v>
      </c>
      <c r="J777" s="116">
        <f t="shared" si="117"/>
        <v>3.7037999999999798</v>
      </c>
      <c r="K777" s="116">
        <f t="shared" si="118"/>
        <v>3.7037999999999798</v>
      </c>
      <c r="L777" s="116">
        <f t="shared" si="119"/>
        <v>13.718134439999851</v>
      </c>
      <c r="M777" s="117">
        <f t="shared" si="115"/>
        <v>6.9869835880022255E-2</v>
      </c>
    </row>
    <row r="778" spans="1:13">
      <c r="A778" s="112">
        <v>775</v>
      </c>
      <c r="B778" s="107">
        <v>42748</v>
      </c>
      <c r="C778" s="108">
        <v>52.36</v>
      </c>
      <c r="D778" s="115">
        <f t="shared" si="114"/>
        <v>52.467000000000006</v>
      </c>
      <c r="E778" s="115">
        <f t="shared" si="110"/>
        <v>-0.10700000000000642</v>
      </c>
      <c r="F778" s="115">
        <f t="shared" si="111"/>
        <v>0.10700000000000642</v>
      </c>
      <c r="G778" s="115">
        <f t="shared" si="112"/>
        <v>1.1449000000001375E-2</v>
      </c>
      <c r="H778" s="115">
        <f t="shared" si="113"/>
        <v>2.0435446906036368E-3</v>
      </c>
      <c r="I778" s="116">
        <f t="shared" si="116"/>
        <v>49.433200000000014</v>
      </c>
      <c r="J778" s="116">
        <f t="shared" si="117"/>
        <v>2.9267999999999859</v>
      </c>
      <c r="K778" s="116">
        <f t="shared" si="118"/>
        <v>2.9267999999999859</v>
      </c>
      <c r="L778" s="116">
        <f t="shared" si="119"/>
        <v>8.5661582399999165</v>
      </c>
      <c r="M778" s="117">
        <f t="shared" si="115"/>
        <v>5.5897631779984448E-2</v>
      </c>
    </row>
    <row r="779" spans="1:13">
      <c r="A779" s="112">
        <v>776</v>
      </c>
      <c r="B779" s="113">
        <v>42752</v>
      </c>
      <c r="C779" s="114">
        <v>52.45</v>
      </c>
      <c r="D779" s="115">
        <f t="shared" si="114"/>
        <v>52.534500000000001</v>
      </c>
      <c r="E779" s="115">
        <f t="shared" si="110"/>
        <v>-8.4499999999998465E-2</v>
      </c>
      <c r="F779" s="115">
        <f t="shared" si="111"/>
        <v>8.4499999999998465E-2</v>
      </c>
      <c r="G779" s="115">
        <f t="shared" si="112"/>
        <v>7.1402499999997406E-3</v>
      </c>
      <c r="H779" s="115">
        <f t="shared" si="113"/>
        <v>1.6110581506196084E-3</v>
      </c>
      <c r="I779" s="116">
        <f t="shared" si="116"/>
        <v>49.574000000000012</v>
      </c>
      <c r="J779" s="116">
        <f t="shared" si="117"/>
        <v>2.8759999999999906</v>
      </c>
      <c r="K779" s="116">
        <f t="shared" si="118"/>
        <v>2.8759999999999906</v>
      </c>
      <c r="L779" s="116">
        <f t="shared" si="119"/>
        <v>8.271375999999945</v>
      </c>
      <c r="M779" s="117">
        <f t="shared" si="115"/>
        <v>5.4833174451858729E-2</v>
      </c>
    </row>
    <row r="780" spans="1:13">
      <c r="A780" s="112">
        <v>777</v>
      </c>
      <c r="B780" s="107">
        <v>42753</v>
      </c>
      <c r="C780" s="108">
        <v>51.12</v>
      </c>
      <c r="D780" s="115">
        <f t="shared" si="114"/>
        <v>52.612000000000002</v>
      </c>
      <c r="E780" s="115">
        <f t="shared" si="110"/>
        <v>-1.4920000000000044</v>
      </c>
      <c r="F780" s="115">
        <f t="shared" si="111"/>
        <v>1.4920000000000044</v>
      </c>
      <c r="G780" s="115">
        <f t="shared" si="112"/>
        <v>2.2260640000000134</v>
      </c>
      <c r="H780" s="115">
        <f t="shared" si="113"/>
        <v>2.9186228482003217E-2</v>
      </c>
      <c r="I780" s="116">
        <f t="shared" si="116"/>
        <v>49.729800000000004</v>
      </c>
      <c r="J780" s="116">
        <f t="shared" si="117"/>
        <v>1.390199999999993</v>
      </c>
      <c r="K780" s="116">
        <f t="shared" si="118"/>
        <v>1.390199999999993</v>
      </c>
      <c r="L780" s="116">
        <f t="shared" si="119"/>
        <v>1.9326560399999806</v>
      </c>
      <c r="M780" s="117">
        <f t="shared" si="115"/>
        <v>2.7194835680751039E-2</v>
      </c>
    </row>
    <row r="781" spans="1:13">
      <c r="A781" s="112">
        <v>778</v>
      </c>
      <c r="B781" s="113">
        <v>42754</v>
      </c>
      <c r="C781" s="114">
        <v>51.39</v>
      </c>
      <c r="D781" s="115">
        <f t="shared" si="114"/>
        <v>52.5715</v>
      </c>
      <c r="E781" s="115">
        <f t="shared" si="110"/>
        <v>-1.1814999999999998</v>
      </c>
      <c r="F781" s="115">
        <f t="shared" si="111"/>
        <v>1.1814999999999998</v>
      </c>
      <c r="G781" s="115">
        <f t="shared" si="112"/>
        <v>1.3959422499999994</v>
      </c>
      <c r="H781" s="115">
        <f t="shared" si="113"/>
        <v>2.2990854251799957E-2</v>
      </c>
      <c r="I781" s="116">
        <f t="shared" si="116"/>
        <v>49.87080000000001</v>
      </c>
      <c r="J781" s="116">
        <f t="shared" si="117"/>
        <v>1.5191999999999908</v>
      </c>
      <c r="K781" s="116">
        <f t="shared" si="118"/>
        <v>1.5191999999999908</v>
      </c>
      <c r="L781" s="116">
        <f t="shared" si="119"/>
        <v>2.3079686399999719</v>
      </c>
      <c r="M781" s="117">
        <f t="shared" si="115"/>
        <v>2.9562171628721361E-2</v>
      </c>
    </row>
    <row r="782" spans="1:13">
      <c r="A782" s="112">
        <v>779</v>
      </c>
      <c r="B782" s="107">
        <v>42755</v>
      </c>
      <c r="C782" s="108">
        <v>52.33</v>
      </c>
      <c r="D782" s="115">
        <f t="shared" si="114"/>
        <v>52.534500000000016</v>
      </c>
      <c r="E782" s="115">
        <f t="shared" si="110"/>
        <v>-0.20450000000001722</v>
      </c>
      <c r="F782" s="115">
        <f t="shared" si="111"/>
        <v>0.20450000000001722</v>
      </c>
      <c r="G782" s="115">
        <f t="shared" si="112"/>
        <v>4.1820250000007046E-2</v>
      </c>
      <c r="H782" s="115">
        <f t="shared" si="113"/>
        <v>3.9078922224348792E-3</v>
      </c>
      <c r="I782" s="116">
        <f t="shared" si="116"/>
        <v>50.001000000000005</v>
      </c>
      <c r="J782" s="116">
        <f t="shared" si="117"/>
        <v>2.3289999999999935</v>
      </c>
      <c r="K782" s="116">
        <f t="shared" si="118"/>
        <v>2.3289999999999935</v>
      </c>
      <c r="L782" s="116">
        <f t="shared" si="119"/>
        <v>5.4242409999999701</v>
      </c>
      <c r="M782" s="117">
        <f t="shared" si="115"/>
        <v>4.4506019491687247E-2</v>
      </c>
    </row>
    <row r="783" spans="1:13">
      <c r="A783" s="112">
        <v>780</v>
      </c>
      <c r="B783" s="113">
        <v>42758</v>
      </c>
      <c r="C783" s="114">
        <v>52.77</v>
      </c>
      <c r="D783" s="115">
        <f t="shared" si="114"/>
        <v>52.540000000000006</v>
      </c>
      <c r="E783" s="115">
        <f t="shared" si="110"/>
        <v>0.22999999999999687</v>
      </c>
      <c r="F783" s="115">
        <f t="shared" si="111"/>
        <v>0.22999999999999687</v>
      </c>
      <c r="G783" s="115">
        <f t="shared" si="112"/>
        <v>5.2899999999998559E-2</v>
      </c>
      <c r="H783" s="115">
        <f t="shared" si="113"/>
        <v>4.3585370475648444E-3</v>
      </c>
      <c r="I783" s="116">
        <f t="shared" si="116"/>
        <v>50.148400000000002</v>
      </c>
      <c r="J783" s="116">
        <f t="shared" si="117"/>
        <v>2.6216000000000008</v>
      </c>
      <c r="K783" s="116">
        <f t="shared" si="118"/>
        <v>2.6216000000000008</v>
      </c>
      <c r="L783" s="116">
        <f t="shared" si="119"/>
        <v>6.8727865600000042</v>
      </c>
      <c r="M783" s="117">
        <f t="shared" si="115"/>
        <v>4.9679742277809372E-2</v>
      </c>
    </row>
    <row r="784" spans="1:13">
      <c r="A784" s="112">
        <v>781</v>
      </c>
      <c r="B784" s="107">
        <v>42759</v>
      </c>
      <c r="C784" s="108">
        <v>52.38</v>
      </c>
      <c r="D784" s="115">
        <f t="shared" si="114"/>
        <v>52.606500000000004</v>
      </c>
      <c r="E784" s="115">
        <f t="shared" si="110"/>
        <v>-0.22650000000000148</v>
      </c>
      <c r="F784" s="115">
        <f t="shared" si="111"/>
        <v>0.22650000000000148</v>
      </c>
      <c r="G784" s="115">
        <f t="shared" si="112"/>
        <v>5.1302250000000667E-2</v>
      </c>
      <c r="H784" s="115">
        <f t="shared" si="113"/>
        <v>4.3241695303551254E-3</v>
      </c>
      <c r="I784" s="116">
        <f t="shared" si="116"/>
        <v>50.299800000000005</v>
      </c>
      <c r="J784" s="116">
        <f t="shared" si="117"/>
        <v>2.0801999999999978</v>
      </c>
      <c r="K784" s="116">
        <f t="shared" si="118"/>
        <v>2.0801999999999978</v>
      </c>
      <c r="L784" s="116">
        <f t="shared" si="119"/>
        <v>4.3272320399999913</v>
      </c>
      <c r="M784" s="117">
        <f t="shared" si="115"/>
        <v>3.9713631156930079E-2</v>
      </c>
    </row>
    <row r="785" spans="1:13">
      <c r="A785" s="112">
        <v>782</v>
      </c>
      <c r="B785" s="113">
        <v>42760</v>
      </c>
      <c r="C785" s="114">
        <v>52.14</v>
      </c>
      <c r="D785" s="115">
        <f t="shared" si="114"/>
        <v>52.626500000000007</v>
      </c>
      <c r="E785" s="115">
        <f t="shared" si="110"/>
        <v>-0.48650000000000659</v>
      </c>
      <c r="F785" s="115">
        <f t="shared" si="111"/>
        <v>0.48650000000000659</v>
      </c>
      <c r="G785" s="115">
        <f t="shared" si="112"/>
        <v>0.23668225000000642</v>
      </c>
      <c r="H785" s="115">
        <f t="shared" si="113"/>
        <v>9.330648254699014E-3</v>
      </c>
      <c r="I785" s="116">
        <f t="shared" si="116"/>
        <v>50.455000000000013</v>
      </c>
      <c r="J785" s="116">
        <f t="shared" si="117"/>
        <v>1.6849999999999881</v>
      </c>
      <c r="K785" s="116">
        <f t="shared" si="118"/>
        <v>1.6849999999999881</v>
      </c>
      <c r="L785" s="116">
        <f t="shared" si="119"/>
        <v>2.8392249999999599</v>
      </c>
      <c r="M785" s="117">
        <f t="shared" si="115"/>
        <v>3.2316839278864369E-2</v>
      </c>
    </row>
    <row r="786" spans="1:13">
      <c r="A786" s="112">
        <v>783</v>
      </c>
      <c r="B786" s="107">
        <v>42761</v>
      </c>
      <c r="C786" s="108">
        <v>53.24</v>
      </c>
      <c r="D786" s="115">
        <f t="shared" si="114"/>
        <v>52.633000000000003</v>
      </c>
      <c r="E786" s="115">
        <f t="shared" si="110"/>
        <v>0.60699999999999932</v>
      </c>
      <c r="F786" s="115">
        <f t="shared" si="111"/>
        <v>0.60699999999999932</v>
      </c>
      <c r="G786" s="115">
        <f t="shared" si="112"/>
        <v>0.36844899999999919</v>
      </c>
      <c r="H786" s="115">
        <f t="shared" si="113"/>
        <v>1.1401202103681429E-2</v>
      </c>
      <c r="I786" s="116">
        <f t="shared" si="116"/>
        <v>50.63</v>
      </c>
      <c r="J786" s="116">
        <f t="shared" si="117"/>
        <v>2.6099999999999994</v>
      </c>
      <c r="K786" s="116">
        <f t="shared" si="118"/>
        <v>2.6099999999999994</v>
      </c>
      <c r="L786" s="116">
        <f t="shared" si="119"/>
        <v>6.8120999999999974</v>
      </c>
      <c r="M786" s="117">
        <f t="shared" si="115"/>
        <v>4.9023290758827935E-2</v>
      </c>
    </row>
    <row r="787" spans="1:13">
      <c r="A787" s="112">
        <v>784</v>
      </c>
      <c r="B787" s="113">
        <v>42762</v>
      </c>
      <c r="C787" s="114">
        <v>53.18</v>
      </c>
      <c r="D787" s="115">
        <f t="shared" si="114"/>
        <v>52.653999999999996</v>
      </c>
      <c r="E787" s="115">
        <f t="shared" si="110"/>
        <v>0.52600000000000335</v>
      </c>
      <c r="F787" s="115">
        <f t="shared" si="111"/>
        <v>0.52600000000000335</v>
      </c>
      <c r="G787" s="115">
        <f t="shared" si="112"/>
        <v>0.27667600000000353</v>
      </c>
      <c r="H787" s="115">
        <f t="shared" si="113"/>
        <v>9.8909364422715938E-3</v>
      </c>
      <c r="I787" s="116">
        <f t="shared" si="116"/>
        <v>50.828999999999994</v>
      </c>
      <c r="J787" s="116">
        <f t="shared" si="117"/>
        <v>2.3510000000000062</v>
      </c>
      <c r="K787" s="116">
        <f t="shared" si="118"/>
        <v>2.3510000000000062</v>
      </c>
      <c r="L787" s="116">
        <f t="shared" si="119"/>
        <v>5.5272010000000291</v>
      </c>
      <c r="M787" s="117">
        <f t="shared" si="115"/>
        <v>4.4208349003384849E-2</v>
      </c>
    </row>
    <row r="788" spans="1:13">
      <c r="A788" s="112">
        <v>785</v>
      </c>
      <c r="B788" s="107">
        <v>42765</v>
      </c>
      <c r="C788" s="108">
        <v>52.63</v>
      </c>
      <c r="D788" s="115">
        <f t="shared" si="114"/>
        <v>52.612499999999997</v>
      </c>
      <c r="E788" s="115">
        <f t="shared" si="110"/>
        <v>1.75000000000054E-2</v>
      </c>
      <c r="F788" s="115">
        <f t="shared" si="111"/>
        <v>1.75000000000054E-2</v>
      </c>
      <c r="G788" s="115">
        <f t="shared" si="112"/>
        <v>3.0625000000018902E-4</v>
      </c>
      <c r="H788" s="115">
        <f t="shared" si="113"/>
        <v>3.3250997529936155E-4</v>
      </c>
      <c r="I788" s="116">
        <f t="shared" si="116"/>
        <v>50.975399999999993</v>
      </c>
      <c r="J788" s="116">
        <f t="shared" si="117"/>
        <v>1.6546000000000092</v>
      </c>
      <c r="K788" s="116">
        <f t="shared" si="118"/>
        <v>1.6546000000000092</v>
      </c>
      <c r="L788" s="116">
        <f t="shared" si="119"/>
        <v>2.7377011600000305</v>
      </c>
      <c r="M788" s="117">
        <f t="shared" si="115"/>
        <v>3.143834315029468E-2</v>
      </c>
    </row>
    <row r="789" spans="1:13">
      <c r="A789" s="112">
        <v>786</v>
      </c>
      <c r="B789" s="113">
        <v>42766</v>
      </c>
      <c r="C789" s="114">
        <v>52.75</v>
      </c>
      <c r="D789" s="115">
        <f t="shared" si="114"/>
        <v>52.553999999999995</v>
      </c>
      <c r="E789" s="115">
        <f t="shared" si="110"/>
        <v>0.19600000000000506</v>
      </c>
      <c r="F789" s="115">
        <f t="shared" si="111"/>
        <v>0.19600000000000506</v>
      </c>
      <c r="G789" s="115">
        <f t="shared" si="112"/>
        <v>3.8416000000001983E-2</v>
      </c>
      <c r="H789" s="115">
        <f t="shared" si="113"/>
        <v>3.7156398104266361E-3</v>
      </c>
      <c r="I789" s="116">
        <f t="shared" si="116"/>
        <v>51.116799999999991</v>
      </c>
      <c r="J789" s="116">
        <f t="shared" si="117"/>
        <v>1.6332000000000093</v>
      </c>
      <c r="K789" s="116">
        <f t="shared" si="118"/>
        <v>1.6332000000000093</v>
      </c>
      <c r="L789" s="116">
        <f t="shared" si="119"/>
        <v>2.6673422400000306</v>
      </c>
      <c r="M789" s="117">
        <f t="shared" si="115"/>
        <v>3.0961137440758471E-2</v>
      </c>
    </row>
    <row r="790" spans="1:13">
      <c r="A790" s="112">
        <v>787</v>
      </c>
      <c r="B790" s="107">
        <v>42767</v>
      </c>
      <c r="C790" s="108">
        <v>53.9</v>
      </c>
      <c r="D790" s="115">
        <f t="shared" si="114"/>
        <v>52.503999999999998</v>
      </c>
      <c r="E790" s="115">
        <f t="shared" si="110"/>
        <v>1.3960000000000008</v>
      </c>
      <c r="F790" s="115">
        <f t="shared" si="111"/>
        <v>1.3960000000000008</v>
      </c>
      <c r="G790" s="115">
        <f t="shared" si="112"/>
        <v>1.9488160000000023</v>
      </c>
      <c r="H790" s="115">
        <f t="shared" si="113"/>
        <v>2.5899814471243059E-2</v>
      </c>
      <c r="I790" s="116">
        <f t="shared" si="116"/>
        <v>51.264399999999988</v>
      </c>
      <c r="J790" s="116">
        <f t="shared" si="117"/>
        <v>2.6356000000000108</v>
      </c>
      <c r="K790" s="116">
        <f t="shared" si="118"/>
        <v>2.6356000000000108</v>
      </c>
      <c r="L790" s="116">
        <f t="shared" si="119"/>
        <v>6.946387360000057</v>
      </c>
      <c r="M790" s="117">
        <f t="shared" si="115"/>
        <v>4.8897959183673671E-2</v>
      </c>
    </row>
    <row r="791" spans="1:13">
      <c r="A791" s="112">
        <v>788</v>
      </c>
      <c r="B791" s="113">
        <v>42768</v>
      </c>
      <c r="C791" s="114">
        <v>53.55</v>
      </c>
      <c r="D791" s="115">
        <f t="shared" si="114"/>
        <v>52.580999999999996</v>
      </c>
      <c r="E791" s="115">
        <f t="shared" si="110"/>
        <v>0.96900000000000119</v>
      </c>
      <c r="F791" s="115">
        <f t="shared" si="111"/>
        <v>0.96900000000000119</v>
      </c>
      <c r="G791" s="115">
        <f t="shared" si="112"/>
        <v>0.93896100000000227</v>
      </c>
      <c r="H791" s="115">
        <f t="shared" si="113"/>
        <v>1.8095238095238119E-2</v>
      </c>
      <c r="I791" s="116">
        <f t="shared" si="116"/>
        <v>51.428599999999989</v>
      </c>
      <c r="J791" s="116">
        <f t="shared" si="117"/>
        <v>2.1214000000000084</v>
      </c>
      <c r="K791" s="116">
        <f t="shared" si="118"/>
        <v>2.1214000000000084</v>
      </c>
      <c r="L791" s="116">
        <f t="shared" si="119"/>
        <v>4.5003379600000359</v>
      </c>
      <c r="M791" s="117">
        <f t="shared" si="115"/>
        <v>3.9615312791783541E-2</v>
      </c>
    </row>
    <row r="792" spans="1:13">
      <c r="A792" s="112">
        <v>789</v>
      </c>
      <c r="B792" s="107">
        <v>42769</v>
      </c>
      <c r="C792" s="108">
        <v>53.81</v>
      </c>
      <c r="D792" s="115">
        <f t="shared" si="114"/>
        <v>52.595499999999994</v>
      </c>
      <c r="E792" s="115">
        <f t="shared" ref="E792:E855" si="120">C792-D792</f>
        <v>1.2145000000000081</v>
      </c>
      <c r="F792" s="115">
        <f t="shared" ref="F792:F855" si="121">ABS(E792)</f>
        <v>1.2145000000000081</v>
      </c>
      <c r="G792" s="115">
        <f t="shared" ref="G792:G855" si="122">E792^2</f>
        <v>1.4750102500000197</v>
      </c>
      <c r="H792" s="115">
        <f t="shared" ref="H792:H855" si="123">F792/C792</f>
        <v>2.2570154246422749E-2</v>
      </c>
      <c r="I792" s="116">
        <f t="shared" si="116"/>
        <v>51.54999999999999</v>
      </c>
      <c r="J792" s="116">
        <f t="shared" si="117"/>
        <v>2.2600000000000122</v>
      </c>
      <c r="K792" s="116">
        <f t="shared" si="118"/>
        <v>2.2600000000000122</v>
      </c>
      <c r="L792" s="116">
        <f t="shared" si="119"/>
        <v>5.1076000000000557</v>
      </c>
      <c r="M792" s="117">
        <f t="shared" si="115"/>
        <v>4.1999628321873483E-2</v>
      </c>
    </row>
    <row r="793" spans="1:13">
      <c r="A793" s="112">
        <v>790</v>
      </c>
      <c r="B793" s="113">
        <v>42772</v>
      </c>
      <c r="C793" s="114">
        <v>53.01</v>
      </c>
      <c r="D793" s="115">
        <f t="shared" si="114"/>
        <v>52.597499999999989</v>
      </c>
      <c r="E793" s="115">
        <f t="shared" si="120"/>
        <v>0.41250000000000853</v>
      </c>
      <c r="F793" s="115">
        <f t="shared" si="121"/>
        <v>0.41250000000000853</v>
      </c>
      <c r="G793" s="115">
        <f t="shared" si="122"/>
        <v>0.17015625000000703</v>
      </c>
      <c r="H793" s="115">
        <f t="shared" si="123"/>
        <v>7.7815506508207609E-3</v>
      </c>
      <c r="I793" s="116">
        <f t="shared" si="116"/>
        <v>51.664799999999993</v>
      </c>
      <c r="J793" s="116">
        <f t="shared" si="117"/>
        <v>1.3452000000000055</v>
      </c>
      <c r="K793" s="116">
        <f t="shared" si="118"/>
        <v>1.3452000000000055</v>
      </c>
      <c r="L793" s="116">
        <f t="shared" si="119"/>
        <v>1.8095630400000149</v>
      </c>
      <c r="M793" s="117">
        <f t="shared" si="115"/>
        <v>2.5376344086021609E-2</v>
      </c>
    </row>
    <row r="794" spans="1:13">
      <c r="A794" s="112">
        <v>791</v>
      </c>
      <c r="B794" s="107">
        <v>42773</v>
      </c>
      <c r="C794" s="108">
        <v>52.19</v>
      </c>
      <c r="D794" s="115">
        <f t="shared" ref="D794:D857" si="124">AVERAGE(C774:C793)</f>
        <v>52.548999999999992</v>
      </c>
      <c r="E794" s="115">
        <f t="shared" si="120"/>
        <v>-0.35899999999999466</v>
      </c>
      <c r="F794" s="115">
        <f t="shared" si="121"/>
        <v>0.35899999999999466</v>
      </c>
      <c r="G794" s="115">
        <f t="shared" si="122"/>
        <v>0.12888099999999617</v>
      </c>
      <c r="H794" s="115">
        <f t="shared" si="123"/>
        <v>6.8787123970108196E-3</v>
      </c>
      <c r="I794" s="116">
        <f t="shared" si="116"/>
        <v>51.790599999999998</v>
      </c>
      <c r="J794" s="116">
        <f t="shared" si="117"/>
        <v>0.39939999999999998</v>
      </c>
      <c r="K794" s="116">
        <f t="shared" si="118"/>
        <v>0.39939999999999998</v>
      </c>
      <c r="L794" s="116">
        <f t="shared" si="119"/>
        <v>0.15952035999999997</v>
      </c>
      <c r="M794" s="117">
        <f t="shared" si="115"/>
        <v>7.6528070511592255E-3</v>
      </c>
    </row>
    <row r="795" spans="1:13">
      <c r="A795" s="112">
        <v>792</v>
      </c>
      <c r="B795" s="113">
        <v>42774</v>
      </c>
      <c r="C795" s="114">
        <v>52.37</v>
      </c>
      <c r="D795" s="115">
        <f t="shared" si="124"/>
        <v>52.560999999999993</v>
      </c>
      <c r="E795" s="115">
        <f t="shared" si="120"/>
        <v>-0.1909999999999954</v>
      </c>
      <c r="F795" s="115">
        <f t="shared" si="121"/>
        <v>0.1909999999999954</v>
      </c>
      <c r="G795" s="115">
        <f t="shared" si="122"/>
        <v>3.6480999999998244E-2</v>
      </c>
      <c r="H795" s="115">
        <f t="shared" si="123"/>
        <v>3.647126217299893E-3</v>
      </c>
      <c r="I795" s="116">
        <f t="shared" si="116"/>
        <v>51.899999999999991</v>
      </c>
      <c r="J795" s="116">
        <f t="shared" si="117"/>
        <v>0.47000000000000597</v>
      </c>
      <c r="K795" s="116">
        <f t="shared" si="118"/>
        <v>0.47000000000000597</v>
      </c>
      <c r="L795" s="116">
        <f t="shared" si="119"/>
        <v>0.22090000000000562</v>
      </c>
      <c r="M795" s="117">
        <f t="shared" si="115"/>
        <v>8.9746037807906433E-3</v>
      </c>
    </row>
    <row r="796" spans="1:13">
      <c r="A796" s="112">
        <v>793</v>
      </c>
      <c r="B796" s="107">
        <v>42775</v>
      </c>
      <c r="C796" s="108">
        <v>52.99</v>
      </c>
      <c r="D796" s="115">
        <f t="shared" si="124"/>
        <v>52.638499999999986</v>
      </c>
      <c r="E796" s="115">
        <f t="shared" si="120"/>
        <v>0.35150000000001569</v>
      </c>
      <c r="F796" s="115">
        <f t="shared" si="121"/>
        <v>0.35150000000001569</v>
      </c>
      <c r="G796" s="115">
        <f t="shared" si="122"/>
        <v>0.12355225000001104</v>
      </c>
      <c r="H796" s="115">
        <f t="shared" si="123"/>
        <v>6.6333270428385674E-3</v>
      </c>
      <c r="I796" s="116">
        <f t="shared" si="116"/>
        <v>52.012999999999991</v>
      </c>
      <c r="J796" s="116">
        <f t="shared" si="117"/>
        <v>0.97700000000001097</v>
      </c>
      <c r="K796" s="116">
        <f t="shared" si="118"/>
        <v>0.97700000000001097</v>
      </c>
      <c r="L796" s="116">
        <f t="shared" si="119"/>
        <v>0.95452900000002139</v>
      </c>
      <c r="M796" s="117">
        <f t="shared" si="115"/>
        <v>1.8437441026609002E-2</v>
      </c>
    </row>
    <row r="797" spans="1:13">
      <c r="A797" s="112">
        <v>794</v>
      </c>
      <c r="B797" s="113">
        <v>42776</v>
      </c>
      <c r="C797" s="114">
        <v>53.84</v>
      </c>
      <c r="D797" s="115">
        <f t="shared" si="124"/>
        <v>52.678499999999985</v>
      </c>
      <c r="E797" s="115">
        <f t="shared" si="120"/>
        <v>1.161500000000018</v>
      </c>
      <c r="F797" s="115">
        <f t="shared" si="121"/>
        <v>1.161500000000018</v>
      </c>
      <c r="G797" s="115">
        <f t="shared" si="122"/>
        <v>1.3490822500000417</v>
      </c>
      <c r="H797" s="115">
        <f t="shared" si="123"/>
        <v>2.1573179791976559E-2</v>
      </c>
      <c r="I797" s="116">
        <f t="shared" si="116"/>
        <v>52.159599999999998</v>
      </c>
      <c r="J797" s="116">
        <f t="shared" si="117"/>
        <v>1.6804000000000059</v>
      </c>
      <c r="K797" s="116">
        <f t="shared" si="118"/>
        <v>1.6804000000000059</v>
      </c>
      <c r="L797" s="116">
        <f t="shared" si="119"/>
        <v>2.8237441600000199</v>
      </c>
      <c r="M797" s="117">
        <f t="shared" si="115"/>
        <v>3.1210995542347804E-2</v>
      </c>
    </row>
    <row r="798" spans="1:13">
      <c r="A798" s="112">
        <v>795</v>
      </c>
      <c r="B798" s="107">
        <v>42779</v>
      </c>
      <c r="C798" s="108">
        <v>52.96</v>
      </c>
      <c r="D798" s="115">
        <f t="shared" si="124"/>
        <v>52.719999999999992</v>
      </c>
      <c r="E798" s="115">
        <f t="shared" si="120"/>
        <v>0.24000000000000909</v>
      </c>
      <c r="F798" s="115">
        <f t="shared" si="121"/>
        <v>0.24000000000000909</v>
      </c>
      <c r="G798" s="115">
        <f t="shared" si="122"/>
        <v>5.7600000000004363E-2</v>
      </c>
      <c r="H798" s="115">
        <f t="shared" si="123"/>
        <v>4.531722054380836E-3</v>
      </c>
      <c r="I798" s="116">
        <f t="shared" si="116"/>
        <v>52.330600000000011</v>
      </c>
      <c r="J798" s="116">
        <f t="shared" si="117"/>
        <v>0.62939999999998975</v>
      </c>
      <c r="K798" s="116">
        <f t="shared" si="118"/>
        <v>0.62939999999998975</v>
      </c>
      <c r="L798" s="116">
        <f t="shared" si="119"/>
        <v>0.39614435999998709</v>
      </c>
      <c r="M798" s="117">
        <f t="shared" si="115"/>
        <v>1.18844410876131E-2</v>
      </c>
    </row>
    <row r="799" spans="1:13">
      <c r="A799" s="112">
        <v>796</v>
      </c>
      <c r="B799" s="113">
        <v>42780</v>
      </c>
      <c r="C799" s="114">
        <v>53.21</v>
      </c>
      <c r="D799" s="115">
        <f t="shared" si="124"/>
        <v>52.75</v>
      </c>
      <c r="E799" s="115">
        <f t="shared" si="120"/>
        <v>0.46000000000000085</v>
      </c>
      <c r="F799" s="115">
        <f t="shared" si="121"/>
        <v>0.46000000000000085</v>
      </c>
      <c r="G799" s="115">
        <f t="shared" si="122"/>
        <v>0.21160000000000079</v>
      </c>
      <c r="H799" s="115">
        <f t="shared" si="123"/>
        <v>8.6449915429430719E-3</v>
      </c>
      <c r="I799" s="116">
        <f t="shared" si="116"/>
        <v>52.401600000000009</v>
      </c>
      <c r="J799" s="116">
        <f t="shared" si="117"/>
        <v>0.80839999999999179</v>
      </c>
      <c r="K799" s="116">
        <f t="shared" si="118"/>
        <v>0.80839999999999179</v>
      </c>
      <c r="L799" s="116">
        <f t="shared" si="119"/>
        <v>0.65351055999998675</v>
      </c>
      <c r="M799" s="117">
        <f t="shared" si="115"/>
        <v>1.5192632963728468E-2</v>
      </c>
    </row>
    <row r="800" spans="1:13">
      <c r="A800" s="112">
        <v>797</v>
      </c>
      <c r="B800" s="107">
        <v>42781</v>
      </c>
      <c r="C800" s="108">
        <v>53.11</v>
      </c>
      <c r="D800" s="115">
        <f t="shared" si="124"/>
        <v>52.788000000000011</v>
      </c>
      <c r="E800" s="115">
        <f t="shared" si="120"/>
        <v>0.32199999999998852</v>
      </c>
      <c r="F800" s="115">
        <f t="shared" si="121"/>
        <v>0.32199999999998852</v>
      </c>
      <c r="G800" s="115">
        <f t="shared" si="122"/>
        <v>0.1036839999999926</v>
      </c>
      <c r="H800" s="115">
        <f t="shared" si="123"/>
        <v>6.0628883449442388E-3</v>
      </c>
      <c r="I800" s="116">
        <f t="shared" si="116"/>
        <v>52.444200000000009</v>
      </c>
      <c r="J800" s="116">
        <f t="shared" si="117"/>
        <v>0.66579999999999018</v>
      </c>
      <c r="K800" s="116">
        <f t="shared" si="118"/>
        <v>0.66579999999999018</v>
      </c>
      <c r="L800" s="116">
        <f t="shared" si="119"/>
        <v>0.44328963999998694</v>
      </c>
      <c r="M800" s="117">
        <f t="shared" si="115"/>
        <v>1.2536245528148939E-2</v>
      </c>
    </row>
    <row r="801" spans="1:13">
      <c r="A801" s="112">
        <v>798</v>
      </c>
      <c r="B801" s="113">
        <v>42782</v>
      </c>
      <c r="C801" s="114">
        <v>53.41</v>
      </c>
      <c r="D801" s="115">
        <f t="shared" si="124"/>
        <v>52.887500000000003</v>
      </c>
      <c r="E801" s="115">
        <f t="shared" si="120"/>
        <v>0.52249999999999375</v>
      </c>
      <c r="F801" s="115">
        <f t="shared" si="121"/>
        <v>0.52249999999999375</v>
      </c>
      <c r="G801" s="115">
        <f t="shared" si="122"/>
        <v>0.27300624999999346</v>
      </c>
      <c r="H801" s="115">
        <f t="shared" si="123"/>
        <v>9.7828122074516723E-3</v>
      </c>
      <c r="I801" s="116">
        <f t="shared" si="116"/>
        <v>52.472400000000015</v>
      </c>
      <c r="J801" s="116">
        <f t="shared" si="117"/>
        <v>0.937599999999982</v>
      </c>
      <c r="K801" s="116">
        <f t="shared" si="118"/>
        <v>0.937599999999982</v>
      </c>
      <c r="L801" s="116">
        <f t="shared" si="119"/>
        <v>0.87909375999996631</v>
      </c>
      <c r="M801" s="117">
        <f t="shared" si="115"/>
        <v>1.755476502527583E-2</v>
      </c>
    </row>
    <row r="802" spans="1:13">
      <c r="A802" s="112">
        <v>799</v>
      </c>
      <c r="B802" s="107">
        <v>42783</v>
      </c>
      <c r="C802" s="108">
        <v>53.41</v>
      </c>
      <c r="D802" s="115">
        <f t="shared" si="124"/>
        <v>52.988500000000009</v>
      </c>
      <c r="E802" s="115">
        <f t="shared" si="120"/>
        <v>0.42149999999998755</v>
      </c>
      <c r="F802" s="115">
        <f t="shared" si="121"/>
        <v>0.42149999999998755</v>
      </c>
      <c r="G802" s="115">
        <f t="shared" si="122"/>
        <v>0.1776622499999895</v>
      </c>
      <c r="H802" s="115">
        <f t="shared" si="123"/>
        <v>7.8917805654369517E-3</v>
      </c>
      <c r="I802" s="116">
        <f t="shared" si="116"/>
        <v>52.506200000000007</v>
      </c>
      <c r="J802" s="116">
        <f t="shared" si="117"/>
        <v>0.90379999999998972</v>
      </c>
      <c r="K802" s="116">
        <f t="shared" si="118"/>
        <v>0.90379999999998972</v>
      </c>
      <c r="L802" s="116">
        <f t="shared" si="119"/>
        <v>0.81685443999998142</v>
      </c>
      <c r="M802" s="117">
        <f t="shared" si="115"/>
        <v>1.6921924733195839E-2</v>
      </c>
    </row>
    <row r="803" spans="1:13">
      <c r="A803" s="112">
        <v>800</v>
      </c>
      <c r="B803" s="113">
        <v>42787</v>
      </c>
      <c r="C803" s="114">
        <v>54.02</v>
      </c>
      <c r="D803" s="115">
        <f t="shared" si="124"/>
        <v>53.042500000000004</v>
      </c>
      <c r="E803" s="115">
        <f t="shared" si="120"/>
        <v>0.97749999999999915</v>
      </c>
      <c r="F803" s="115">
        <f t="shared" si="121"/>
        <v>0.97749999999999915</v>
      </c>
      <c r="G803" s="115">
        <f t="shared" si="122"/>
        <v>0.95550624999999834</v>
      </c>
      <c r="H803" s="115">
        <f t="shared" si="123"/>
        <v>1.8095149944464997E-2</v>
      </c>
      <c r="I803" s="116">
        <f t="shared" si="116"/>
        <v>52.555400000000006</v>
      </c>
      <c r="J803" s="116">
        <f t="shared" si="117"/>
        <v>1.4645999999999972</v>
      </c>
      <c r="K803" s="116">
        <f t="shared" si="118"/>
        <v>1.4645999999999972</v>
      </c>
      <c r="L803" s="116">
        <f t="shared" si="119"/>
        <v>2.1450531599999918</v>
      </c>
      <c r="M803" s="117">
        <f t="shared" si="115"/>
        <v>2.7112180673824458E-2</v>
      </c>
    </row>
    <row r="804" spans="1:13">
      <c r="A804" s="112">
        <v>801</v>
      </c>
      <c r="B804" s="107">
        <v>42788</v>
      </c>
      <c r="C804" s="108">
        <v>53.61</v>
      </c>
      <c r="D804" s="115">
        <f t="shared" si="124"/>
        <v>53.105000000000004</v>
      </c>
      <c r="E804" s="115">
        <f t="shared" si="120"/>
        <v>0.50499999999999545</v>
      </c>
      <c r="F804" s="115">
        <f t="shared" si="121"/>
        <v>0.50499999999999545</v>
      </c>
      <c r="G804" s="115">
        <f t="shared" si="122"/>
        <v>0.25502499999999539</v>
      </c>
      <c r="H804" s="115">
        <f t="shared" si="123"/>
        <v>9.4198843499346298E-3</v>
      </c>
      <c r="I804" s="116">
        <f t="shared" si="116"/>
        <v>52.638800000000003</v>
      </c>
      <c r="J804" s="116">
        <f t="shared" si="117"/>
        <v>0.97119999999999607</v>
      </c>
      <c r="K804" s="116">
        <f t="shared" si="118"/>
        <v>0.97119999999999607</v>
      </c>
      <c r="L804" s="116">
        <f t="shared" si="119"/>
        <v>0.94322943999999231</v>
      </c>
      <c r="M804" s="117">
        <f t="shared" si="115"/>
        <v>1.8116023130012985E-2</v>
      </c>
    </row>
    <row r="805" spans="1:13">
      <c r="A805" s="112">
        <v>802</v>
      </c>
      <c r="B805" s="113">
        <v>42789</v>
      </c>
      <c r="C805" s="114">
        <v>54.48</v>
      </c>
      <c r="D805" s="115">
        <f t="shared" si="124"/>
        <v>53.166499999999999</v>
      </c>
      <c r="E805" s="115">
        <f t="shared" si="120"/>
        <v>1.3134999999999977</v>
      </c>
      <c r="F805" s="115">
        <f t="shared" si="121"/>
        <v>1.3134999999999977</v>
      </c>
      <c r="G805" s="115">
        <f t="shared" si="122"/>
        <v>1.7252822499999938</v>
      </c>
      <c r="H805" s="115">
        <f t="shared" si="123"/>
        <v>2.4109765051394966E-2</v>
      </c>
      <c r="I805" s="116">
        <f t="shared" si="116"/>
        <v>52.694200000000002</v>
      </c>
      <c r="J805" s="116">
        <f t="shared" si="117"/>
        <v>1.7857999999999947</v>
      </c>
      <c r="K805" s="116">
        <f t="shared" si="118"/>
        <v>1.7857999999999947</v>
      </c>
      <c r="L805" s="116">
        <f t="shared" si="119"/>
        <v>3.1890816399999813</v>
      </c>
      <c r="M805" s="117">
        <f t="shared" si="115"/>
        <v>3.2779001468428687E-2</v>
      </c>
    </row>
    <row r="806" spans="1:13">
      <c r="A806" s="112">
        <v>803</v>
      </c>
      <c r="B806" s="107">
        <v>42790</v>
      </c>
      <c r="C806" s="108">
        <v>53.99</v>
      </c>
      <c r="D806" s="115">
        <f t="shared" si="124"/>
        <v>53.283500000000004</v>
      </c>
      <c r="E806" s="115">
        <f t="shared" si="120"/>
        <v>0.70649999999999835</v>
      </c>
      <c r="F806" s="115">
        <f t="shared" si="121"/>
        <v>0.70649999999999835</v>
      </c>
      <c r="G806" s="115">
        <f t="shared" si="122"/>
        <v>0.49914224999999768</v>
      </c>
      <c r="H806" s="115">
        <f t="shared" si="123"/>
        <v>1.3085756621596561E-2</v>
      </c>
      <c r="I806" s="116">
        <f t="shared" si="116"/>
        <v>52.753600000000006</v>
      </c>
      <c r="J806" s="116">
        <f t="shared" si="117"/>
        <v>1.2363999999999962</v>
      </c>
      <c r="K806" s="116">
        <f t="shared" si="118"/>
        <v>1.2363999999999962</v>
      </c>
      <c r="L806" s="116">
        <f t="shared" si="119"/>
        <v>1.5286849599999905</v>
      </c>
      <c r="M806" s="117">
        <f t="shared" si="115"/>
        <v>2.290053713650669E-2</v>
      </c>
    </row>
    <row r="807" spans="1:13">
      <c r="A807" s="112">
        <v>804</v>
      </c>
      <c r="B807" s="113">
        <v>42793</v>
      </c>
      <c r="C807" s="114">
        <v>54.04</v>
      </c>
      <c r="D807" s="115">
        <f t="shared" si="124"/>
        <v>53.321000000000005</v>
      </c>
      <c r="E807" s="115">
        <f t="shared" si="120"/>
        <v>0.71899999999999409</v>
      </c>
      <c r="F807" s="115">
        <f t="shared" si="121"/>
        <v>0.71899999999999409</v>
      </c>
      <c r="G807" s="115">
        <f t="shared" si="122"/>
        <v>0.51696099999999146</v>
      </c>
      <c r="H807" s="115">
        <f t="shared" si="123"/>
        <v>1.3304959289415139E-2</v>
      </c>
      <c r="I807" s="116">
        <f t="shared" si="116"/>
        <v>52.778600000000004</v>
      </c>
      <c r="J807" s="116">
        <f t="shared" si="117"/>
        <v>1.2613999999999947</v>
      </c>
      <c r="K807" s="116">
        <f t="shared" si="118"/>
        <v>1.2613999999999947</v>
      </c>
      <c r="L807" s="116">
        <f t="shared" si="119"/>
        <v>1.5911299599999869</v>
      </c>
      <c r="M807" s="117">
        <f t="shared" si="115"/>
        <v>2.3341968911917001E-2</v>
      </c>
    </row>
    <row r="808" spans="1:13">
      <c r="A808" s="112">
        <v>805</v>
      </c>
      <c r="B808" s="107">
        <v>42794</v>
      </c>
      <c r="C808" s="108">
        <v>54</v>
      </c>
      <c r="D808" s="115">
        <f t="shared" si="124"/>
        <v>53.363999999999997</v>
      </c>
      <c r="E808" s="115">
        <f t="shared" si="120"/>
        <v>0.63600000000000279</v>
      </c>
      <c r="F808" s="115">
        <f t="shared" si="121"/>
        <v>0.63600000000000279</v>
      </c>
      <c r="G808" s="115">
        <f t="shared" si="122"/>
        <v>0.40449600000000352</v>
      </c>
      <c r="H808" s="115">
        <f t="shared" si="123"/>
        <v>1.177777777777783E-2</v>
      </c>
      <c r="I808" s="116">
        <f t="shared" si="116"/>
        <v>52.799599999999998</v>
      </c>
      <c r="J808" s="116">
        <f t="shared" si="117"/>
        <v>1.2004000000000019</v>
      </c>
      <c r="K808" s="116">
        <f t="shared" si="118"/>
        <v>1.2004000000000019</v>
      </c>
      <c r="L808" s="116">
        <f t="shared" si="119"/>
        <v>1.4409601600000046</v>
      </c>
      <c r="M808" s="117">
        <f t="shared" si="115"/>
        <v>2.2229629629629665E-2</v>
      </c>
    </row>
    <row r="809" spans="1:13">
      <c r="A809" s="112">
        <v>806</v>
      </c>
      <c r="B809" s="113">
        <v>42795</v>
      </c>
      <c r="C809" s="114">
        <v>53.82</v>
      </c>
      <c r="D809" s="115">
        <f t="shared" si="124"/>
        <v>53.432500000000005</v>
      </c>
      <c r="E809" s="115">
        <f t="shared" si="120"/>
        <v>0.38749999999999574</v>
      </c>
      <c r="F809" s="115">
        <f t="shared" si="121"/>
        <v>0.38749999999999574</v>
      </c>
      <c r="G809" s="115">
        <f t="shared" si="122"/>
        <v>0.15015624999999669</v>
      </c>
      <c r="H809" s="115">
        <f t="shared" si="123"/>
        <v>7.1999256781864682E-3</v>
      </c>
      <c r="I809" s="116">
        <f t="shared" si="116"/>
        <v>52.859400000000008</v>
      </c>
      <c r="J809" s="116">
        <f t="shared" si="117"/>
        <v>0.96059999999999235</v>
      </c>
      <c r="K809" s="116">
        <f t="shared" si="118"/>
        <v>0.96059999999999235</v>
      </c>
      <c r="L809" s="116">
        <f t="shared" si="119"/>
        <v>0.92275235999998528</v>
      </c>
      <c r="M809" s="117">
        <f t="shared" si="115"/>
        <v>1.7848383500557272E-2</v>
      </c>
    </row>
    <row r="810" spans="1:13">
      <c r="A810" s="112">
        <v>807</v>
      </c>
      <c r="B810" s="107">
        <v>42796</v>
      </c>
      <c r="C810" s="108">
        <v>52.63</v>
      </c>
      <c r="D810" s="115">
        <f t="shared" si="124"/>
        <v>53.48599999999999</v>
      </c>
      <c r="E810" s="115">
        <f t="shared" si="120"/>
        <v>-0.85599999999998744</v>
      </c>
      <c r="F810" s="115">
        <f t="shared" si="121"/>
        <v>0.85599999999998744</v>
      </c>
      <c r="G810" s="115">
        <f t="shared" si="122"/>
        <v>0.73273599999997852</v>
      </c>
      <c r="H810" s="115">
        <f t="shared" si="123"/>
        <v>1.6264487934637799E-2</v>
      </c>
      <c r="I810" s="116">
        <f t="shared" si="116"/>
        <v>52.9178</v>
      </c>
      <c r="J810" s="116">
        <f t="shared" si="117"/>
        <v>-0.28779999999999717</v>
      </c>
      <c r="K810" s="116">
        <f t="shared" si="118"/>
        <v>0.28779999999999717</v>
      </c>
      <c r="L810" s="116">
        <f t="shared" si="119"/>
        <v>8.2828839999998377E-2</v>
      </c>
      <c r="M810" s="117">
        <f t="shared" si="115"/>
        <v>-5.4683640509214735E-3</v>
      </c>
    </row>
    <row r="811" spans="1:13">
      <c r="A811" s="112">
        <v>808</v>
      </c>
      <c r="B811" s="113">
        <v>42797</v>
      </c>
      <c r="C811" s="114">
        <v>53.33</v>
      </c>
      <c r="D811" s="115">
        <f t="shared" si="124"/>
        <v>53.422499999999999</v>
      </c>
      <c r="E811" s="115">
        <f t="shared" si="120"/>
        <v>-9.2500000000001137E-2</v>
      </c>
      <c r="F811" s="115">
        <f t="shared" si="121"/>
        <v>9.2500000000001137E-2</v>
      </c>
      <c r="G811" s="115">
        <f t="shared" si="122"/>
        <v>8.5562500000002095E-3</v>
      </c>
      <c r="H811" s="115">
        <f t="shared" si="123"/>
        <v>1.7344834052128472E-3</v>
      </c>
      <c r="I811" s="116">
        <f t="shared" si="116"/>
        <v>52.931800000000003</v>
      </c>
      <c r="J811" s="116">
        <f t="shared" si="117"/>
        <v>0.39819999999999567</v>
      </c>
      <c r="K811" s="116">
        <f t="shared" si="118"/>
        <v>0.39819999999999567</v>
      </c>
      <c r="L811" s="116">
        <f t="shared" si="119"/>
        <v>0.15856323999999655</v>
      </c>
      <c r="M811" s="117">
        <f t="shared" si="115"/>
        <v>7.466716669791781E-3</v>
      </c>
    </row>
    <row r="812" spans="1:13">
      <c r="A812" s="112">
        <v>809</v>
      </c>
      <c r="B812" s="107">
        <v>42800</v>
      </c>
      <c r="C812" s="108">
        <v>53.19</v>
      </c>
      <c r="D812" s="115">
        <f t="shared" si="124"/>
        <v>53.411500000000004</v>
      </c>
      <c r="E812" s="115">
        <f t="shared" si="120"/>
        <v>-0.22150000000000603</v>
      </c>
      <c r="F812" s="115">
        <f t="shared" si="121"/>
        <v>0.22150000000000603</v>
      </c>
      <c r="G812" s="115">
        <f t="shared" si="122"/>
        <v>4.9062250000002666E-2</v>
      </c>
      <c r="H812" s="115">
        <f t="shared" si="123"/>
        <v>4.164316600864938E-3</v>
      </c>
      <c r="I812" s="116">
        <f t="shared" si="116"/>
        <v>52.955800000000011</v>
      </c>
      <c r="J812" s="116">
        <f t="shared" si="117"/>
        <v>0.23419999999998709</v>
      </c>
      <c r="K812" s="116">
        <f t="shared" si="118"/>
        <v>0.23419999999998709</v>
      </c>
      <c r="L812" s="116">
        <f t="shared" si="119"/>
        <v>5.4849639999993947E-2</v>
      </c>
      <c r="M812" s="117">
        <f t="shared" si="115"/>
        <v>4.4030832863317746E-3</v>
      </c>
    </row>
    <row r="813" spans="1:13">
      <c r="A813" s="112">
        <v>810</v>
      </c>
      <c r="B813" s="113">
        <v>42801</v>
      </c>
      <c r="C813" s="114">
        <v>52.68</v>
      </c>
      <c r="D813" s="115">
        <f t="shared" si="124"/>
        <v>53.380499999999998</v>
      </c>
      <c r="E813" s="115">
        <f t="shared" si="120"/>
        <v>-0.70049999999999812</v>
      </c>
      <c r="F813" s="115">
        <f t="shared" si="121"/>
        <v>0.70049999999999812</v>
      </c>
      <c r="G813" s="115">
        <f t="shared" si="122"/>
        <v>0.4907002499999974</v>
      </c>
      <c r="H813" s="115">
        <f t="shared" si="123"/>
        <v>1.3297266514806342E-2</v>
      </c>
      <c r="I813" s="116">
        <f t="shared" si="116"/>
        <v>52.975200000000001</v>
      </c>
      <c r="J813" s="116">
        <f t="shared" si="117"/>
        <v>-0.29520000000000124</v>
      </c>
      <c r="K813" s="116">
        <f t="shared" si="118"/>
        <v>0.29520000000000124</v>
      </c>
      <c r="L813" s="116">
        <f t="shared" si="119"/>
        <v>8.7143040000000727E-2</v>
      </c>
      <c r="M813" s="117">
        <f t="shared" si="115"/>
        <v>-5.6036446469248527E-3</v>
      </c>
    </row>
    <row r="814" spans="1:13">
      <c r="A814" s="112">
        <v>811</v>
      </c>
      <c r="B814" s="107">
        <v>42802</v>
      </c>
      <c r="C814" s="108">
        <v>49.83</v>
      </c>
      <c r="D814" s="115">
        <f t="shared" si="124"/>
        <v>53.364000000000011</v>
      </c>
      <c r="E814" s="115">
        <f t="shared" si="120"/>
        <v>-3.5340000000000131</v>
      </c>
      <c r="F814" s="115">
        <f t="shared" si="121"/>
        <v>3.5340000000000131</v>
      </c>
      <c r="G814" s="115">
        <f t="shared" si="122"/>
        <v>12.489156000000094</v>
      </c>
      <c r="H814" s="115">
        <f t="shared" si="123"/>
        <v>7.0921131848284427E-2</v>
      </c>
      <c r="I814" s="116">
        <f t="shared" si="116"/>
        <v>53.000000000000007</v>
      </c>
      <c r="J814" s="116">
        <f t="shared" si="117"/>
        <v>-3.1700000000000088</v>
      </c>
      <c r="K814" s="116">
        <f t="shared" si="118"/>
        <v>3.1700000000000088</v>
      </c>
      <c r="L814" s="116">
        <f t="shared" si="119"/>
        <v>10.048900000000057</v>
      </c>
      <c r="M814" s="117">
        <f t="shared" si="115"/>
        <v>-6.3616295404375051E-2</v>
      </c>
    </row>
    <row r="815" spans="1:13">
      <c r="A815" s="112">
        <v>812</v>
      </c>
      <c r="B815" s="113">
        <v>42803</v>
      </c>
      <c r="C815" s="114">
        <v>48.75</v>
      </c>
      <c r="D815" s="115">
        <f t="shared" si="124"/>
        <v>53.246000000000002</v>
      </c>
      <c r="E815" s="115">
        <f t="shared" si="120"/>
        <v>-4.4960000000000022</v>
      </c>
      <c r="F815" s="115">
        <f t="shared" si="121"/>
        <v>4.4960000000000022</v>
      </c>
      <c r="G815" s="115">
        <f t="shared" si="122"/>
        <v>20.214016000000019</v>
      </c>
      <c r="H815" s="115">
        <f t="shared" si="123"/>
        <v>9.222564102564107E-2</v>
      </c>
      <c r="I815" s="116">
        <f t="shared" si="116"/>
        <v>52.957000000000008</v>
      </c>
      <c r="J815" s="116">
        <f t="shared" si="117"/>
        <v>-4.2070000000000078</v>
      </c>
      <c r="K815" s="116">
        <f t="shared" si="118"/>
        <v>4.2070000000000078</v>
      </c>
      <c r="L815" s="116">
        <f t="shared" si="119"/>
        <v>17.698849000000067</v>
      </c>
      <c r="M815" s="117">
        <f t="shared" si="115"/>
        <v>-8.6297435897436062E-2</v>
      </c>
    </row>
    <row r="816" spans="1:13">
      <c r="A816" s="112">
        <v>813</v>
      </c>
      <c r="B816" s="107">
        <v>42804</v>
      </c>
      <c r="C816" s="108">
        <v>48.05</v>
      </c>
      <c r="D816" s="115">
        <f t="shared" si="124"/>
        <v>53.064999999999998</v>
      </c>
      <c r="E816" s="115">
        <f t="shared" si="120"/>
        <v>-5.0150000000000006</v>
      </c>
      <c r="F816" s="115">
        <f t="shared" si="121"/>
        <v>5.0150000000000006</v>
      </c>
      <c r="G816" s="115">
        <f t="shared" si="122"/>
        <v>25.150225000000006</v>
      </c>
      <c r="H816" s="115">
        <f t="shared" si="123"/>
        <v>0.10437044745057233</v>
      </c>
      <c r="I816" s="116">
        <f t="shared" si="116"/>
        <v>52.891800000000003</v>
      </c>
      <c r="J816" s="116">
        <f t="shared" si="117"/>
        <v>-4.8418000000000063</v>
      </c>
      <c r="K816" s="116">
        <f t="shared" si="118"/>
        <v>4.8418000000000063</v>
      </c>
      <c r="L816" s="116">
        <f t="shared" si="119"/>
        <v>23.44302724000006</v>
      </c>
      <c r="M816" s="117">
        <f t="shared" si="115"/>
        <v>-0.10076586888657663</v>
      </c>
    </row>
    <row r="817" spans="1:13">
      <c r="A817" s="112">
        <v>814</v>
      </c>
      <c r="B817" s="113">
        <v>42807</v>
      </c>
      <c r="C817" s="114">
        <v>47.95</v>
      </c>
      <c r="D817" s="115">
        <f t="shared" si="124"/>
        <v>52.817999999999998</v>
      </c>
      <c r="E817" s="115">
        <f t="shared" si="120"/>
        <v>-4.867999999999995</v>
      </c>
      <c r="F817" s="115">
        <f t="shared" si="121"/>
        <v>4.867999999999995</v>
      </c>
      <c r="G817" s="115">
        <f t="shared" si="122"/>
        <v>23.697423999999952</v>
      </c>
      <c r="H817" s="115">
        <f t="shared" si="123"/>
        <v>0.10152241918665265</v>
      </c>
      <c r="I817" s="116">
        <f t="shared" si="116"/>
        <v>52.796399999999991</v>
      </c>
      <c r="J817" s="116">
        <f t="shared" si="117"/>
        <v>-4.8463999999999885</v>
      </c>
      <c r="K817" s="116">
        <f t="shared" si="118"/>
        <v>4.8463999999999885</v>
      </c>
      <c r="L817" s="116">
        <f t="shared" si="119"/>
        <v>23.487592959999887</v>
      </c>
      <c r="M817" s="117">
        <f t="shared" si="115"/>
        <v>-0.10107194994786212</v>
      </c>
    </row>
    <row r="818" spans="1:13">
      <c r="A818" s="112">
        <v>815</v>
      </c>
      <c r="B818" s="107">
        <v>42808</v>
      </c>
      <c r="C818" s="108">
        <v>47.24</v>
      </c>
      <c r="D818" s="115">
        <f t="shared" si="124"/>
        <v>52.523499999999999</v>
      </c>
      <c r="E818" s="115">
        <f t="shared" si="120"/>
        <v>-5.2834999999999965</v>
      </c>
      <c r="F818" s="115">
        <f t="shared" si="121"/>
        <v>5.2834999999999965</v>
      </c>
      <c r="G818" s="115">
        <f t="shared" si="122"/>
        <v>27.915372249999962</v>
      </c>
      <c r="H818" s="115">
        <f t="shared" si="123"/>
        <v>0.11184377646062652</v>
      </c>
      <c r="I818" s="116">
        <f t="shared" si="116"/>
        <v>52.675199999999997</v>
      </c>
      <c r="J818" s="116">
        <f t="shared" si="117"/>
        <v>-5.4351999999999947</v>
      </c>
      <c r="K818" s="116">
        <f t="shared" si="118"/>
        <v>5.4351999999999947</v>
      </c>
      <c r="L818" s="116">
        <f t="shared" si="119"/>
        <v>29.541399039999941</v>
      </c>
      <c r="M818" s="117">
        <f t="shared" si="115"/>
        <v>-0.11505503810330217</v>
      </c>
    </row>
    <row r="819" spans="1:13">
      <c r="A819" s="112">
        <v>816</v>
      </c>
      <c r="B819" s="113">
        <v>42809</v>
      </c>
      <c r="C819" s="114">
        <v>48.34</v>
      </c>
      <c r="D819" s="115">
        <f t="shared" si="124"/>
        <v>52.237499999999997</v>
      </c>
      <c r="E819" s="115">
        <f t="shared" si="120"/>
        <v>-3.8974999999999937</v>
      </c>
      <c r="F819" s="115">
        <f t="shared" si="121"/>
        <v>3.8974999999999937</v>
      </c>
      <c r="G819" s="115">
        <f t="shared" si="122"/>
        <v>15.190506249999951</v>
      </c>
      <c r="H819" s="115">
        <f t="shared" si="123"/>
        <v>8.0626810095159152E-2</v>
      </c>
      <c r="I819" s="116">
        <f t="shared" si="116"/>
        <v>52.543999999999997</v>
      </c>
      <c r="J819" s="116">
        <f t="shared" si="117"/>
        <v>-4.2039999999999935</v>
      </c>
      <c r="K819" s="116">
        <f t="shared" si="118"/>
        <v>4.2039999999999935</v>
      </c>
      <c r="L819" s="116">
        <f t="shared" si="119"/>
        <v>17.673615999999946</v>
      </c>
      <c r="M819" s="117">
        <f t="shared" si="115"/>
        <v>-8.6967314853123562E-2</v>
      </c>
    </row>
    <row r="820" spans="1:13">
      <c r="A820" s="112">
        <v>817</v>
      </c>
      <c r="B820" s="107">
        <v>42810</v>
      </c>
      <c r="C820" s="108">
        <v>48.3</v>
      </c>
      <c r="D820" s="115">
        <f t="shared" si="124"/>
        <v>51.994000000000007</v>
      </c>
      <c r="E820" s="115">
        <f t="shared" si="120"/>
        <v>-3.6940000000000097</v>
      </c>
      <c r="F820" s="115">
        <f t="shared" si="121"/>
        <v>3.6940000000000097</v>
      </c>
      <c r="G820" s="115">
        <f t="shared" si="122"/>
        <v>13.645636000000072</v>
      </c>
      <c r="H820" s="115">
        <f t="shared" si="123"/>
        <v>7.6480331262940168E-2</v>
      </c>
      <c r="I820" s="116">
        <f t="shared" si="116"/>
        <v>52.435799999999993</v>
      </c>
      <c r="J820" s="116">
        <f t="shared" si="117"/>
        <v>-4.1357999999999961</v>
      </c>
      <c r="K820" s="116">
        <f t="shared" si="118"/>
        <v>4.1357999999999961</v>
      </c>
      <c r="L820" s="116">
        <f t="shared" si="119"/>
        <v>17.104841639999968</v>
      </c>
      <c r="M820" s="117">
        <f t="shared" si="115"/>
        <v>-8.5627329192546509E-2</v>
      </c>
    </row>
    <row r="821" spans="1:13">
      <c r="A821" s="112">
        <v>818</v>
      </c>
      <c r="B821" s="113">
        <v>42811</v>
      </c>
      <c r="C821" s="114">
        <v>48.34</v>
      </c>
      <c r="D821" s="115">
        <f t="shared" si="124"/>
        <v>51.75350000000001</v>
      </c>
      <c r="E821" s="115">
        <f t="shared" si="120"/>
        <v>-3.4135000000000062</v>
      </c>
      <c r="F821" s="115">
        <f t="shared" si="121"/>
        <v>3.4135000000000062</v>
      </c>
      <c r="G821" s="115">
        <f t="shared" si="122"/>
        <v>11.651982250000042</v>
      </c>
      <c r="H821" s="115">
        <f t="shared" si="123"/>
        <v>7.0614398014067145E-2</v>
      </c>
      <c r="I821" s="116">
        <f t="shared" si="116"/>
        <v>52.354599999999991</v>
      </c>
      <c r="J821" s="116">
        <f t="shared" si="117"/>
        <v>-4.0145999999999873</v>
      </c>
      <c r="K821" s="116">
        <f t="shared" si="118"/>
        <v>4.0145999999999873</v>
      </c>
      <c r="L821" s="116">
        <f t="shared" si="119"/>
        <v>16.1170131599999</v>
      </c>
      <c r="M821" s="117">
        <f t="shared" si="115"/>
        <v>-8.3049234588332368E-2</v>
      </c>
    </row>
    <row r="822" spans="1:13">
      <c r="A822" s="112">
        <v>819</v>
      </c>
      <c r="B822" s="107">
        <v>42814</v>
      </c>
      <c r="C822" s="108">
        <v>47.79</v>
      </c>
      <c r="D822" s="115">
        <f t="shared" si="124"/>
        <v>51.5</v>
      </c>
      <c r="E822" s="115">
        <f t="shared" si="120"/>
        <v>-3.7100000000000009</v>
      </c>
      <c r="F822" s="115">
        <f t="shared" si="121"/>
        <v>3.7100000000000009</v>
      </c>
      <c r="G822" s="115">
        <f t="shared" si="122"/>
        <v>13.764100000000006</v>
      </c>
      <c r="H822" s="115">
        <f t="shared" si="123"/>
        <v>7.7631303620004199E-2</v>
      </c>
      <c r="I822" s="116">
        <f t="shared" si="116"/>
        <v>52.256199999999993</v>
      </c>
      <c r="J822" s="116">
        <f t="shared" si="117"/>
        <v>-4.4661999999999935</v>
      </c>
      <c r="K822" s="116">
        <f t="shared" si="118"/>
        <v>4.4661999999999935</v>
      </c>
      <c r="L822" s="116">
        <f t="shared" si="119"/>
        <v>19.94694243999994</v>
      </c>
      <c r="M822" s="117">
        <f t="shared" si="115"/>
        <v>-9.3454697635488457E-2</v>
      </c>
    </row>
    <row r="823" spans="1:13">
      <c r="A823" s="112">
        <v>820</v>
      </c>
      <c r="B823" s="113">
        <v>42815</v>
      </c>
      <c r="C823" s="114">
        <v>47.02</v>
      </c>
      <c r="D823" s="115">
        <f t="shared" si="124"/>
        <v>51.218999999999994</v>
      </c>
      <c r="E823" s="115">
        <f t="shared" si="120"/>
        <v>-4.198999999999991</v>
      </c>
      <c r="F823" s="115">
        <f t="shared" si="121"/>
        <v>4.198999999999991</v>
      </c>
      <c r="G823" s="115">
        <f t="shared" si="122"/>
        <v>17.631600999999925</v>
      </c>
      <c r="H823" s="115">
        <f t="shared" si="123"/>
        <v>8.9302424500212474E-2</v>
      </c>
      <c r="I823" s="116">
        <f t="shared" si="116"/>
        <v>52.136600000000001</v>
      </c>
      <c r="J823" s="116">
        <f t="shared" si="117"/>
        <v>-5.1165999999999983</v>
      </c>
      <c r="K823" s="116">
        <f t="shared" si="118"/>
        <v>5.1165999999999983</v>
      </c>
      <c r="L823" s="116">
        <f t="shared" si="119"/>
        <v>26.179595559999981</v>
      </c>
      <c r="M823" s="117">
        <f t="shared" ref="M823:M886" si="125">J823/C823</f>
        <v>-0.10881752445767753</v>
      </c>
    </row>
    <row r="824" spans="1:13">
      <c r="A824" s="112">
        <v>821</v>
      </c>
      <c r="B824" s="107">
        <v>42816</v>
      </c>
      <c r="C824" s="108">
        <v>47.29</v>
      </c>
      <c r="D824" s="115">
        <f t="shared" si="124"/>
        <v>50.869</v>
      </c>
      <c r="E824" s="115">
        <f t="shared" si="120"/>
        <v>-3.5790000000000006</v>
      </c>
      <c r="F824" s="115">
        <f t="shared" si="121"/>
        <v>3.5790000000000006</v>
      </c>
      <c r="G824" s="115">
        <f t="shared" si="122"/>
        <v>12.809241000000004</v>
      </c>
      <c r="H824" s="115">
        <f t="shared" si="123"/>
        <v>7.5681962359906971E-2</v>
      </c>
      <c r="I824" s="116">
        <f t="shared" ref="I824:I887" si="126">AVERAGE(C774:C823)</f>
        <v>51.997399999999992</v>
      </c>
      <c r="J824" s="116">
        <f t="shared" ref="J824:J887" si="127">C824-I824</f>
        <v>-4.7073999999999927</v>
      </c>
      <c r="K824" s="116">
        <f t="shared" ref="K824:K887" si="128">ABS(J824)</f>
        <v>4.7073999999999927</v>
      </c>
      <c r="L824" s="116">
        <f t="shared" ref="L824:L887" si="129">J824^2</f>
        <v>22.159614759999933</v>
      </c>
      <c r="M824" s="117">
        <f t="shared" si="125"/>
        <v>-9.9543243814759833E-2</v>
      </c>
    </row>
    <row r="825" spans="1:13">
      <c r="A825" s="112">
        <v>822</v>
      </c>
      <c r="B825" s="113">
        <v>42817</v>
      </c>
      <c r="C825" s="114">
        <v>47</v>
      </c>
      <c r="D825" s="115">
        <f t="shared" si="124"/>
        <v>50.552999999999997</v>
      </c>
      <c r="E825" s="115">
        <f t="shared" si="120"/>
        <v>-3.5529999999999973</v>
      </c>
      <c r="F825" s="115">
        <f t="shared" si="121"/>
        <v>3.5529999999999973</v>
      </c>
      <c r="G825" s="115">
        <f t="shared" si="122"/>
        <v>12.62380899999998</v>
      </c>
      <c r="H825" s="115">
        <f t="shared" si="123"/>
        <v>7.5595744680851007E-2</v>
      </c>
      <c r="I825" s="116">
        <f t="shared" si="126"/>
        <v>51.904199999999989</v>
      </c>
      <c r="J825" s="116">
        <f t="shared" si="127"/>
        <v>-4.9041999999999888</v>
      </c>
      <c r="K825" s="116">
        <f t="shared" si="128"/>
        <v>4.9041999999999888</v>
      </c>
      <c r="L825" s="116">
        <f t="shared" si="129"/>
        <v>24.051177639999889</v>
      </c>
      <c r="M825" s="117">
        <f t="shared" si="125"/>
        <v>-0.10434468085106359</v>
      </c>
    </row>
    <row r="826" spans="1:13">
      <c r="A826" s="112">
        <v>823</v>
      </c>
      <c r="B826" s="107">
        <v>42818</v>
      </c>
      <c r="C826" s="108">
        <v>47.3</v>
      </c>
      <c r="D826" s="115">
        <f t="shared" si="124"/>
        <v>50.178999999999995</v>
      </c>
      <c r="E826" s="115">
        <f t="shared" si="120"/>
        <v>-2.8789999999999978</v>
      </c>
      <c r="F826" s="115">
        <f t="shared" si="121"/>
        <v>2.8789999999999978</v>
      </c>
      <c r="G826" s="115">
        <f t="shared" si="122"/>
        <v>8.2886409999999877</v>
      </c>
      <c r="H826" s="115">
        <f t="shared" si="123"/>
        <v>6.0866807610993612E-2</v>
      </c>
      <c r="I826" s="116">
        <f t="shared" si="126"/>
        <v>51.827799999999996</v>
      </c>
      <c r="J826" s="116">
        <f t="shared" si="127"/>
        <v>-4.5277999999999992</v>
      </c>
      <c r="K826" s="116">
        <f t="shared" si="128"/>
        <v>4.5277999999999992</v>
      </c>
      <c r="L826" s="116">
        <f t="shared" si="129"/>
        <v>20.500972839999992</v>
      </c>
      <c r="M826" s="117">
        <f t="shared" si="125"/>
        <v>-9.5725158562367851E-2</v>
      </c>
    </row>
    <row r="827" spans="1:13">
      <c r="A827" s="112">
        <v>824</v>
      </c>
      <c r="B827" s="113">
        <v>42821</v>
      </c>
      <c r="C827" s="114">
        <v>47.02</v>
      </c>
      <c r="D827" s="115">
        <f t="shared" si="124"/>
        <v>49.844499999999996</v>
      </c>
      <c r="E827" s="115">
        <f t="shared" si="120"/>
        <v>-2.8244999999999933</v>
      </c>
      <c r="F827" s="115">
        <f t="shared" si="121"/>
        <v>2.8244999999999933</v>
      </c>
      <c r="G827" s="115">
        <f t="shared" si="122"/>
        <v>7.9778002499999623</v>
      </c>
      <c r="H827" s="115">
        <f t="shared" si="123"/>
        <v>6.0070182900893089E-2</v>
      </c>
      <c r="I827" s="116">
        <f t="shared" si="126"/>
        <v>51.73</v>
      </c>
      <c r="J827" s="116">
        <f t="shared" si="127"/>
        <v>-4.7099999999999937</v>
      </c>
      <c r="K827" s="116">
        <f t="shared" si="128"/>
        <v>4.7099999999999937</v>
      </c>
      <c r="L827" s="116">
        <f t="shared" si="129"/>
        <v>22.18409999999994</v>
      </c>
      <c r="M827" s="117">
        <f t="shared" si="125"/>
        <v>-0.10017014036580164</v>
      </c>
    </row>
    <row r="828" spans="1:13">
      <c r="A828" s="112">
        <v>825</v>
      </c>
      <c r="B828" s="107">
        <v>42822</v>
      </c>
      <c r="C828" s="108">
        <v>48.36</v>
      </c>
      <c r="D828" s="115">
        <f t="shared" si="124"/>
        <v>49.493499999999997</v>
      </c>
      <c r="E828" s="115">
        <f t="shared" si="120"/>
        <v>-1.133499999999998</v>
      </c>
      <c r="F828" s="115">
        <f t="shared" si="121"/>
        <v>1.133499999999998</v>
      </c>
      <c r="G828" s="115">
        <f t="shared" si="122"/>
        <v>1.2848222499999953</v>
      </c>
      <c r="H828" s="115">
        <f t="shared" si="123"/>
        <v>2.3438792390405253E-2</v>
      </c>
      <c r="I828" s="116">
        <f t="shared" si="126"/>
        <v>51.610200000000006</v>
      </c>
      <c r="J828" s="116">
        <f t="shared" si="127"/>
        <v>-3.2502000000000066</v>
      </c>
      <c r="K828" s="116">
        <f t="shared" si="128"/>
        <v>3.2502000000000066</v>
      </c>
      <c r="L828" s="116">
        <f t="shared" si="129"/>
        <v>10.563800040000043</v>
      </c>
      <c r="M828" s="117">
        <f t="shared" si="125"/>
        <v>-6.720843672456589E-2</v>
      </c>
    </row>
    <row r="829" spans="1:13">
      <c r="A829" s="112">
        <v>826</v>
      </c>
      <c r="B829" s="113">
        <v>42823</v>
      </c>
      <c r="C829" s="114">
        <v>49.47</v>
      </c>
      <c r="D829" s="115">
        <f t="shared" si="124"/>
        <v>49.211499999999987</v>
      </c>
      <c r="E829" s="115">
        <f t="shared" si="120"/>
        <v>0.25850000000001216</v>
      </c>
      <c r="F829" s="115">
        <f t="shared" si="121"/>
        <v>0.25850000000001216</v>
      </c>
      <c r="G829" s="115">
        <f t="shared" si="122"/>
        <v>6.6822250000006286E-2</v>
      </c>
      <c r="H829" s="115">
        <f t="shared" si="123"/>
        <v>5.2253891247222998E-3</v>
      </c>
      <c r="I829" s="116">
        <f t="shared" si="126"/>
        <v>51.530200000000008</v>
      </c>
      <c r="J829" s="116">
        <f t="shared" si="127"/>
        <v>-2.0602000000000089</v>
      </c>
      <c r="K829" s="116">
        <f t="shared" si="128"/>
        <v>2.0602000000000089</v>
      </c>
      <c r="L829" s="116">
        <f t="shared" si="129"/>
        <v>4.2444240400000366</v>
      </c>
      <c r="M829" s="117">
        <f t="shared" si="125"/>
        <v>-4.1645441681827551E-2</v>
      </c>
    </row>
    <row r="830" spans="1:13">
      <c r="A830" s="112">
        <v>827</v>
      </c>
      <c r="B830" s="107">
        <v>42824</v>
      </c>
      <c r="C830" s="108">
        <v>50.3</v>
      </c>
      <c r="D830" s="115">
        <f t="shared" si="124"/>
        <v>48.993999999999993</v>
      </c>
      <c r="E830" s="115">
        <f t="shared" si="120"/>
        <v>1.3060000000000045</v>
      </c>
      <c r="F830" s="115">
        <f t="shared" si="121"/>
        <v>1.3060000000000045</v>
      </c>
      <c r="G830" s="115">
        <f t="shared" si="122"/>
        <v>1.7056360000000117</v>
      </c>
      <c r="H830" s="115">
        <f t="shared" si="123"/>
        <v>2.5964214711729713E-2</v>
      </c>
      <c r="I830" s="116">
        <f t="shared" si="126"/>
        <v>51.470600000000012</v>
      </c>
      <c r="J830" s="116">
        <f t="shared" si="127"/>
        <v>-1.1706000000000145</v>
      </c>
      <c r="K830" s="116">
        <f t="shared" si="128"/>
        <v>1.1706000000000145</v>
      </c>
      <c r="L830" s="116">
        <f t="shared" si="129"/>
        <v>1.370304360000034</v>
      </c>
      <c r="M830" s="117">
        <f t="shared" si="125"/>
        <v>-2.3272365805169275E-2</v>
      </c>
    </row>
    <row r="831" spans="1:13">
      <c r="A831" s="112">
        <v>828</v>
      </c>
      <c r="B831" s="113">
        <v>42825</v>
      </c>
      <c r="C831" s="114">
        <v>50.54</v>
      </c>
      <c r="D831" s="115">
        <f t="shared" si="124"/>
        <v>48.877499999999991</v>
      </c>
      <c r="E831" s="115">
        <f t="shared" si="120"/>
        <v>1.6625000000000085</v>
      </c>
      <c r="F831" s="115">
        <f t="shared" si="121"/>
        <v>1.6625000000000085</v>
      </c>
      <c r="G831" s="115">
        <f t="shared" si="122"/>
        <v>2.7639062500000282</v>
      </c>
      <c r="H831" s="115">
        <f t="shared" si="123"/>
        <v>3.2894736842105435E-2</v>
      </c>
      <c r="I831" s="116">
        <f t="shared" si="126"/>
        <v>51.454200000000007</v>
      </c>
      <c r="J831" s="116">
        <f t="shared" si="127"/>
        <v>-0.91420000000000812</v>
      </c>
      <c r="K831" s="116">
        <f t="shared" si="128"/>
        <v>0.91420000000000812</v>
      </c>
      <c r="L831" s="116">
        <f t="shared" si="129"/>
        <v>0.83576164000001485</v>
      </c>
      <c r="M831" s="117">
        <f t="shared" si="125"/>
        <v>-1.8088642659279938E-2</v>
      </c>
    </row>
    <row r="832" spans="1:13">
      <c r="A832" s="112">
        <v>829</v>
      </c>
      <c r="B832" s="107">
        <v>42828</v>
      </c>
      <c r="C832" s="108">
        <v>50.25</v>
      </c>
      <c r="D832" s="115">
        <f t="shared" si="124"/>
        <v>48.737999999999985</v>
      </c>
      <c r="E832" s="115">
        <f t="shared" si="120"/>
        <v>1.5120000000000147</v>
      </c>
      <c r="F832" s="115">
        <f t="shared" si="121"/>
        <v>1.5120000000000147</v>
      </c>
      <c r="G832" s="115">
        <f t="shared" si="122"/>
        <v>2.2861440000000441</v>
      </c>
      <c r="H832" s="115">
        <f t="shared" si="123"/>
        <v>3.0089552238806262E-2</v>
      </c>
      <c r="I832" s="116">
        <f t="shared" si="126"/>
        <v>51.437200000000004</v>
      </c>
      <c r="J832" s="116">
        <f t="shared" si="127"/>
        <v>-1.1872000000000043</v>
      </c>
      <c r="K832" s="116">
        <f t="shared" si="128"/>
        <v>1.1872000000000043</v>
      </c>
      <c r="L832" s="116">
        <f t="shared" si="129"/>
        <v>1.40944384000001</v>
      </c>
      <c r="M832" s="117">
        <f t="shared" si="125"/>
        <v>-2.3625870646766255E-2</v>
      </c>
    </row>
    <row r="833" spans="1:13">
      <c r="A833" s="112">
        <v>830</v>
      </c>
      <c r="B833" s="113">
        <v>42829</v>
      </c>
      <c r="C833" s="114">
        <v>50.99</v>
      </c>
      <c r="D833" s="115">
        <f t="shared" si="124"/>
        <v>48.590999999999994</v>
      </c>
      <c r="E833" s="115">
        <f t="shared" si="120"/>
        <v>2.399000000000008</v>
      </c>
      <c r="F833" s="115">
        <f t="shared" si="121"/>
        <v>2.399000000000008</v>
      </c>
      <c r="G833" s="115">
        <f t="shared" si="122"/>
        <v>5.7552010000000386</v>
      </c>
      <c r="H833" s="115">
        <f t="shared" si="123"/>
        <v>4.7048440870759128E-2</v>
      </c>
      <c r="I833" s="116">
        <f t="shared" si="126"/>
        <v>51.395600000000002</v>
      </c>
      <c r="J833" s="116">
        <f t="shared" si="127"/>
        <v>-0.40559999999999974</v>
      </c>
      <c r="K833" s="116">
        <f t="shared" si="128"/>
        <v>0.40559999999999974</v>
      </c>
      <c r="L833" s="116">
        <f t="shared" si="129"/>
        <v>0.1645113599999998</v>
      </c>
      <c r="M833" s="117">
        <f t="shared" si="125"/>
        <v>-7.9545008825259809E-3</v>
      </c>
    </row>
    <row r="834" spans="1:13">
      <c r="A834" s="112">
        <v>831</v>
      </c>
      <c r="B834" s="107">
        <v>42830</v>
      </c>
      <c r="C834" s="108">
        <v>51.14</v>
      </c>
      <c r="D834" s="115">
        <f t="shared" si="124"/>
        <v>48.506499999999996</v>
      </c>
      <c r="E834" s="115">
        <f t="shared" si="120"/>
        <v>2.6335000000000051</v>
      </c>
      <c r="F834" s="115">
        <f t="shared" si="121"/>
        <v>2.6335000000000051</v>
      </c>
      <c r="G834" s="115">
        <f t="shared" si="122"/>
        <v>6.9353222500000262</v>
      </c>
      <c r="H834" s="115">
        <f t="shared" si="123"/>
        <v>5.14958936253423E-2</v>
      </c>
      <c r="I834" s="116">
        <f t="shared" si="126"/>
        <v>51.36</v>
      </c>
      <c r="J834" s="116">
        <f t="shared" si="127"/>
        <v>-0.21999999999999886</v>
      </c>
      <c r="K834" s="116">
        <f t="shared" si="128"/>
        <v>0.21999999999999886</v>
      </c>
      <c r="L834" s="116">
        <f t="shared" si="129"/>
        <v>4.8399999999999499E-2</v>
      </c>
      <c r="M834" s="117">
        <f t="shared" si="125"/>
        <v>-4.3019163081736188E-3</v>
      </c>
    </row>
    <row r="835" spans="1:13">
      <c r="A835" s="112">
        <v>832</v>
      </c>
      <c r="B835" s="113">
        <v>42831</v>
      </c>
      <c r="C835" s="114">
        <v>51.69</v>
      </c>
      <c r="D835" s="115">
        <f t="shared" si="124"/>
        <v>48.571999999999996</v>
      </c>
      <c r="E835" s="115">
        <f t="shared" si="120"/>
        <v>3.1180000000000021</v>
      </c>
      <c r="F835" s="115">
        <f t="shared" si="121"/>
        <v>3.1180000000000021</v>
      </c>
      <c r="G835" s="115">
        <f t="shared" si="122"/>
        <v>9.7219240000000138</v>
      </c>
      <c r="H835" s="115">
        <f t="shared" si="123"/>
        <v>6.0321145289224262E-2</v>
      </c>
      <c r="I835" s="116">
        <f t="shared" si="126"/>
        <v>51.335199999999993</v>
      </c>
      <c r="J835" s="116">
        <f t="shared" si="127"/>
        <v>0.35480000000000445</v>
      </c>
      <c r="K835" s="116">
        <f t="shared" si="128"/>
        <v>0.35480000000000445</v>
      </c>
      <c r="L835" s="116">
        <f t="shared" si="129"/>
        <v>0.12588304000000317</v>
      </c>
      <c r="M835" s="117">
        <f t="shared" si="125"/>
        <v>6.8639969046238045E-3</v>
      </c>
    </row>
    <row r="836" spans="1:13">
      <c r="A836" s="112">
        <v>833</v>
      </c>
      <c r="B836" s="107">
        <v>42832</v>
      </c>
      <c r="C836" s="108">
        <v>52.25</v>
      </c>
      <c r="D836" s="115">
        <f t="shared" si="124"/>
        <v>48.718999999999994</v>
      </c>
      <c r="E836" s="115">
        <f t="shared" si="120"/>
        <v>3.5310000000000059</v>
      </c>
      <c r="F836" s="115">
        <f t="shared" si="121"/>
        <v>3.5310000000000059</v>
      </c>
      <c r="G836" s="115">
        <f t="shared" si="122"/>
        <v>12.467961000000042</v>
      </c>
      <c r="H836" s="115">
        <f t="shared" si="123"/>
        <v>6.7578947368421169E-2</v>
      </c>
      <c r="I836" s="116">
        <f t="shared" si="126"/>
        <v>51.3262</v>
      </c>
      <c r="J836" s="116">
        <f t="shared" si="127"/>
        <v>0.92379999999999995</v>
      </c>
      <c r="K836" s="116">
        <f t="shared" si="128"/>
        <v>0.92379999999999995</v>
      </c>
      <c r="L836" s="116">
        <f t="shared" si="129"/>
        <v>0.85340643999999988</v>
      </c>
      <c r="M836" s="117">
        <f t="shared" si="125"/>
        <v>1.7680382775119616E-2</v>
      </c>
    </row>
    <row r="837" spans="1:13">
      <c r="A837" s="112">
        <v>834</v>
      </c>
      <c r="B837" s="113">
        <v>42835</v>
      </c>
      <c r="C837" s="114">
        <v>53.06</v>
      </c>
      <c r="D837" s="115">
        <f t="shared" si="124"/>
        <v>48.928999999999995</v>
      </c>
      <c r="E837" s="115">
        <f t="shared" si="120"/>
        <v>4.1310000000000073</v>
      </c>
      <c r="F837" s="115">
        <f t="shared" si="121"/>
        <v>4.1310000000000073</v>
      </c>
      <c r="G837" s="115">
        <f t="shared" si="122"/>
        <v>17.06516100000006</v>
      </c>
      <c r="H837" s="115">
        <f t="shared" si="123"/>
        <v>7.7855258198266247E-2</v>
      </c>
      <c r="I837" s="116">
        <f t="shared" si="126"/>
        <v>51.306399999999996</v>
      </c>
      <c r="J837" s="116">
        <f t="shared" si="127"/>
        <v>1.7536000000000058</v>
      </c>
      <c r="K837" s="116">
        <f t="shared" si="128"/>
        <v>1.7536000000000058</v>
      </c>
      <c r="L837" s="116">
        <f t="shared" si="129"/>
        <v>3.0751129600000202</v>
      </c>
      <c r="M837" s="117">
        <f t="shared" si="125"/>
        <v>3.3049378062570786E-2</v>
      </c>
    </row>
    <row r="838" spans="1:13">
      <c r="A838" s="112">
        <v>835</v>
      </c>
      <c r="B838" s="107">
        <v>42836</v>
      </c>
      <c r="C838" s="108">
        <v>53.38</v>
      </c>
      <c r="D838" s="115">
        <f t="shared" si="124"/>
        <v>49.184499999999993</v>
      </c>
      <c r="E838" s="115">
        <f t="shared" si="120"/>
        <v>4.1955000000000098</v>
      </c>
      <c r="F838" s="115">
        <f t="shared" si="121"/>
        <v>4.1955000000000098</v>
      </c>
      <c r="G838" s="115">
        <f t="shared" si="122"/>
        <v>17.602220250000084</v>
      </c>
      <c r="H838" s="115">
        <f t="shared" si="123"/>
        <v>7.8596852753840568E-2</v>
      </c>
      <c r="I838" s="116">
        <f t="shared" si="126"/>
        <v>51.303999999999988</v>
      </c>
      <c r="J838" s="116">
        <f t="shared" si="127"/>
        <v>2.0760000000000147</v>
      </c>
      <c r="K838" s="116">
        <f t="shared" si="128"/>
        <v>2.0760000000000147</v>
      </c>
      <c r="L838" s="116">
        <f t="shared" si="129"/>
        <v>4.3097760000000616</v>
      </c>
      <c r="M838" s="117">
        <f t="shared" si="125"/>
        <v>3.8890970400899484E-2</v>
      </c>
    </row>
    <row r="839" spans="1:13">
      <c r="A839" s="112">
        <v>836</v>
      </c>
      <c r="B839" s="113">
        <v>42837</v>
      </c>
      <c r="C839" s="114">
        <v>53.12</v>
      </c>
      <c r="D839" s="115">
        <f t="shared" si="124"/>
        <v>49.491499999999988</v>
      </c>
      <c r="E839" s="115">
        <f t="shared" si="120"/>
        <v>3.6285000000000096</v>
      </c>
      <c r="F839" s="115">
        <f t="shared" si="121"/>
        <v>3.6285000000000096</v>
      </c>
      <c r="G839" s="115">
        <f t="shared" si="122"/>
        <v>13.166012250000069</v>
      </c>
      <c r="H839" s="115">
        <f t="shared" si="123"/>
        <v>6.8307605421686929E-2</v>
      </c>
      <c r="I839" s="116">
        <f t="shared" si="126"/>
        <v>51.318999999999988</v>
      </c>
      <c r="J839" s="116">
        <f t="shared" si="127"/>
        <v>1.801000000000009</v>
      </c>
      <c r="K839" s="116">
        <f t="shared" si="128"/>
        <v>1.801000000000009</v>
      </c>
      <c r="L839" s="116">
        <f t="shared" si="129"/>
        <v>3.2436010000000324</v>
      </c>
      <c r="M839" s="117">
        <f t="shared" si="125"/>
        <v>3.3904367469879688E-2</v>
      </c>
    </row>
    <row r="840" spans="1:13">
      <c r="A840" s="112">
        <v>837</v>
      </c>
      <c r="B840" s="107">
        <v>42838</v>
      </c>
      <c r="C840" s="108">
        <v>53.19</v>
      </c>
      <c r="D840" s="115">
        <f t="shared" si="124"/>
        <v>49.730499999999992</v>
      </c>
      <c r="E840" s="115">
        <f t="shared" si="120"/>
        <v>3.4595000000000056</v>
      </c>
      <c r="F840" s="115">
        <f t="shared" si="121"/>
        <v>3.4595000000000056</v>
      </c>
      <c r="G840" s="115">
        <f t="shared" si="122"/>
        <v>11.968140250000038</v>
      </c>
      <c r="H840" s="115">
        <f t="shared" si="123"/>
        <v>6.5040421131791801E-2</v>
      </c>
      <c r="I840" s="116">
        <f t="shared" si="126"/>
        <v>51.326399999999985</v>
      </c>
      <c r="J840" s="116">
        <f t="shared" si="127"/>
        <v>1.8636000000000124</v>
      </c>
      <c r="K840" s="116">
        <f t="shared" si="128"/>
        <v>1.8636000000000124</v>
      </c>
      <c r="L840" s="116">
        <f t="shared" si="129"/>
        <v>3.4730049600000461</v>
      </c>
      <c r="M840" s="117">
        <f t="shared" si="125"/>
        <v>3.5036661026508979E-2</v>
      </c>
    </row>
    <row r="841" spans="1:13">
      <c r="A841" s="112">
        <v>838</v>
      </c>
      <c r="B841" s="113">
        <v>42842</v>
      </c>
      <c r="C841" s="114">
        <v>52.62</v>
      </c>
      <c r="D841" s="115">
        <f t="shared" si="124"/>
        <v>49.975000000000001</v>
      </c>
      <c r="E841" s="115">
        <f t="shared" si="120"/>
        <v>2.644999999999996</v>
      </c>
      <c r="F841" s="115">
        <f t="shared" si="121"/>
        <v>2.644999999999996</v>
      </c>
      <c r="G841" s="115">
        <f t="shared" si="122"/>
        <v>6.9960249999999791</v>
      </c>
      <c r="H841" s="115">
        <f t="shared" si="123"/>
        <v>5.0266058532877161E-2</v>
      </c>
      <c r="I841" s="116">
        <f t="shared" si="126"/>
        <v>51.312199999999983</v>
      </c>
      <c r="J841" s="116">
        <f t="shared" si="127"/>
        <v>1.3078000000000145</v>
      </c>
      <c r="K841" s="116">
        <f t="shared" si="128"/>
        <v>1.3078000000000145</v>
      </c>
      <c r="L841" s="116">
        <f t="shared" si="129"/>
        <v>1.7103408400000379</v>
      </c>
      <c r="M841" s="117">
        <f t="shared" si="125"/>
        <v>2.4853667806917799E-2</v>
      </c>
    </row>
    <row r="842" spans="1:13">
      <c r="A842" s="112">
        <v>839</v>
      </c>
      <c r="B842" s="107">
        <v>42843</v>
      </c>
      <c r="C842" s="108">
        <v>52.46</v>
      </c>
      <c r="D842" s="115">
        <f t="shared" si="124"/>
        <v>50.189000000000007</v>
      </c>
      <c r="E842" s="115">
        <f t="shared" si="120"/>
        <v>2.2709999999999937</v>
      </c>
      <c r="F842" s="115">
        <f t="shared" si="121"/>
        <v>2.2709999999999937</v>
      </c>
      <c r="G842" s="115">
        <f t="shared" si="122"/>
        <v>5.1574409999999711</v>
      </c>
      <c r="H842" s="115">
        <f t="shared" si="123"/>
        <v>4.3290125810140939E-2</v>
      </c>
      <c r="I842" s="116">
        <f t="shared" si="126"/>
        <v>51.293599999999991</v>
      </c>
      <c r="J842" s="116">
        <f t="shared" si="127"/>
        <v>1.1664000000000101</v>
      </c>
      <c r="K842" s="116">
        <f t="shared" si="128"/>
        <v>1.1664000000000101</v>
      </c>
      <c r="L842" s="116">
        <f t="shared" si="129"/>
        <v>1.3604889600000236</v>
      </c>
      <c r="M842" s="117">
        <f t="shared" si="125"/>
        <v>2.2234083110941862E-2</v>
      </c>
    </row>
    <row r="843" spans="1:13">
      <c r="A843" s="112">
        <v>840</v>
      </c>
      <c r="B843" s="113">
        <v>42844</v>
      </c>
      <c r="C843" s="114">
        <v>50.49</v>
      </c>
      <c r="D843" s="115">
        <f t="shared" si="124"/>
        <v>50.422500000000007</v>
      </c>
      <c r="E843" s="115">
        <f t="shared" si="120"/>
        <v>6.7499999999995453E-2</v>
      </c>
      <c r="F843" s="115">
        <f t="shared" si="121"/>
        <v>6.7499999999995453E-2</v>
      </c>
      <c r="G843" s="115">
        <f t="shared" si="122"/>
        <v>4.5562499999993863E-3</v>
      </c>
      <c r="H843" s="115">
        <f t="shared" si="123"/>
        <v>1.3368983957218351E-3</v>
      </c>
      <c r="I843" s="116">
        <f t="shared" si="126"/>
        <v>51.266599999999983</v>
      </c>
      <c r="J843" s="116">
        <f t="shared" si="127"/>
        <v>-0.77659999999998064</v>
      </c>
      <c r="K843" s="116">
        <f t="shared" si="128"/>
        <v>0.77659999999998064</v>
      </c>
      <c r="L843" s="116">
        <f t="shared" si="129"/>
        <v>0.6031075599999699</v>
      </c>
      <c r="M843" s="117">
        <f t="shared" si="125"/>
        <v>-1.5381263616557349E-2</v>
      </c>
    </row>
    <row r="844" spans="1:13">
      <c r="A844" s="112">
        <v>841</v>
      </c>
      <c r="B844" s="107">
        <v>42845</v>
      </c>
      <c r="C844" s="108">
        <v>50.26</v>
      </c>
      <c r="D844" s="115">
        <f t="shared" si="124"/>
        <v>50.595999999999997</v>
      </c>
      <c r="E844" s="115">
        <f t="shared" si="120"/>
        <v>-0.33599999999999852</v>
      </c>
      <c r="F844" s="115">
        <f t="shared" si="121"/>
        <v>0.33599999999999852</v>
      </c>
      <c r="G844" s="115">
        <f t="shared" si="122"/>
        <v>0.11289599999999901</v>
      </c>
      <c r="H844" s="115">
        <f t="shared" si="123"/>
        <v>6.6852367688021996E-3</v>
      </c>
      <c r="I844" s="116">
        <f t="shared" si="126"/>
        <v>51.216199999999986</v>
      </c>
      <c r="J844" s="116">
        <f t="shared" si="127"/>
        <v>-0.95619999999998839</v>
      </c>
      <c r="K844" s="116">
        <f t="shared" si="128"/>
        <v>0.95619999999998839</v>
      </c>
      <c r="L844" s="116">
        <f t="shared" si="129"/>
        <v>0.91431843999997775</v>
      </c>
      <c r="M844" s="117">
        <f t="shared" si="125"/>
        <v>-1.9025069637882776E-2</v>
      </c>
    </row>
    <row r="845" spans="1:13">
      <c r="A845" s="112">
        <v>842</v>
      </c>
      <c r="B845" s="113">
        <v>42846</v>
      </c>
      <c r="C845" s="114">
        <v>49.64</v>
      </c>
      <c r="D845" s="115">
        <f t="shared" si="124"/>
        <v>50.744500000000002</v>
      </c>
      <c r="E845" s="115">
        <f t="shared" si="120"/>
        <v>-1.1045000000000016</v>
      </c>
      <c r="F845" s="115">
        <f t="shared" si="121"/>
        <v>1.1045000000000016</v>
      </c>
      <c r="G845" s="115">
        <f t="shared" si="122"/>
        <v>1.2199202500000035</v>
      </c>
      <c r="H845" s="115">
        <f t="shared" si="123"/>
        <v>2.2250201450443222E-2</v>
      </c>
      <c r="I845" s="116">
        <f t="shared" si="126"/>
        <v>51.177599999999991</v>
      </c>
      <c r="J845" s="116">
        <f t="shared" si="127"/>
        <v>-1.5375999999999905</v>
      </c>
      <c r="K845" s="116">
        <f t="shared" si="128"/>
        <v>1.5375999999999905</v>
      </c>
      <c r="L845" s="116">
        <f t="shared" si="129"/>
        <v>2.3642137599999709</v>
      </c>
      <c r="M845" s="117">
        <f t="shared" si="125"/>
        <v>-3.0975020145044128E-2</v>
      </c>
    </row>
    <row r="846" spans="1:13">
      <c r="A846" s="112">
        <v>843</v>
      </c>
      <c r="B846" s="107">
        <v>42849</v>
      </c>
      <c r="C846" s="108">
        <v>48.9</v>
      </c>
      <c r="D846" s="115">
        <f t="shared" si="124"/>
        <v>50.8765</v>
      </c>
      <c r="E846" s="115">
        <f t="shared" si="120"/>
        <v>-1.9765000000000015</v>
      </c>
      <c r="F846" s="115">
        <f t="shared" si="121"/>
        <v>1.9765000000000015</v>
      </c>
      <c r="G846" s="115">
        <f t="shared" si="122"/>
        <v>3.9065522500000061</v>
      </c>
      <c r="H846" s="115">
        <f t="shared" si="123"/>
        <v>4.0419222903885513E-2</v>
      </c>
      <c r="I846" s="116">
        <f t="shared" si="126"/>
        <v>51.122999999999983</v>
      </c>
      <c r="J846" s="116">
        <f t="shared" si="127"/>
        <v>-2.2229999999999848</v>
      </c>
      <c r="K846" s="116">
        <f t="shared" si="128"/>
        <v>2.2229999999999848</v>
      </c>
      <c r="L846" s="116">
        <f t="shared" si="129"/>
        <v>4.9417289999999321</v>
      </c>
      <c r="M846" s="117">
        <f t="shared" si="125"/>
        <v>-4.5460122699386193E-2</v>
      </c>
    </row>
    <row r="847" spans="1:13">
      <c r="A847" s="112">
        <v>844</v>
      </c>
      <c r="B847" s="113">
        <v>42850</v>
      </c>
      <c r="C847" s="114">
        <v>49.22</v>
      </c>
      <c r="D847" s="115">
        <f t="shared" si="124"/>
        <v>50.956499999999998</v>
      </c>
      <c r="E847" s="115">
        <f t="shared" si="120"/>
        <v>-1.7364999999999995</v>
      </c>
      <c r="F847" s="115">
        <f t="shared" si="121"/>
        <v>1.7364999999999995</v>
      </c>
      <c r="G847" s="115">
        <f t="shared" si="122"/>
        <v>3.0154322499999981</v>
      </c>
      <c r="H847" s="115">
        <f t="shared" si="123"/>
        <v>3.5280373831775694E-2</v>
      </c>
      <c r="I847" s="116">
        <f t="shared" si="126"/>
        <v>51.041199999999989</v>
      </c>
      <c r="J847" s="116">
        <f t="shared" si="127"/>
        <v>-1.8211999999999904</v>
      </c>
      <c r="K847" s="116">
        <f t="shared" si="128"/>
        <v>1.8211999999999904</v>
      </c>
      <c r="L847" s="116">
        <f t="shared" si="129"/>
        <v>3.3167694399999648</v>
      </c>
      <c r="M847" s="117">
        <f t="shared" si="125"/>
        <v>-3.7001219016659703E-2</v>
      </c>
    </row>
    <row r="848" spans="1:13">
      <c r="A848" s="112">
        <v>845</v>
      </c>
      <c r="B848" s="107">
        <v>42851</v>
      </c>
      <c r="C848" s="108">
        <v>49.22</v>
      </c>
      <c r="D848" s="115">
        <f t="shared" si="124"/>
        <v>51.066500000000005</v>
      </c>
      <c r="E848" s="115">
        <f t="shared" si="120"/>
        <v>-1.846500000000006</v>
      </c>
      <c r="F848" s="115">
        <f t="shared" si="121"/>
        <v>1.846500000000006</v>
      </c>
      <c r="G848" s="115">
        <f t="shared" si="122"/>
        <v>3.4095622500000222</v>
      </c>
      <c r="H848" s="115">
        <f t="shared" si="123"/>
        <v>3.75152377082488E-2</v>
      </c>
      <c r="I848" s="116">
        <f t="shared" si="126"/>
        <v>50.948799999999984</v>
      </c>
      <c r="J848" s="116">
        <f t="shared" si="127"/>
        <v>-1.7287999999999855</v>
      </c>
      <c r="K848" s="116">
        <f t="shared" si="128"/>
        <v>1.7287999999999855</v>
      </c>
      <c r="L848" s="116">
        <f t="shared" si="129"/>
        <v>2.9887494399999497</v>
      </c>
      <c r="M848" s="117">
        <f t="shared" si="125"/>
        <v>-3.5123933360422299E-2</v>
      </c>
    </row>
    <row r="849" spans="1:13">
      <c r="A849" s="112">
        <v>846</v>
      </c>
      <c r="B849" s="113">
        <v>42852</v>
      </c>
      <c r="C849" s="114">
        <v>48.96</v>
      </c>
      <c r="D849" s="115">
        <f t="shared" si="124"/>
        <v>51.109500000000011</v>
      </c>
      <c r="E849" s="115">
        <f t="shared" si="120"/>
        <v>-2.1495000000000104</v>
      </c>
      <c r="F849" s="115">
        <f t="shared" si="121"/>
        <v>2.1495000000000104</v>
      </c>
      <c r="G849" s="115">
        <f t="shared" si="122"/>
        <v>4.6203502500000448</v>
      </c>
      <c r="H849" s="115">
        <f t="shared" si="123"/>
        <v>4.3903186274510016E-2</v>
      </c>
      <c r="I849" s="116">
        <f t="shared" si="126"/>
        <v>50.873999999999988</v>
      </c>
      <c r="J849" s="116">
        <f t="shared" si="127"/>
        <v>-1.9139999999999873</v>
      </c>
      <c r="K849" s="116">
        <f t="shared" si="128"/>
        <v>1.9139999999999873</v>
      </c>
      <c r="L849" s="116">
        <f t="shared" si="129"/>
        <v>3.6633959999999512</v>
      </c>
      <c r="M849" s="117">
        <f t="shared" si="125"/>
        <v>-3.9093137254901697E-2</v>
      </c>
    </row>
    <row r="850" spans="1:13">
      <c r="A850" s="112">
        <v>847</v>
      </c>
      <c r="B850" s="107">
        <v>42853</v>
      </c>
      <c r="C850" s="108">
        <v>49.31</v>
      </c>
      <c r="D850" s="115">
        <f t="shared" si="124"/>
        <v>51.08400000000001</v>
      </c>
      <c r="E850" s="115">
        <f t="shared" si="120"/>
        <v>-1.774000000000008</v>
      </c>
      <c r="F850" s="115">
        <f t="shared" si="121"/>
        <v>1.774000000000008</v>
      </c>
      <c r="G850" s="115">
        <f t="shared" si="122"/>
        <v>3.1470760000000286</v>
      </c>
      <c r="H850" s="115">
        <f t="shared" si="123"/>
        <v>3.5976475359967716E-2</v>
      </c>
      <c r="I850" s="116">
        <f t="shared" si="126"/>
        <v>50.788999999999987</v>
      </c>
      <c r="J850" s="116">
        <f t="shared" si="127"/>
        <v>-1.478999999999985</v>
      </c>
      <c r="K850" s="116">
        <f t="shared" si="128"/>
        <v>1.478999999999985</v>
      </c>
      <c r="L850" s="116">
        <f t="shared" si="129"/>
        <v>2.1874409999999558</v>
      </c>
      <c r="M850" s="117">
        <f t="shared" si="125"/>
        <v>-2.9993916041370614E-2</v>
      </c>
    </row>
    <row r="851" spans="1:13">
      <c r="A851" s="112">
        <v>848</v>
      </c>
      <c r="B851" s="113">
        <v>42856</v>
      </c>
      <c r="C851" s="114">
        <v>48.83</v>
      </c>
      <c r="D851" s="115">
        <f t="shared" si="124"/>
        <v>51.034500000000001</v>
      </c>
      <c r="E851" s="115">
        <f t="shared" si="120"/>
        <v>-2.204500000000003</v>
      </c>
      <c r="F851" s="115">
        <f t="shared" si="121"/>
        <v>2.204500000000003</v>
      </c>
      <c r="G851" s="115">
        <f t="shared" si="122"/>
        <v>4.8598202500000136</v>
      </c>
      <c r="H851" s="115">
        <f t="shared" si="123"/>
        <v>4.5146426377227176E-2</v>
      </c>
      <c r="I851" s="116">
        <f t="shared" si="126"/>
        <v>50.712999999999994</v>
      </c>
      <c r="J851" s="116">
        <f t="shared" si="127"/>
        <v>-1.8829999999999956</v>
      </c>
      <c r="K851" s="116">
        <f t="shared" si="128"/>
        <v>1.8829999999999956</v>
      </c>
      <c r="L851" s="116">
        <f t="shared" si="129"/>
        <v>3.5456889999999834</v>
      </c>
      <c r="M851" s="117">
        <f t="shared" si="125"/>
        <v>-3.8562359205406425E-2</v>
      </c>
    </row>
    <row r="852" spans="1:13">
      <c r="A852" s="112">
        <v>849</v>
      </c>
      <c r="B852" s="107">
        <v>42857</v>
      </c>
      <c r="C852" s="108">
        <v>47.65</v>
      </c>
      <c r="D852" s="115">
        <f t="shared" si="124"/>
        <v>50.949000000000005</v>
      </c>
      <c r="E852" s="115">
        <f t="shared" si="120"/>
        <v>-3.2990000000000066</v>
      </c>
      <c r="F852" s="115">
        <f t="shared" si="121"/>
        <v>3.2990000000000066</v>
      </c>
      <c r="G852" s="115">
        <f t="shared" si="122"/>
        <v>10.883401000000044</v>
      </c>
      <c r="H852" s="115">
        <f t="shared" si="123"/>
        <v>6.9233997901364253E-2</v>
      </c>
      <c r="I852" s="116">
        <f t="shared" si="126"/>
        <v>50.621399999999987</v>
      </c>
      <c r="J852" s="116">
        <f t="shared" si="127"/>
        <v>-2.9713999999999885</v>
      </c>
      <c r="K852" s="116">
        <f t="shared" si="128"/>
        <v>2.9713999999999885</v>
      </c>
      <c r="L852" s="116">
        <f t="shared" si="129"/>
        <v>8.8292179599999319</v>
      </c>
      <c r="M852" s="117">
        <f t="shared" si="125"/>
        <v>-6.2358866736620958E-2</v>
      </c>
    </row>
    <row r="853" spans="1:13">
      <c r="A853" s="112">
        <v>850</v>
      </c>
      <c r="B853" s="113">
        <v>42858</v>
      </c>
      <c r="C853" s="114">
        <v>47.79</v>
      </c>
      <c r="D853" s="115">
        <f t="shared" si="124"/>
        <v>50.819000000000003</v>
      </c>
      <c r="E853" s="115">
        <f t="shared" si="120"/>
        <v>-3.0290000000000035</v>
      </c>
      <c r="F853" s="115">
        <f t="shared" si="121"/>
        <v>3.0290000000000035</v>
      </c>
      <c r="G853" s="115">
        <f t="shared" si="122"/>
        <v>9.1748410000000202</v>
      </c>
      <c r="H853" s="115">
        <f t="shared" si="123"/>
        <v>6.3381460556601876E-2</v>
      </c>
      <c r="I853" s="116">
        <f t="shared" si="126"/>
        <v>50.506199999999993</v>
      </c>
      <c r="J853" s="116">
        <f t="shared" si="127"/>
        <v>-2.7161999999999935</v>
      </c>
      <c r="K853" s="116">
        <f t="shared" si="128"/>
        <v>2.7161999999999935</v>
      </c>
      <c r="L853" s="116">
        <f t="shared" si="129"/>
        <v>7.3777424399999649</v>
      </c>
      <c r="M853" s="117">
        <f t="shared" si="125"/>
        <v>-5.6836158192090258E-2</v>
      </c>
    </row>
    <row r="854" spans="1:13">
      <c r="A854" s="112">
        <v>851</v>
      </c>
      <c r="B854" s="107">
        <v>42859</v>
      </c>
      <c r="C854" s="108">
        <v>45.55</v>
      </c>
      <c r="D854" s="115">
        <f t="shared" si="124"/>
        <v>50.659000000000006</v>
      </c>
      <c r="E854" s="115">
        <f t="shared" si="120"/>
        <v>-5.1090000000000089</v>
      </c>
      <c r="F854" s="115">
        <f t="shared" si="121"/>
        <v>5.1090000000000089</v>
      </c>
      <c r="G854" s="115">
        <f t="shared" si="122"/>
        <v>26.101881000000091</v>
      </c>
      <c r="H854" s="115">
        <f t="shared" si="123"/>
        <v>0.11216245883644367</v>
      </c>
      <c r="I854" s="116">
        <f t="shared" si="126"/>
        <v>50.381599999999992</v>
      </c>
      <c r="J854" s="116">
        <f t="shared" si="127"/>
        <v>-4.8315999999999946</v>
      </c>
      <c r="K854" s="116">
        <f t="shared" si="128"/>
        <v>4.8315999999999946</v>
      </c>
      <c r="L854" s="116">
        <f t="shared" si="129"/>
        <v>23.344358559999947</v>
      </c>
      <c r="M854" s="117">
        <f t="shared" si="125"/>
        <v>-0.10607244785949495</v>
      </c>
    </row>
    <row r="855" spans="1:13">
      <c r="A855" s="112">
        <v>852</v>
      </c>
      <c r="B855" s="113">
        <v>42860</v>
      </c>
      <c r="C855" s="114">
        <v>46.23</v>
      </c>
      <c r="D855" s="115">
        <f t="shared" si="124"/>
        <v>50.379499999999993</v>
      </c>
      <c r="E855" s="115">
        <f t="shared" si="120"/>
        <v>-4.1494999999999962</v>
      </c>
      <c r="F855" s="115">
        <f t="shared" si="121"/>
        <v>4.1494999999999962</v>
      </c>
      <c r="G855" s="115">
        <f t="shared" si="122"/>
        <v>17.218350249999968</v>
      </c>
      <c r="H855" s="115">
        <f t="shared" si="123"/>
        <v>8.9757733073761545E-2</v>
      </c>
      <c r="I855" s="116">
        <f t="shared" si="126"/>
        <v>50.220399999999991</v>
      </c>
      <c r="J855" s="116">
        <f t="shared" si="127"/>
        <v>-3.990399999999994</v>
      </c>
      <c r="K855" s="116">
        <f t="shared" si="128"/>
        <v>3.990399999999994</v>
      </c>
      <c r="L855" s="116">
        <f t="shared" si="129"/>
        <v>15.923292159999951</v>
      </c>
      <c r="M855" s="117">
        <f t="shared" si="125"/>
        <v>-8.6316244862643179E-2</v>
      </c>
    </row>
    <row r="856" spans="1:13">
      <c r="A856" s="112">
        <v>853</v>
      </c>
      <c r="B856" s="107">
        <v>42863</v>
      </c>
      <c r="C856" s="108">
        <v>46.46</v>
      </c>
      <c r="D856" s="115">
        <f t="shared" si="124"/>
        <v>50.106500000000004</v>
      </c>
      <c r="E856" s="115">
        <f t="shared" ref="E856:E919" si="130">C856-D856</f>
        <v>-3.6465000000000032</v>
      </c>
      <c r="F856" s="115">
        <f t="shared" ref="F856:F919" si="131">ABS(E856)</f>
        <v>3.6465000000000032</v>
      </c>
      <c r="G856" s="115">
        <f t="shared" ref="G856:G919" si="132">E856^2</f>
        <v>13.296962250000023</v>
      </c>
      <c r="H856" s="115">
        <f t="shared" ref="H856:H919" si="133">F856/C856</f>
        <v>7.8486870426173125E-2</v>
      </c>
      <c r="I856" s="116">
        <f t="shared" si="126"/>
        <v>50.055399999999992</v>
      </c>
      <c r="J856" s="116">
        <f t="shared" si="127"/>
        <v>-3.5953999999999908</v>
      </c>
      <c r="K856" s="116">
        <f t="shared" si="128"/>
        <v>3.5953999999999908</v>
      </c>
      <c r="L856" s="116">
        <f t="shared" si="129"/>
        <v>12.926901159999934</v>
      </c>
      <c r="M856" s="117">
        <f t="shared" si="125"/>
        <v>-7.7386999569521969E-2</v>
      </c>
    </row>
    <row r="857" spans="1:13">
      <c r="A857" s="112">
        <v>854</v>
      </c>
      <c r="B857" s="113">
        <v>42864</v>
      </c>
      <c r="C857" s="114">
        <v>45.84</v>
      </c>
      <c r="D857" s="115">
        <f t="shared" si="124"/>
        <v>49.817000000000007</v>
      </c>
      <c r="E857" s="115">
        <f t="shared" si="130"/>
        <v>-3.9770000000000039</v>
      </c>
      <c r="F857" s="115">
        <f t="shared" si="131"/>
        <v>3.9770000000000039</v>
      </c>
      <c r="G857" s="115">
        <f t="shared" si="132"/>
        <v>15.816529000000031</v>
      </c>
      <c r="H857" s="115">
        <f t="shared" si="133"/>
        <v>8.6758289703315963E-2</v>
      </c>
      <c r="I857" s="116">
        <f t="shared" si="126"/>
        <v>49.904799999999994</v>
      </c>
      <c r="J857" s="116">
        <f t="shared" si="127"/>
        <v>-4.0647999999999911</v>
      </c>
      <c r="K857" s="116">
        <f t="shared" si="128"/>
        <v>4.0647999999999911</v>
      </c>
      <c r="L857" s="116">
        <f t="shared" si="129"/>
        <v>16.522599039999928</v>
      </c>
      <c r="M857" s="117">
        <f t="shared" si="125"/>
        <v>-8.8673647469458786E-2</v>
      </c>
    </row>
    <row r="858" spans="1:13">
      <c r="A858" s="112">
        <v>855</v>
      </c>
      <c r="B858" s="107">
        <v>42865</v>
      </c>
      <c r="C858" s="108">
        <v>47.28</v>
      </c>
      <c r="D858" s="115">
        <f t="shared" ref="D858:D921" si="134">AVERAGE(C838:C857)</f>
        <v>49.456000000000003</v>
      </c>
      <c r="E858" s="115">
        <f t="shared" si="130"/>
        <v>-2.1760000000000019</v>
      </c>
      <c r="F858" s="115">
        <f t="shared" si="131"/>
        <v>2.1760000000000019</v>
      </c>
      <c r="G858" s="115">
        <f t="shared" si="132"/>
        <v>4.7349760000000085</v>
      </c>
      <c r="H858" s="115">
        <f t="shared" si="133"/>
        <v>4.6023688663282609E-2</v>
      </c>
      <c r="I858" s="116">
        <f t="shared" si="126"/>
        <v>49.740800000000007</v>
      </c>
      <c r="J858" s="116">
        <f t="shared" si="127"/>
        <v>-2.4608000000000061</v>
      </c>
      <c r="K858" s="116">
        <f t="shared" si="128"/>
        <v>2.4608000000000061</v>
      </c>
      <c r="L858" s="116">
        <f t="shared" si="129"/>
        <v>6.0555366400000299</v>
      </c>
      <c r="M858" s="117">
        <f t="shared" si="125"/>
        <v>-5.2047377326565274E-2</v>
      </c>
    </row>
    <row r="859" spans="1:13">
      <c r="A859" s="112">
        <v>856</v>
      </c>
      <c r="B859" s="113">
        <v>42866</v>
      </c>
      <c r="C859" s="114">
        <v>47.81</v>
      </c>
      <c r="D859" s="115">
        <f t="shared" si="134"/>
        <v>49.151000000000003</v>
      </c>
      <c r="E859" s="115">
        <f t="shared" si="130"/>
        <v>-1.3410000000000011</v>
      </c>
      <c r="F859" s="115">
        <f t="shared" si="131"/>
        <v>1.3410000000000011</v>
      </c>
      <c r="G859" s="115">
        <f t="shared" si="132"/>
        <v>1.7982810000000029</v>
      </c>
      <c r="H859" s="115">
        <f t="shared" si="133"/>
        <v>2.8048525413093515E-2</v>
      </c>
      <c r="I859" s="116">
        <f t="shared" si="126"/>
        <v>49.606400000000015</v>
      </c>
      <c r="J859" s="116">
        <f t="shared" si="127"/>
        <v>-1.7964000000000127</v>
      </c>
      <c r="K859" s="116">
        <f t="shared" si="128"/>
        <v>1.7964000000000127</v>
      </c>
      <c r="L859" s="116">
        <f t="shared" si="129"/>
        <v>3.2270529600000453</v>
      </c>
      <c r="M859" s="117">
        <f t="shared" si="125"/>
        <v>-3.7573729345325511E-2</v>
      </c>
    </row>
    <row r="860" spans="1:13">
      <c r="A860" s="112">
        <v>857</v>
      </c>
      <c r="B860" s="107">
        <v>42867</v>
      </c>
      <c r="C860" s="108">
        <v>47.83</v>
      </c>
      <c r="D860" s="115">
        <f t="shared" si="134"/>
        <v>48.8855</v>
      </c>
      <c r="E860" s="115">
        <f t="shared" si="130"/>
        <v>-1.0555000000000021</v>
      </c>
      <c r="F860" s="115">
        <f t="shared" si="131"/>
        <v>1.0555000000000021</v>
      </c>
      <c r="G860" s="115">
        <f t="shared" si="132"/>
        <v>1.1140802500000044</v>
      </c>
      <c r="H860" s="115">
        <f t="shared" si="133"/>
        <v>2.2067739912189046E-2</v>
      </c>
      <c r="I860" s="116">
        <f t="shared" si="126"/>
        <v>49.486200000000018</v>
      </c>
      <c r="J860" s="116">
        <f t="shared" si="127"/>
        <v>-1.6562000000000197</v>
      </c>
      <c r="K860" s="116">
        <f t="shared" si="128"/>
        <v>1.6562000000000197</v>
      </c>
      <c r="L860" s="116">
        <f t="shared" si="129"/>
        <v>2.7429984400000653</v>
      </c>
      <c r="M860" s="117">
        <f t="shared" si="125"/>
        <v>-3.4626803261551743E-2</v>
      </c>
    </row>
    <row r="861" spans="1:13">
      <c r="A861" s="112">
        <v>858</v>
      </c>
      <c r="B861" s="113">
        <v>42870</v>
      </c>
      <c r="C861" s="114">
        <v>48.86</v>
      </c>
      <c r="D861" s="115">
        <f t="shared" si="134"/>
        <v>48.6175</v>
      </c>
      <c r="E861" s="115">
        <f t="shared" si="130"/>
        <v>0.24249999999999972</v>
      </c>
      <c r="F861" s="115">
        <f t="shared" si="131"/>
        <v>0.24249999999999972</v>
      </c>
      <c r="G861" s="115">
        <f t="shared" si="132"/>
        <v>5.8806249999999866E-2</v>
      </c>
      <c r="H861" s="115">
        <f t="shared" si="133"/>
        <v>4.9631600491199289E-3</v>
      </c>
      <c r="I861" s="116">
        <f t="shared" si="126"/>
        <v>49.390200000000014</v>
      </c>
      <c r="J861" s="116">
        <f t="shared" si="127"/>
        <v>-0.53020000000001488</v>
      </c>
      <c r="K861" s="116">
        <f t="shared" si="128"/>
        <v>0.53020000000001488</v>
      </c>
      <c r="L861" s="116">
        <f t="shared" si="129"/>
        <v>0.28111204000001577</v>
      </c>
      <c r="M861" s="117">
        <f t="shared" si="125"/>
        <v>-1.0851412198117374E-2</v>
      </c>
    </row>
    <row r="862" spans="1:13">
      <c r="A862" s="112">
        <v>859</v>
      </c>
      <c r="B862" s="107">
        <v>42871</v>
      </c>
      <c r="C862" s="108">
        <v>48.64</v>
      </c>
      <c r="D862" s="115">
        <f t="shared" si="134"/>
        <v>48.429500000000004</v>
      </c>
      <c r="E862" s="115">
        <f t="shared" si="130"/>
        <v>0.21049999999999613</v>
      </c>
      <c r="F862" s="115">
        <f t="shared" si="131"/>
        <v>0.21049999999999613</v>
      </c>
      <c r="G862" s="115">
        <f t="shared" si="132"/>
        <v>4.4310249999998372E-2</v>
      </c>
      <c r="H862" s="115">
        <f t="shared" si="133"/>
        <v>4.3277138157893939E-3</v>
      </c>
      <c r="I862" s="116">
        <f t="shared" si="126"/>
        <v>49.300800000000017</v>
      </c>
      <c r="J862" s="116">
        <f t="shared" si="127"/>
        <v>-0.66080000000001604</v>
      </c>
      <c r="K862" s="116">
        <f t="shared" si="128"/>
        <v>0.66080000000001604</v>
      </c>
      <c r="L862" s="116">
        <f t="shared" si="129"/>
        <v>0.43665664000002119</v>
      </c>
      <c r="M862" s="117">
        <f t="shared" si="125"/>
        <v>-1.3585526315789803E-2</v>
      </c>
    </row>
    <row r="863" spans="1:13">
      <c r="A863" s="112">
        <v>860</v>
      </c>
      <c r="B863" s="113">
        <v>42872</v>
      </c>
      <c r="C863" s="114">
        <v>49.04</v>
      </c>
      <c r="D863" s="115">
        <f t="shared" si="134"/>
        <v>48.238500000000002</v>
      </c>
      <c r="E863" s="115">
        <f t="shared" si="130"/>
        <v>0.80149999999999721</v>
      </c>
      <c r="F863" s="115">
        <f t="shared" si="131"/>
        <v>0.80149999999999721</v>
      </c>
      <c r="G863" s="115">
        <f t="shared" si="132"/>
        <v>0.64240224999999551</v>
      </c>
      <c r="H863" s="115">
        <f t="shared" si="133"/>
        <v>1.6343800978792764E-2</v>
      </c>
      <c r="I863" s="116">
        <f t="shared" si="126"/>
        <v>49.209800000000016</v>
      </c>
      <c r="J863" s="116">
        <f t="shared" si="127"/>
        <v>-0.16980000000001638</v>
      </c>
      <c r="K863" s="116">
        <f t="shared" si="128"/>
        <v>0.16980000000001638</v>
      </c>
      <c r="L863" s="116">
        <f t="shared" si="129"/>
        <v>2.8832040000005565E-2</v>
      </c>
      <c r="M863" s="117">
        <f t="shared" si="125"/>
        <v>-3.4624796084832053E-3</v>
      </c>
    </row>
    <row r="864" spans="1:13">
      <c r="A864" s="112">
        <v>861</v>
      </c>
      <c r="B864" s="107">
        <v>42873</v>
      </c>
      <c r="C864" s="108">
        <v>49.36</v>
      </c>
      <c r="D864" s="115">
        <f t="shared" si="134"/>
        <v>48.166000000000004</v>
      </c>
      <c r="E864" s="115">
        <f t="shared" si="130"/>
        <v>1.1939999999999955</v>
      </c>
      <c r="F864" s="115">
        <f t="shared" si="131"/>
        <v>1.1939999999999955</v>
      </c>
      <c r="G864" s="115">
        <f t="shared" si="132"/>
        <v>1.4256359999999892</v>
      </c>
      <c r="H864" s="115">
        <f t="shared" si="133"/>
        <v>2.4189627228525031E-2</v>
      </c>
      <c r="I864" s="116">
        <f t="shared" si="126"/>
        <v>49.137</v>
      </c>
      <c r="J864" s="116">
        <f t="shared" si="127"/>
        <v>0.22299999999999898</v>
      </c>
      <c r="K864" s="116">
        <f t="shared" si="128"/>
        <v>0.22299999999999898</v>
      </c>
      <c r="L864" s="116">
        <f t="shared" si="129"/>
        <v>4.9728999999999544E-2</v>
      </c>
      <c r="M864" s="117">
        <f t="shared" si="125"/>
        <v>4.5178282009724268E-3</v>
      </c>
    </row>
    <row r="865" spans="1:13">
      <c r="A865" s="112">
        <v>862</v>
      </c>
      <c r="B865" s="113">
        <v>42874</v>
      </c>
      <c r="C865" s="114">
        <v>50.32</v>
      </c>
      <c r="D865" s="115">
        <f t="shared" si="134"/>
        <v>48.121000000000002</v>
      </c>
      <c r="E865" s="115">
        <f t="shared" si="130"/>
        <v>2.1989999999999981</v>
      </c>
      <c r="F865" s="115">
        <f t="shared" si="131"/>
        <v>2.1989999999999981</v>
      </c>
      <c r="G865" s="115">
        <f t="shared" si="132"/>
        <v>4.8356009999999916</v>
      </c>
      <c r="H865" s="115">
        <f t="shared" si="133"/>
        <v>4.3700317965023806E-2</v>
      </c>
      <c r="I865" s="116">
        <f t="shared" si="126"/>
        <v>49.127600000000001</v>
      </c>
      <c r="J865" s="116">
        <f t="shared" si="127"/>
        <v>1.1923999999999992</v>
      </c>
      <c r="K865" s="116">
        <f t="shared" si="128"/>
        <v>1.1923999999999992</v>
      </c>
      <c r="L865" s="116">
        <f t="shared" si="129"/>
        <v>1.4218177599999982</v>
      </c>
      <c r="M865" s="117">
        <f t="shared" si="125"/>
        <v>2.369634340222574E-2</v>
      </c>
    </row>
    <row r="866" spans="1:13">
      <c r="A866" s="112">
        <v>863</v>
      </c>
      <c r="B866" s="107">
        <v>42877</v>
      </c>
      <c r="C866" s="108">
        <v>50.81</v>
      </c>
      <c r="D866" s="115">
        <f t="shared" si="134"/>
        <v>48.155000000000001</v>
      </c>
      <c r="E866" s="115">
        <f t="shared" si="130"/>
        <v>2.6550000000000011</v>
      </c>
      <c r="F866" s="115">
        <f t="shared" si="131"/>
        <v>2.6550000000000011</v>
      </c>
      <c r="G866" s="115">
        <f t="shared" si="132"/>
        <v>7.0490250000000056</v>
      </c>
      <c r="H866" s="115">
        <f t="shared" si="133"/>
        <v>5.2253493406809702E-2</v>
      </c>
      <c r="I866" s="116">
        <f t="shared" si="126"/>
        <v>49.159000000000006</v>
      </c>
      <c r="J866" s="116">
        <f t="shared" si="127"/>
        <v>1.6509999999999962</v>
      </c>
      <c r="K866" s="116">
        <f t="shared" si="128"/>
        <v>1.6509999999999962</v>
      </c>
      <c r="L866" s="116">
        <f t="shared" si="129"/>
        <v>2.7258009999999877</v>
      </c>
      <c r="M866" s="117">
        <f t="shared" si="125"/>
        <v>3.2493603621334306E-2</v>
      </c>
    </row>
    <row r="867" spans="1:13">
      <c r="A867" s="112">
        <v>864</v>
      </c>
      <c r="B867" s="113">
        <v>42878</v>
      </c>
      <c r="C867" s="114">
        <v>51.12</v>
      </c>
      <c r="D867" s="115">
        <f t="shared" si="134"/>
        <v>48.250500000000009</v>
      </c>
      <c r="E867" s="115">
        <f t="shared" si="130"/>
        <v>2.8694999999999879</v>
      </c>
      <c r="F867" s="115">
        <f t="shared" si="131"/>
        <v>2.8694999999999879</v>
      </c>
      <c r="G867" s="115">
        <f t="shared" si="132"/>
        <v>8.2340302499999307</v>
      </c>
      <c r="H867" s="115">
        <f t="shared" si="133"/>
        <v>5.6132629107980989E-2</v>
      </c>
      <c r="I867" s="116">
        <f t="shared" si="126"/>
        <v>49.214199999999998</v>
      </c>
      <c r="J867" s="116">
        <f t="shared" si="127"/>
        <v>1.9057999999999993</v>
      </c>
      <c r="K867" s="116">
        <f t="shared" si="128"/>
        <v>1.9057999999999993</v>
      </c>
      <c r="L867" s="116">
        <f t="shared" si="129"/>
        <v>3.6320736399999971</v>
      </c>
      <c r="M867" s="117">
        <f t="shared" si="125"/>
        <v>3.7280907668231597E-2</v>
      </c>
    </row>
    <row r="868" spans="1:13">
      <c r="A868" s="112">
        <v>865</v>
      </c>
      <c r="B868" s="107">
        <v>42879</v>
      </c>
      <c r="C868" s="108">
        <v>50.99</v>
      </c>
      <c r="D868" s="115">
        <f t="shared" si="134"/>
        <v>48.345500000000008</v>
      </c>
      <c r="E868" s="115">
        <f t="shared" si="130"/>
        <v>2.6444999999999936</v>
      </c>
      <c r="F868" s="115">
        <f t="shared" si="131"/>
        <v>2.6444999999999936</v>
      </c>
      <c r="G868" s="115">
        <f t="shared" si="132"/>
        <v>6.9933802499999667</v>
      </c>
      <c r="H868" s="115">
        <f t="shared" si="133"/>
        <v>5.18631104138065E-2</v>
      </c>
      <c r="I868" s="116">
        <f t="shared" si="126"/>
        <v>49.2776</v>
      </c>
      <c r="J868" s="116">
        <f t="shared" si="127"/>
        <v>1.7124000000000024</v>
      </c>
      <c r="K868" s="116">
        <f t="shared" si="128"/>
        <v>1.7124000000000024</v>
      </c>
      <c r="L868" s="116">
        <f t="shared" si="129"/>
        <v>2.932313760000008</v>
      </c>
      <c r="M868" s="117">
        <f t="shared" si="125"/>
        <v>3.3583055501078686E-2</v>
      </c>
    </row>
    <row r="869" spans="1:13">
      <c r="A869" s="112">
        <v>866</v>
      </c>
      <c r="B869" s="113">
        <v>42880</v>
      </c>
      <c r="C869" s="114">
        <v>48.57</v>
      </c>
      <c r="D869" s="115">
        <f t="shared" si="134"/>
        <v>48.434000000000012</v>
      </c>
      <c r="E869" s="115">
        <f t="shared" si="130"/>
        <v>0.13599999999998857</v>
      </c>
      <c r="F869" s="115">
        <f t="shared" si="131"/>
        <v>0.13599999999998857</v>
      </c>
      <c r="G869" s="115">
        <f t="shared" si="132"/>
        <v>1.8495999999996893E-2</v>
      </c>
      <c r="H869" s="115">
        <f t="shared" si="133"/>
        <v>2.8000823553631579E-3</v>
      </c>
      <c r="I869" s="116">
        <f t="shared" si="126"/>
        <v>49.352599999999995</v>
      </c>
      <c r="J869" s="116">
        <f t="shared" si="127"/>
        <v>-0.78259999999999508</v>
      </c>
      <c r="K869" s="116">
        <f t="shared" si="128"/>
        <v>0.78259999999999508</v>
      </c>
      <c r="L869" s="116">
        <f t="shared" si="129"/>
        <v>0.61246275999999233</v>
      </c>
      <c r="M869" s="117">
        <f t="shared" si="125"/>
        <v>-1.6112826847848365E-2</v>
      </c>
    </row>
    <row r="870" spans="1:13">
      <c r="A870" s="112">
        <v>867</v>
      </c>
      <c r="B870" s="107">
        <v>42881</v>
      </c>
      <c r="C870" s="108">
        <v>49.58</v>
      </c>
      <c r="D870" s="115">
        <f t="shared" si="134"/>
        <v>48.414499999999997</v>
      </c>
      <c r="E870" s="115">
        <f t="shared" si="130"/>
        <v>1.1655000000000015</v>
      </c>
      <c r="F870" s="115">
        <f t="shared" si="131"/>
        <v>1.1655000000000015</v>
      </c>
      <c r="G870" s="115">
        <f t="shared" si="132"/>
        <v>1.3583902500000036</v>
      </c>
      <c r="H870" s="115">
        <f t="shared" si="133"/>
        <v>2.3507462686567195E-2</v>
      </c>
      <c r="I870" s="116">
        <f t="shared" si="126"/>
        <v>49.357199999999992</v>
      </c>
      <c r="J870" s="116">
        <f t="shared" si="127"/>
        <v>0.22280000000000655</v>
      </c>
      <c r="K870" s="116">
        <f t="shared" si="128"/>
        <v>0.22280000000000655</v>
      </c>
      <c r="L870" s="116">
        <f t="shared" si="129"/>
        <v>4.9639840000002919E-2</v>
      </c>
      <c r="M870" s="117">
        <f t="shared" si="125"/>
        <v>4.4937474788222381E-3</v>
      </c>
    </row>
    <row r="871" spans="1:13">
      <c r="A871" s="112">
        <v>868</v>
      </c>
      <c r="B871" s="113">
        <v>42885</v>
      </c>
      <c r="C871" s="114">
        <v>49.63</v>
      </c>
      <c r="D871" s="115">
        <f t="shared" si="134"/>
        <v>48.428000000000004</v>
      </c>
      <c r="E871" s="115">
        <f t="shared" si="130"/>
        <v>1.2019999999999982</v>
      </c>
      <c r="F871" s="115">
        <f t="shared" si="131"/>
        <v>1.2019999999999982</v>
      </c>
      <c r="G871" s="115">
        <f t="shared" si="132"/>
        <v>1.4448039999999955</v>
      </c>
      <c r="H871" s="115">
        <f t="shared" si="133"/>
        <v>2.4219222244610077E-2</v>
      </c>
      <c r="I871" s="116">
        <f t="shared" si="126"/>
        <v>49.382799999999996</v>
      </c>
      <c r="J871" s="116">
        <f t="shared" si="127"/>
        <v>0.24720000000000653</v>
      </c>
      <c r="K871" s="116">
        <f t="shared" si="128"/>
        <v>0.24720000000000653</v>
      </c>
      <c r="L871" s="116">
        <f t="shared" si="129"/>
        <v>6.1107840000003223E-2</v>
      </c>
      <c r="M871" s="117">
        <f t="shared" si="125"/>
        <v>4.9808583518034756E-3</v>
      </c>
    </row>
    <row r="872" spans="1:13">
      <c r="A872" s="112">
        <v>869</v>
      </c>
      <c r="B872" s="107">
        <v>42886</v>
      </c>
      <c r="C872" s="108">
        <v>48.29</v>
      </c>
      <c r="D872" s="115">
        <f t="shared" si="134"/>
        <v>48.468000000000004</v>
      </c>
      <c r="E872" s="115">
        <f t="shared" si="130"/>
        <v>-0.17800000000000438</v>
      </c>
      <c r="F872" s="115">
        <f t="shared" si="131"/>
        <v>0.17800000000000438</v>
      </c>
      <c r="G872" s="115">
        <f t="shared" si="132"/>
        <v>3.1684000000001558E-2</v>
      </c>
      <c r="H872" s="115">
        <f t="shared" si="133"/>
        <v>3.6860633671568521E-3</v>
      </c>
      <c r="I872" s="116">
        <f t="shared" si="126"/>
        <v>49.408600000000007</v>
      </c>
      <c r="J872" s="116">
        <f t="shared" si="127"/>
        <v>-1.1186000000000078</v>
      </c>
      <c r="K872" s="116">
        <f t="shared" si="128"/>
        <v>1.1186000000000078</v>
      </c>
      <c r="L872" s="116">
        <f t="shared" si="129"/>
        <v>1.2512659600000176</v>
      </c>
      <c r="M872" s="117">
        <f t="shared" si="125"/>
        <v>-2.3164216193829114E-2</v>
      </c>
    </row>
    <row r="873" spans="1:13">
      <c r="A873" s="112">
        <v>870</v>
      </c>
      <c r="B873" s="113">
        <v>42887</v>
      </c>
      <c r="C873" s="114">
        <v>48.32</v>
      </c>
      <c r="D873" s="115">
        <f t="shared" si="134"/>
        <v>48.5</v>
      </c>
      <c r="E873" s="115">
        <f t="shared" si="130"/>
        <v>-0.17999999999999972</v>
      </c>
      <c r="F873" s="115">
        <f t="shared" si="131"/>
        <v>0.17999999999999972</v>
      </c>
      <c r="G873" s="115">
        <f t="shared" si="132"/>
        <v>3.2399999999999901E-2</v>
      </c>
      <c r="H873" s="115">
        <f t="shared" si="133"/>
        <v>3.7251655629139016E-3</v>
      </c>
      <c r="I873" s="116">
        <f t="shared" si="126"/>
        <v>49.418599999999998</v>
      </c>
      <c r="J873" s="116">
        <f t="shared" si="127"/>
        <v>-1.0985999999999976</v>
      </c>
      <c r="K873" s="116">
        <f t="shared" si="128"/>
        <v>1.0985999999999976</v>
      </c>
      <c r="L873" s="116">
        <f t="shared" si="129"/>
        <v>1.2069219599999947</v>
      </c>
      <c r="M873" s="117">
        <f t="shared" si="125"/>
        <v>-2.2735927152317831E-2</v>
      </c>
    </row>
    <row r="874" spans="1:13">
      <c r="A874" s="112">
        <v>871</v>
      </c>
      <c r="B874" s="107">
        <v>42888</v>
      </c>
      <c r="C874" s="108">
        <v>47.68</v>
      </c>
      <c r="D874" s="115">
        <f t="shared" si="134"/>
        <v>48.526500000000006</v>
      </c>
      <c r="E874" s="115">
        <f t="shared" si="130"/>
        <v>-0.84650000000000603</v>
      </c>
      <c r="F874" s="115">
        <f t="shared" si="131"/>
        <v>0.84650000000000603</v>
      </c>
      <c r="G874" s="115">
        <f t="shared" si="132"/>
        <v>0.71656225000001017</v>
      </c>
      <c r="H874" s="115">
        <f t="shared" si="133"/>
        <v>1.7753775167785361E-2</v>
      </c>
      <c r="I874" s="116">
        <f t="shared" si="126"/>
        <v>49.444600000000001</v>
      </c>
      <c r="J874" s="116">
        <f t="shared" si="127"/>
        <v>-1.7646000000000015</v>
      </c>
      <c r="K874" s="116">
        <f t="shared" si="128"/>
        <v>1.7646000000000015</v>
      </c>
      <c r="L874" s="116">
        <f t="shared" si="129"/>
        <v>3.1138131600000052</v>
      </c>
      <c r="M874" s="117">
        <f t="shared" si="125"/>
        <v>-3.7009228187919498E-2</v>
      </c>
    </row>
    <row r="875" spans="1:13">
      <c r="A875" s="112">
        <v>872</v>
      </c>
      <c r="B875" s="113">
        <v>42891</v>
      </c>
      <c r="C875" s="114">
        <v>47.4</v>
      </c>
      <c r="D875" s="115">
        <f t="shared" si="134"/>
        <v>48.633000000000003</v>
      </c>
      <c r="E875" s="115">
        <f t="shared" si="130"/>
        <v>-1.2330000000000041</v>
      </c>
      <c r="F875" s="115">
        <f t="shared" si="131"/>
        <v>1.2330000000000041</v>
      </c>
      <c r="G875" s="115">
        <f t="shared" si="132"/>
        <v>1.52028900000001</v>
      </c>
      <c r="H875" s="115">
        <f t="shared" si="133"/>
        <v>2.6012658227848189E-2</v>
      </c>
      <c r="I875" s="116">
        <f t="shared" si="126"/>
        <v>49.45239999999999</v>
      </c>
      <c r="J875" s="116">
        <f t="shared" si="127"/>
        <v>-2.0523999999999916</v>
      </c>
      <c r="K875" s="116">
        <f t="shared" si="128"/>
        <v>2.0523999999999916</v>
      </c>
      <c r="L875" s="116">
        <f t="shared" si="129"/>
        <v>4.2123457599999652</v>
      </c>
      <c r="M875" s="117">
        <f t="shared" si="125"/>
        <v>-4.3299578059071551E-2</v>
      </c>
    </row>
    <row r="876" spans="1:13">
      <c r="A876" s="112">
        <v>873</v>
      </c>
      <c r="B876" s="107">
        <v>42892</v>
      </c>
      <c r="C876" s="108">
        <v>48.13</v>
      </c>
      <c r="D876" s="115">
        <f t="shared" si="134"/>
        <v>48.691500000000005</v>
      </c>
      <c r="E876" s="115">
        <f t="shared" si="130"/>
        <v>-0.56150000000000233</v>
      </c>
      <c r="F876" s="115">
        <f t="shared" si="131"/>
        <v>0.56150000000000233</v>
      </c>
      <c r="G876" s="115">
        <f t="shared" si="132"/>
        <v>0.3152822500000026</v>
      </c>
      <c r="H876" s="115">
        <f t="shared" si="133"/>
        <v>1.1666320382297991E-2</v>
      </c>
      <c r="I876" s="116">
        <f t="shared" si="126"/>
        <v>49.460399999999993</v>
      </c>
      <c r="J876" s="116">
        <f t="shared" si="127"/>
        <v>-1.3303999999999903</v>
      </c>
      <c r="K876" s="116">
        <f t="shared" si="128"/>
        <v>1.3303999999999903</v>
      </c>
      <c r="L876" s="116">
        <f t="shared" si="129"/>
        <v>1.769964159999974</v>
      </c>
      <c r="M876" s="117">
        <f t="shared" si="125"/>
        <v>-2.7641803448992107E-2</v>
      </c>
    </row>
    <row r="877" spans="1:13">
      <c r="A877" s="112">
        <v>874</v>
      </c>
      <c r="B877" s="113">
        <v>42893</v>
      </c>
      <c r="C877" s="114">
        <v>45.8</v>
      </c>
      <c r="D877" s="115">
        <f t="shared" si="134"/>
        <v>48.774999999999999</v>
      </c>
      <c r="E877" s="115">
        <f t="shared" si="130"/>
        <v>-2.9750000000000014</v>
      </c>
      <c r="F877" s="115">
        <f t="shared" si="131"/>
        <v>2.9750000000000014</v>
      </c>
      <c r="G877" s="115">
        <f t="shared" si="132"/>
        <v>8.850625000000008</v>
      </c>
      <c r="H877" s="115">
        <f t="shared" si="133"/>
        <v>6.4956331877729298E-2</v>
      </c>
      <c r="I877" s="116">
        <f t="shared" si="126"/>
        <v>49.47699999999999</v>
      </c>
      <c r="J877" s="116">
        <f t="shared" si="127"/>
        <v>-3.6769999999999925</v>
      </c>
      <c r="K877" s="116">
        <f t="shared" si="128"/>
        <v>3.6769999999999925</v>
      </c>
      <c r="L877" s="116">
        <f t="shared" si="129"/>
        <v>13.520328999999945</v>
      </c>
      <c r="M877" s="117">
        <f t="shared" si="125"/>
        <v>-8.0283842794759669E-2</v>
      </c>
    </row>
    <row r="878" spans="1:13">
      <c r="A878" s="112">
        <v>875</v>
      </c>
      <c r="B878" s="107">
        <v>42894</v>
      </c>
      <c r="C878" s="108">
        <v>45.68</v>
      </c>
      <c r="D878" s="115">
        <f t="shared" si="134"/>
        <v>48.773000000000003</v>
      </c>
      <c r="E878" s="115">
        <f t="shared" si="130"/>
        <v>-3.0930000000000035</v>
      </c>
      <c r="F878" s="115">
        <f t="shared" si="131"/>
        <v>3.0930000000000035</v>
      </c>
      <c r="G878" s="115">
        <f t="shared" si="132"/>
        <v>9.5666490000000213</v>
      </c>
      <c r="H878" s="115">
        <f t="shared" si="133"/>
        <v>6.7710157618213737E-2</v>
      </c>
      <c r="I878" s="116">
        <f t="shared" si="126"/>
        <v>49.45259999999999</v>
      </c>
      <c r="J878" s="116">
        <f t="shared" si="127"/>
        <v>-3.77259999999999</v>
      </c>
      <c r="K878" s="116">
        <f t="shared" si="128"/>
        <v>3.77259999999999</v>
      </c>
      <c r="L878" s="116">
        <f t="shared" si="129"/>
        <v>14.232510759999924</v>
      </c>
      <c r="M878" s="117">
        <f t="shared" si="125"/>
        <v>-8.2587565674255473E-2</v>
      </c>
    </row>
    <row r="879" spans="1:13">
      <c r="A879" s="112">
        <v>876</v>
      </c>
      <c r="B879" s="113">
        <v>42895</v>
      </c>
      <c r="C879" s="114">
        <v>45.82</v>
      </c>
      <c r="D879" s="115">
        <f t="shared" si="134"/>
        <v>48.692999999999998</v>
      </c>
      <c r="E879" s="115">
        <f t="shared" si="130"/>
        <v>-2.8729999999999976</v>
      </c>
      <c r="F879" s="115">
        <f t="shared" si="131"/>
        <v>2.8729999999999976</v>
      </c>
      <c r="G879" s="115">
        <f t="shared" si="132"/>
        <v>8.2541289999999865</v>
      </c>
      <c r="H879" s="115">
        <f t="shared" si="133"/>
        <v>6.270187690964639E-2</v>
      </c>
      <c r="I879" s="116">
        <f t="shared" si="126"/>
        <v>49.398999999999994</v>
      </c>
      <c r="J879" s="116">
        <f t="shared" si="127"/>
        <v>-3.5789999999999935</v>
      </c>
      <c r="K879" s="116">
        <f t="shared" si="128"/>
        <v>3.5789999999999935</v>
      </c>
      <c r="L879" s="116">
        <f t="shared" si="129"/>
        <v>12.809240999999954</v>
      </c>
      <c r="M879" s="117">
        <f t="shared" si="125"/>
        <v>-7.8109995635093701E-2</v>
      </c>
    </row>
    <row r="880" spans="1:13">
      <c r="A880" s="112">
        <v>877</v>
      </c>
      <c r="B880" s="107">
        <v>42898</v>
      </c>
      <c r="C880" s="108">
        <v>46.1</v>
      </c>
      <c r="D880" s="115">
        <f t="shared" si="134"/>
        <v>48.593499999999992</v>
      </c>
      <c r="E880" s="115">
        <f t="shared" si="130"/>
        <v>-2.4934999999999903</v>
      </c>
      <c r="F880" s="115">
        <f t="shared" si="131"/>
        <v>2.4934999999999903</v>
      </c>
      <c r="G880" s="115">
        <f t="shared" si="132"/>
        <v>6.2175422499999513</v>
      </c>
      <c r="H880" s="115">
        <f t="shared" si="133"/>
        <v>5.4088937093275273E-2</v>
      </c>
      <c r="I880" s="116">
        <f t="shared" si="126"/>
        <v>49.325999999999993</v>
      </c>
      <c r="J880" s="116">
        <f t="shared" si="127"/>
        <v>-3.225999999999992</v>
      </c>
      <c r="K880" s="116">
        <f t="shared" si="128"/>
        <v>3.225999999999992</v>
      </c>
      <c r="L880" s="116">
        <f t="shared" si="129"/>
        <v>10.407075999999948</v>
      </c>
      <c r="M880" s="117">
        <f t="shared" si="125"/>
        <v>-6.9978308026030195E-2</v>
      </c>
    </row>
    <row r="881" spans="1:13">
      <c r="A881" s="112">
        <v>878</v>
      </c>
      <c r="B881" s="113">
        <v>42899</v>
      </c>
      <c r="C881" s="114">
        <v>46.41</v>
      </c>
      <c r="D881" s="115">
        <f t="shared" si="134"/>
        <v>48.506999999999991</v>
      </c>
      <c r="E881" s="115">
        <f t="shared" si="130"/>
        <v>-2.0969999999999942</v>
      </c>
      <c r="F881" s="115">
        <f t="shared" si="131"/>
        <v>2.0969999999999942</v>
      </c>
      <c r="G881" s="115">
        <f t="shared" si="132"/>
        <v>4.3974089999999757</v>
      </c>
      <c r="H881" s="115">
        <f t="shared" si="133"/>
        <v>4.5184227537168595E-2</v>
      </c>
      <c r="I881" s="116">
        <f t="shared" si="126"/>
        <v>49.241999999999997</v>
      </c>
      <c r="J881" s="116">
        <f t="shared" si="127"/>
        <v>-2.8320000000000007</v>
      </c>
      <c r="K881" s="116">
        <f t="shared" si="128"/>
        <v>2.8320000000000007</v>
      </c>
      <c r="L881" s="116">
        <f t="shared" si="129"/>
        <v>8.0202240000000042</v>
      </c>
      <c r="M881" s="117">
        <f t="shared" si="125"/>
        <v>-6.1021331609566923E-2</v>
      </c>
    </row>
    <row r="882" spans="1:13">
      <c r="A882" s="112">
        <v>879</v>
      </c>
      <c r="B882" s="107">
        <v>42900</v>
      </c>
      <c r="C882" s="108">
        <v>44.79</v>
      </c>
      <c r="D882" s="115">
        <f t="shared" si="134"/>
        <v>48.384499999999996</v>
      </c>
      <c r="E882" s="115">
        <f t="shared" si="130"/>
        <v>-3.5944999999999965</v>
      </c>
      <c r="F882" s="115">
        <f t="shared" si="131"/>
        <v>3.5944999999999965</v>
      </c>
      <c r="G882" s="115">
        <f t="shared" si="132"/>
        <v>12.920430249999974</v>
      </c>
      <c r="H882" s="115">
        <f t="shared" si="133"/>
        <v>8.0252288457244844E-2</v>
      </c>
      <c r="I882" s="116">
        <f t="shared" si="126"/>
        <v>49.159399999999984</v>
      </c>
      <c r="J882" s="116">
        <f t="shared" si="127"/>
        <v>-4.3693999999999846</v>
      </c>
      <c r="K882" s="116">
        <f t="shared" si="128"/>
        <v>4.3693999999999846</v>
      </c>
      <c r="L882" s="116">
        <f t="shared" si="129"/>
        <v>19.091656359999867</v>
      </c>
      <c r="M882" s="117">
        <f t="shared" si="125"/>
        <v>-9.7553025228845389E-2</v>
      </c>
    </row>
    <row r="883" spans="1:13">
      <c r="A883" s="112">
        <v>880</v>
      </c>
      <c r="B883" s="113">
        <v>42901</v>
      </c>
      <c r="C883" s="114">
        <v>44.47</v>
      </c>
      <c r="D883" s="115">
        <f t="shared" si="134"/>
        <v>48.191999999999993</v>
      </c>
      <c r="E883" s="115">
        <f t="shared" si="130"/>
        <v>-3.7219999999999942</v>
      </c>
      <c r="F883" s="115">
        <f t="shared" si="131"/>
        <v>3.7219999999999942</v>
      </c>
      <c r="G883" s="115">
        <f t="shared" si="132"/>
        <v>13.853283999999956</v>
      </c>
      <c r="H883" s="115">
        <f t="shared" si="133"/>
        <v>8.3696874297278942E-2</v>
      </c>
      <c r="I883" s="116">
        <f t="shared" si="126"/>
        <v>49.05019999999999</v>
      </c>
      <c r="J883" s="116">
        <f t="shared" si="127"/>
        <v>-4.5801999999999907</v>
      </c>
      <c r="K883" s="116">
        <f t="shared" si="128"/>
        <v>4.5801999999999907</v>
      </c>
      <c r="L883" s="116">
        <f t="shared" si="129"/>
        <v>20.978232039999916</v>
      </c>
      <c r="M883" s="117">
        <f t="shared" si="125"/>
        <v>-0.10299527771531349</v>
      </c>
    </row>
    <row r="884" spans="1:13">
      <c r="A884" s="112">
        <v>881</v>
      </c>
      <c r="B884" s="107">
        <v>42902</v>
      </c>
      <c r="C884" s="108">
        <v>44.73</v>
      </c>
      <c r="D884" s="115">
        <f t="shared" si="134"/>
        <v>47.963499999999996</v>
      </c>
      <c r="E884" s="115">
        <f t="shared" si="130"/>
        <v>-3.2334999999999994</v>
      </c>
      <c r="F884" s="115">
        <f t="shared" si="131"/>
        <v>3.2334999999999994</v>
      </c>
      <c r="G884" s="115">
        <f t="shared" si="132"/>
        <v>10.455522249999996</v>
      </c>
      <c r="H884" s="115">
        <f t="shared" si="133"/>
        <v>7.2289291303375802E-2</v>
      </c>
      <c r="I884" s="116">
        <f t="shared" si="126"/>
        <v>48.919799999999988</v>
      </c>
      <c r="J884" s="116">
        <f t="shared" si="127"/>
        <v>-4.1897999999999911</v>
      </c>
      <c r="K884" s="116">
        <f t="shared" si="128"/>
        <v>4.1897999999999911</v>
      </c>
      <c r="L884" s="116">
        <f t="shared" si="129"/>
        <v>17.554424039999926</v>
      </c>
      <c r="M884" s="117">
        <f t="shared" si="125"/>
        <v>-9.3668678739101077E-2</v>
      </c>
    </row>
    <row r="885" spans="1:13">
      <c r="A885" s="112">
        <v>882</v>
      </c>
      <c r="B885" s="113">
        <v>42905</v>
      </c>
      <c r="C885" s="114">
        <v>44.24</v>
      </c>
      <c r="D885" s="115">
        <f t="shared" si="134"/>
        <v>47.731999999999999</v>
      </c>
      <c r="E885" s="115">
        <f t="shared" si="130"/>
        <v>-3.4919999999999973</v>
      </c>
      <c r="F885" s="115">
        <f t="shared" si="131"/>
        <v>3.4919999999999973</v>
      </c>
      <c r="G885" s="115">
        <f t="shared" si="132"/>
        <v>12.194063999999981</v>
      </c>
      <c r="H885" s="115">
        <f t="shared" si="133"/>
        <v>7.8933092224231408E-2</v>
      </c>
      <c r="I885" s="116">
        <f t="shared" si="126"/>
        <v>48.791599999999981</v>
      </c>
      <c r="J885" s="116">
        <f t="shared" si="127"/>
        <v>-4.5515999999999792</v>
      </c>
      <c r="K885" s="116">
        <f t="shared" si="128"/>
        <v>4.5515999999999792</v>
      </c>
      <c r="L885" s="116">
        <f t="shared" si="129"/>
        <v>20.71706255999981</v>
      </c>
      <c r="M885" s="117">
        <f t="shared" si="125"/>
        <v>-0.1028842676311026</v>
      </c>
    </row>
    <row r="886" spans="1:13">
      <c r="A886" s="112">
        <v>883</v>
      </c>
      <c r="B886" s="107">
        <v>42906</v>
      </c>
      <c r="C886" s="108">
        <v>43.34</v>
      </c>
      <c r="D886" s="115">
        <f t="shared" si="134"/>
        <v>47.427999999999997</v>
      </c>
      <c r="E886" s="115">
        <f t="shared" si="130"/>
        <v>-4.0879999999999939</v>
      </c>
      <c r="F886" s="115">
        <f t="shared" si="131"/>
        <v>4.0879999999999939</v>
      </c>
      <c r="G886" s="115">
        <f t="shared" si="132"/>
        <v>16.71174399999995</v>
      </c>
      <c r="H886" s="115">
        <f t="shared" si="133"/>
        <v>9.4323950161513459E-2</v>
      </c>
      <c r="I886" s="116">
        <f t="shared" si="126"/>
        <v>48.642599999999987</v>
      </c>
      <c r="J886" s="116">
        <f t="shared" si="127"/>
        <v>-5.302599999999984</v>
      </c>
      <c r="K886" s="116">
        <f t="shared" si="128"/>
        <v>5.302599999999984</v>
      </c>
      <c r="L886" s="116">
        <f t="shared" si="129"/>
        <v>28.117566759999832</v>
      </c>
      <c r="M886" s="117">
        <f t="shared" si="125"/>
        <v>-0.12234886940470659</v>
      </c>
    </row>
    <row r="887" spans="1:13">
      <c r="A887" s="112">
        <v>884</v>
      </c>
      <c r="B887" s="113">
        <v>42907</v>
      </c>
      <c r="C887" s="114">
        <v>42.48</v>
      </c>
      <c r="D887" s="115">
        <f t="shared" si="134"/>
        <v>47.054500000000004</v>
      </c>
      <c r="E887" s="115">
        <f t="shared" si="130"/>
        <v>-4.5745000000000076</v>
      </c>
      <c r="F887" s="115">
        <f t="shared" si="131"/>
        <v>4.5745000000000076</v>
      </c>
      <c r="G887" s="115">
        <f t="shared" si="132"/>
        <v>20.92605025000007</v>
      </c>
      <c r="H887" s="115">
        <f t="shared" si="133"/>
        <v>0.10768596986817344</v>
      </c>
      <c r="I887" s="116">
        <f t="shared" si="126"/>
        <v>48.464399999999983</v>
      </c>
      <c r="J887" s="116">
        <f t="shared" si="127"/>
        <v>-5.9843999999999866</v>
      </c>
      <c r="K887" s="116">
        <f t="shared" si="128"/>
        <v>5.9843999999999866</v>
      </c>
      <c r="L887" s="116">
        <f t="shared" si="129"/>
        <v>35.813043359999838</v>
      </c>
      <c r="M887" s="117">
        <f t="shared" ref="M887:M950" si="135">J887/C887</f>
        <v>-0.14087570621468895</v>
      </c>
    </row>
    <row r="888" spans="1:13">
      <c r="A888" s="112">
        <v>885</v>
      </c>
      <c r="B888" s="107">
        <v>42908</v>
      </c>
      <c r="C888" s="108">
        <v>42.53</v>
      </c>
      <c r="D888" s="115">
        <f t="shared" si="134"/>
        <v>46.622500000000002</v>
      </c>
      <c r="E888" s="115">
        <f t="shared" si="130"/>
        <v>-4.0925000000000011</v>
      </c>
      <c r="F888" s="115">
        <f t="shared" si="131"/>
        <v>4.0925000000000011</v>
      </c>
      <c r="G888" s="115">
        <f t="shared" si="132"/>
        <v>16.748556250000011</v>
      </c>
      <c r="H888" s="115">
        <f t="shared" si="133"/>
        <v>9.6226193275335076E-2</v>
      </c>
      <c r="I888" s="116">
        <f t="shared" ref="I888:I951" si="136">AVERAGE(C838:C887)</f>
        <v>48.252799999999986</v>
      </c>
      <c r="J888" s="116">
        <f t="shared" ref="J888:J951" si="137">C888-I888</f>
        <v>-5.7227999999999852</v>
      </c>
      <c r="K888" s="116">
        <f t="shared" ref="K888:K951" si="138">ABS(J888)</f>
        <v>5.7227999999999852</v>
      </c>
      <c r="L888" s="116">
        <f t="shared" ref="L888:L951" si="139">J888^2</f>
        <v>32.750439839999828</v>
      </c>
      <c r="M888" s="117">
        <f t="shared" si="135"/>
        <v>-0.13455913472842665</v>
      </c>
    </row>
    <row r="889" spans="1:13">
      <c r="A889" s="112">
        <v>886</v>
      </c>
      <c r="B889" s="113">
        <v>42909</v>
      </c>
      <c r="C889" s="114">
        <v>42.86</v>
      </c>
      <c r="D889" s="115">
        <f t="shared" si="134"/>
        <v>46.1995</v>
      </c>
      <c r="E889" s="115">
        <f t="shared" si="130"/>
        <v>-3.339500000000001</v>
      </c>
      <c r="F889" s="115">
        <f t="shared" si="131"/>
        <v>3.339500000000001</v>
      </c>
      <c r="G889" s="115">
        <f t="shared" si="132"/>
        <v>11.152260250000007</v>
      </c>
      <c r="H889" s="115">
        <f t="shared" si="133"/>
        <v>7.7916472235184345E-2</v>
      </c>
      <c r="I889" s="116">
        <f t="shared" si="136"/>
        <v>48.035799999999988</v>
      </c>
      <c r="J889" s="116">
        <f t="shared" si="137"/>
        <v>-5.1757999999999882</v>
      </c>
      <c r="K889" s="116">
        <f t="shared" si="138"/>
        <v>5.1757999999999882</v>
      </c>
      <c r="L889" s="116">
        <f t="shared" si="139"/>
        <v>26.788905639999879</v>
      </c>
      <c r="M889" s="117">
        <f t="shared" si="135"/>
        <v>-0.12076061595893579</v>
      </c>
    </row>
    <row r="890" spans="1:13">
      <c r="A890" s="112">
        <v>887</v>
      </c>
      <c r="B890" s="107">
        <v>42912</v>
      </c>
      <c r="C890" s="108">
        <v>43.24</v>
      </c>
      <c r="D890" s="115">
        <f t="shared" si="134"/>
        <v>45.914000000000001</v>
      </c>
      <c r="E890" s="115">
        <f t="shared" si="130"/>
        <v>-2.6739999999999995</v>
      </c>
      <c r="F890" s="115">
        <f t="shared" si="131"/>
        <v>2.6739999999999995</v>
      </c>
      <c r="G890" s="115">
        <f t="shared" si="132"/>
        <v>7.1502759999999972</v>
      </c>
      <c r="H890" s="115">
        <f t="shared" si="133"/>
        <v>6.1840888066604982E-2</v>
      </c>
      <c r="I890" s="116">
        <f t="shared" si="136"/>
        <v>47.830599999999997</v>
      </c>
      <c r="J890" s="116">
        <f t="shared" si="137"/>
        <v>-4.5905999999999949</v>
      </c>
      <c r="K890" s="116">
        <f t="shared" si="138"/>
        <v>4.5905999999999949</v>
      </c>
      <c r="L890" s="116">
        <f t="shared" si="139"/>
        <v>21.073608359999952</v>
      </c>
      <c r="M890" s="117">
        <f t="shared" si="135"/>
        <v>-0.10616558741905631</v>
      </c>
    </row>
    <row r="891" spans="1:13">
      <c r="A891" s="112">
        <v>888</v>
      </c>
      <c r="B891" s="113">
        <v>42913</v>
      </c>
      <c r="C891" s="114">
        <v>44.25</v>
      </c>
      <c r="D891" s="115">
        <f t="shared" si="134"/>
        <v>45.597000000000008</v>
      </c>
      <c r="E891" s="115">
        <f t="shared" si="130"/>
        <v>-1.3470000000000084</v>
      </c>
      <c r="F891" s="115">
        <f t="shared" si="131"/>
        <v>1.3470000000000084</v>
      </c>
      <c r="G891" s="115">
        <f t="shared" si="132"/>
        <v>1.8144090000000226</v>
      </c>
      <c r="H891" s="115">
        <f t="shared" si="133"/>
        <v>3.0440677966101885E-2</v>
      </c>
      <c r="I891" s="116">
        <f t="shared" si="136"/>
        <v>47.631599999999999</v>
      </c>
      <c r="J891" s="116">
        <f t="shared" si="137"/>
        <v>-3.3815999999999988</v>
      </c>
      <c r="K891" s="116">
        <f t="shared" si="138"/>
        <v>3.3815999999999988</v>
      </c>
      <c r="L891" s="116">
        <f t="shared" si="139"/>
        <v>11.435218559999992</v>
      </c>
      <c r="M891" s="117">
        <f t="shared" si="135"/>
        <v>-7.6420338983050826E-2</v>
      </c>
    </row>
    <row r="892" spans="1:13">
      <c r="A892" s="112">
        <v>889</v>
      </c>
      <c r="B892" s="107">
        <v>42914</v>
      </c>
      <c r="C892" s="108">
        <v>44.74</v>
      </c>
      <c r="D892" s="115">
        <f t="shared" si="134"/>
        <v>45.328000000000003</v>
      </c>
      <c r="E892" s="115">
        <f t="shared" si="130"/>
        <v>-0.58800000000000097</v>
      </c>
      <c r="F892" s="115">
        <f t="shared" si="131"/>
        <v>0.58800000000000097</v>
      </c>
      <c r="G892" s="115">
        <f t="shared" si="132"/>
        <v>0.34574400000000116</v>
      </c>
      <c r="H892" s="115">
        <f t="shared" si="133"/>
        <v>1.3142601698703642E-2</v>
      </c>
      <c r="I892" s="116">
        <f t="shared" si="136"/>
        <v>47.464199999999998</v>
      </c>
      <c r="J892" s="116">
        <f t="shared" si="137"/>
        <v>-2.7241999999999962</v>
      </c>
      <c r="K892" s="116">
        <f t="shared" si="138"/>
        <v>2.7241999999999962</v>
      </c>
      <c r="L892" s="116">
        <f t="shared" si="139"/>
        <v>7.4212656399999792</v>
      </c>
      <c r="M892" s="117">
        <f t="shared" si="135"/>
        <v>-6.0889584264640056E-2</v>
      </c>
    </row>
    <row r="893" spans="1:13">
      <c r="A893" s="112">
        <v>890</v>
      </c>
      <c r="B893" s="113">
        <v>42915</v>
      </c>
      <c r="C893" s="114">
        <v>44.88</v>
      </c>
      <c r="D893" s="115">
        <f t="shared" si="134"/>
        <v>45.150500000000008</v>
      </c>
      <c r="E893" s="115">
        <f t="shared" si="130"/>
        <v>-0.27050000000000551</v>
      </c>
      <c r="F893" s="115">
        <f t="shared" si="131"/>
        <v>0.27050000000000551</v>
      </c>
      <c r="G893" s="115">
        <f t="shared" si="132"/>
        <v>7.317025000000299E-2</v>
      </c>
      <c r="H893" s="115">
        <f t="shared" si="133"/>
        <v>6.0271836007131348E-3</v>
      </c>
      <c r="I893" s="116">
        <f t="shared" si="136"/>
        <v>47.309799999999996</v>
      </c>
      <c r="J893" s="116">
        <f t="shared" si="137"/>
        <v>-2.4297999999999931</v>
      </c>
      <c r="K893" s="116">
        <f t="shared" si="138"/>
        <v>2.4297999999999931</v>
      </c>
      <c r="L893" s="116">
        <f t="shared" si="139"/>
        <v>5.9039280399999665</v>
      </c>
      <c r="M893" s="117">
        <f t="shared" si="135"/>
        <v>-5.4139928698752074E-2</v>
      </c>
    </row>
    <row r="894" spans="1:13">
      <c r="A894" s="112">
        <v>891</v>
      </c>
      <c r="B894" s="107">
        <v>42916</v>
      </c>
      <c r="C894" s="108">
        <v>46.02</v>
      </c>
      <c r="D894" s="115">
        <f t="shared" si="134"/>
        <v>44.978500000000004</v>
      </c>
      <c r="E894" s="115">
        <f t="shared" si="130"/>
        <v>1.0414999999999992</v>
      </c>
      <c r="F894" s="115">
        <f t="shared" si="131"/>
        <v>1.0414999999999992</v>
      </c>
      <c r="G894" s="115">
        <f t="shared" si="132"/>
        <v>1.0847222499999984</v>
      </c>
      <c r="H894" s="115">
        <f t="shared" si="133"/>
        <v>2.2631464580617103E-2</v>
      </c>
      <c r="I894" s="116">
        <f t="shared" si="136"/>
        <v>47.197600000000001</v>
      </c>
      <c r="J894" s="116">
        <f t="shared" si="137"/>
        <v>-1.1775999999999982</v>
      </c>
      <c r="K894" s="116">
        <f t="shared" si="138"/>
        <v>1.1775999999999982</v>
      </c>
      <c r="L894" s="116">
        <f t="shared" si="139"/>
        <v>1.3867417599999958</v>
      </c>
      <c r="M894" s="117">
        <f t="shared" si="135"/>
        <v>-2.5588874402433685E-2</v>
      </c>
    </row>
    <row r="895" spans="1:13">
      <c r="A895" s="112">
        <v>892</v>
      </c>
      <c r="B895" s="113">
        <v>42919</v>
      </c>
      <c r="C895" s="114">
        <v>46.02</v>
      </c>
      <c r="D895" s="115">
        <f t="shared" si="134"/>
        <v>44.895500000000006</v>
      </c>
      <c r="E895" s="115">
        <f t="shared" si="130"/>
        <v>1.1244999999999976</v>
      </c>
      <c r="F895" s="115">
        <f t="shared" si="131"/>
        <v>1.1244999999999976</v>
      </c>
      <c r="G895" s="115">
        <f t="shared" si="132"/>
        <v>1.2645002499999947</v>
      </c>
      <c r="H895" s="115">
        <f t="shared" si="133"/>
        <v>2.4435028248587516E-2</v>
      </c>
      <c r="I895" s="116">
        <f t="shared" si="136"/>
        <v>47.1128</v>
      </c>
      <c r="J895" s="116">
        <f t="shared" si="137"/>
        <v>-1.0927999999999969</v>
      </c>
      <c r="K895" s="116">
        <f t="shared" si="138"/>
        <v>1.0927999999999969</v>
      </c>
      <c r="L895" s="116">
        <f t="shared" si="139"/>
        <v>1.1942118399999933</v>
      </c>
      <c r="M895" s="117">
        <f t="shared" si="135"/>
        <v>-2.374619730551927E-2</v>
      </c>
    </row>
    <row r="896" spans="1:13">
      <c r="A896" s="112">
        <v>893</v>
      </c>
      <c r="B896" s="107">
        <v>42921</v>
      </c>
      <c r="C896" s="108">
        <v>45.11</v>
      </c>
      <c r="D896" s="115">
        <f t="shared" si="134"/>
        <v>44.826500000000003</v>
      </c>
      <c r="E896" s="115">
        <f t="shared" si="130"/>
        <v>0.28349999999999653</v>
      </c>
      <c r="F896" s="115">
        <f t="shared" si="131"/>
        <v>0.28349999999999653</v>
      </c>
      <c r="G896" s="115">
        <f t="shared" si="132"/>
        <v>8.0372249999998036E-2</v>
      </c>
      <c r="H896" s="115">
        <f t="shared" si="133"/>
        <v>6.284637552649003E-3</v>
      </c>
      <c r="I896" s="116">
        <f t="shared" si="136"/>
        <v>47.040399999999991</v>
      </c>
      <c r="J896" s="116">
        <f t="shared" si="137"/>
        <v>-1.9303999999999917</v>
      </c>
      <c r="K896" s="116">
        <f t="shared" si="138"/>
        <v>1.9303999999999917</v>
      </c>
      <c r="L896" s="116">
        <f t="shared" si="139"/>
        <v>3.7264441599999678</v>
      </c>
      <c r="M896" s="117">
        <f t="shared" si="135"/>
        <v>-4.2793172245621632E-2</v>
      </c>
    </row>
    <row r="897" spans="1:13">
      <c r="A897" s="112">
        <v>894</v>
      </c>
      <c r="B897" s="113">
        <v>42922</v>
      </c>
      <c r="C897" s="114">
        <v>45.52</v>
      </c>
      <c r="D897" s="115">
        <f t="shared" si="134"/>
        <v>44.6755</v>
      </c>
      <c r="E897" s="115">
        <f t="shared" si="130"/>
        <v>0.84450000000000358</v>
      </c>
      <c r="F897" s="115">
        <f t="shared" si="131"/>
        <v>0.84450000000000358</v>
      </c>
      <c r="G897" s="115">
        <f t="shared" si="132"/>
        <v>0.71318025000000607</v>
      </c>
      <c r="H897" s="115">
        <f t="shared" si="133"/>
        <v>1.8552284710017651E-2</v>
      </c>
      <c r="I897" s="116">
        <f t="shared" si="136"/>
        <v>46.964599999999997</v>
      </c>
      <c r="J897" s="116">
        <f t="shared" si="137"/>
        <v>-1.4445999999999941</v>
      </c>
      <c r="K897" s="116">
        <f t="shared" si="138"/>
        <v>1.4445999999999941</v>
      </c>
      <c r="L897" s="116">
        <f t="shared" si="139"/>
        <v>2.0868691599999831</v>
      </c>
      <c r="M897" s="117">
        <f t="shared" si="135"/>
        <v>-3.1735500878734488E-2</v>
      </c>
    </row>
    <row r="898" spans="1:13">
      <c r="A898" s="112">
        <v>895</v>
      </c>
      <c r="B898" s="107">
        <v>42923</v>
      </c>
      <c r="C898" s="108">
        <v>44.25</v>
      </c>
      <c r="D898" s="115">
        <f t="shared" si="134"/>
        <v>44.661500000000004</v>
      </c>
      <c r="E898" s="115">
        <f t="shared" si="130"/>
        <v>-0.41150000000000375</v>
      </c>
      <c r="F898" s="115">
        <f t="shared" si="131"/>
        <v>0.41150000000000375</v>
      </c>
      <c r="G898" s="115">
        <f t="shared" si="132"/>
        <v>0.1693322500000031</v>
      </c>
      <c r="H898" s="115">
        <f t="shared" si="133"/>
        <v>9.2994350282486725E-3</v>
      </c>
      <c r="I898" s="116">
        <f t="shared" si="136"/>
        <v>46.890600000000006</v>
      </c>
      <c r="J898" s="116">
        <f t="shared" si="137"/>
        <v>-2.6406000000000063</v>
      </c>
      <c r="K898" s="116">
        <f t="shared" si="138"/>
        <v>2.6406000000000063</v>
      </c>
      <c r="L898" s="116">
        <f t="shared" si="139"/>
        <v>6.9727683600000328</v>
      </c>
      <c r="M898" s="117">
        <f t="shared" si="135"/>
        <v>-5.967457627118658E-2</v>
      </c>
    </row>
    <row r="899" spans="1:13">
      <c r="A899" s="112">
        <v>896</v>
      </c>
      <c r="B899" s="113">
        <v>42926</v>
      </c>
      <c r="C899" s="114">
        <v>44.4</v>
      </c>
      <c r="D899" s="115">
        <f t="shared" si="134"/>
        <v>44.589999999999996</v>
      </c>
      <c r="E899" s="115">
        <f t="shared" si="130"/>
        <v>-0.18999999999999773</v>
      </c>
      <c r="F899" s="115">
        <f t="shared" si="131"/>
        <v>0.18999999999999773</v>
      </c>
      <c r="G899" s="115">
        <f t="shared" si="132"/>
        <v>3.6099999999999133E-2</v>
      </c>
      <c r="H899" s="115">
        <f t="shared" si="133"/>
        <v>4.2792792792792286E-3</v>
      </c>
      <c r="I899" s="116">
        <f t="shared" si="136"/>
        <v>46.791200000000011</v>
      </c>
      <c r="J899" s="116">
        <f t="shared" si="137"/>
        <v>-2.391200000000012</v>
      </c>
      <c r="K899" s="116">
        <f t="shared" si="138"/>
        <v>2.391200000000012</v>
      </c>
      <c r="L899" s="116">
        <f t="shared" si="139"/>
        <v>5.7178374400000571</v>
      </c>
      <c r="M899" s="117">
        <f t="shared" si="135"/>
        <v>-5.385585585585613E-2</v>
      </c>
    </row>
    <row r="900" spans="1:13">
      <c r="A900" s="112">
        <v>897</v>
      </c>
      <c r="B900" s="107">
        <v>42927</v>
      </c>
      <c r="C900" s="108">
        <v>45.06</v>
      </c>
      <c r="D900" s="115">
        <f t="shared" si="134"/>
        <v>44.518999999999991</v>
      </c>
      <c r="E900" s="115">
        <f t="shared" si="130"/>
        <v>0.54100000000001103</v>
      </c>
      <c r="F900" s="115">
        <f t="shared" si="131"/>
        <v>0.54100000000001103</v>
      </c>
      <c r="G900" s="115">
        <f t="shared" si="132"/>
        <v>0.29268100000001196</v>
      </c>
      <c r="H900" s="115">
        <f t="shared" si="133"/>
        <v>1.2006213936973169E-2</v>
      </c>
      <c r="I900" s="116">
        <f t="shared" si="136"/>
        <v>46.7</v>
      </c>
      <c r="J900" s="116">
        <f t="shared" si="137"/>
        <v>-1.6400000000000006</v>
      </c>
      <c r="K900" s="116">
        <f t="shared" si="138"/>
        <v>1.6400000000000006</v>
      </c>
      <c r="L900" s="116">
        <f t="shared" si="139"/>
        <v>2.6896000000000018</v>
      </c>
      <c r="M900" s="117">
        <f t="shared" si="135"/>
        <v>-3.6395916555703518E-2</v>
      </c>
    </row>
    <row r="901" spans="1:13">
      <c r="A901" s="112">
        <v>898</v>
      </c>
      <c r="B901" s="113">
        <v>42928</v>
      </c>
      <c r="C901" s="114">
        <v>45.48</v>
      </c>
      <c r="D901" s="115">
        <f t="shared" si="134"/>
        <v>44.466999999999999</v>
      </c>
      <c r="E901" s="115">
        <f t="shared" si="130"/>
        <v>1.0129999999999981</v>
      </c>
      <c r="F901" s="115">
        <f t="shared" si="131"/>
        <v>1.0129999999999981</v>
      </c>
      <c r="G901" s="115">
        <f t="shared" si="132"/>
        <v>1.0261689999999961</v>
      </c>
      <c r="H901" s="115">
        <f t="shared" si="133"/>
        <v>2.2273526824977973E-2</v>
      </c>
      <c r="I901" s="116">
        <f t="shared" si="136"/>
        <v>46.615000000000009</v>
      </c>
      <c r="J901" s="116">
        <f t="shared" si="137"/>
        <v>-1.1350000000000122</v>
      </c>
      <c r="K901" s="116">
        <f t="shared" si="138"/>
        <v>1.1350000000000122</v>
      </c>
      <c r="L901" s="116">
        <f t="shared" si="139"/>
        <v>1.2882250000000277</v>
      </c>
      <c r="M901" s="117">
        <f t="shared" si="135"/>
        <v>-2.4956024626209595E-2</v>
      </c>
    </row>
    <row r="902" spans="1:13">
      <c r="A902" s="112">
        <v>899</v>
      </c>
      <c r="B902" s="107">
        <v>42929</v>
      </c>
      <c r="C902" s="108">
        <v>46.06</v>
      </c>
      <c r="D902" s="115">
        <f t="shared" si="134"/>
        <v>44.420500000000004</v>
      </c>
      <c r="E902" s="115">
        <f t="shared" si="130"/>
        <v>1.6394999999999982</v>
      </c>
      <c r="F902" s="115">
        <f t="shared" si="131"/>
        <v>1.6394999999999982</v>
      </c>
      <c r="G902" s="115">
        <f t="shared" si="132"/>
        <v>2.6879602499999939</v>
      </c>
      <c r="H902" s="115">
        <f t="shared" si="133"/>
        <v>3.5594876248371647E-2</v>
      </c>
      <c r="I902" s="116">
        <f t="shared" si="136"/>
        <v>46.548000000000009</v>
      </c>
      <c r="J902" s="116">
        <f t="shared" si="137"/>
        <v>-0.48800000000000665</v>
      </c>
      <c r="K902" s="116">
        <f t="shared" si="138"/>
        <v>0.48800000000000665</v>
      </c>
      <c r="L902" s="116">
        <f t="shared" si="139"/>
        <v>0.23814400000000649</v>
      </c>
      <c r="M902" s="117">
        <f t="shared" si="135"/>
        <v>-1.0594876248371833E-2</v>
      </c>
    </row>
    <row r="903" spans="1:13">
      <c r="A903" s="112">
        <v>900</v>
      </c>
      <c r="B903" s="113">
        <v>42930</v>
      </c>
      <c r="C903" s="114">
        <v>46.53</v>
      </c>
      <c r="D903" s="115">
        <f t="shared" si="134"/>
        <v>44.483999999999995</v>
      </c>
      <c r="E903" s="115">
        <f t="shared" si="130"/>
        <v>2.0460000000000065</v>
      </c>
      <c r="F903" s="115">
        <f t="shared" si="131"/>
        <v>2.0460000000000065</v>
      </c>
      <c r="G903" s="115">
        <f t="shared" si="132"/>
        <v>4.1861160000000268</v>
      </c>
      <c r="H903" s="115">
        <f t="shared" si="133"/>
        <v>4.3971631205673899E-2</v>
      </c>
      <c r="I903" s="116">
        <f t="shared" si="136"/>
        <v>46.516199999999998</v>
      </c>
      <c r="J903" s="116">
        <f t="shared" si="137"/>
        <v>1.3800000000003365E-2</v>
      </c>
      <c r="K903" s="116">
        <f t="shared" si="138"/>
        <v>1.3800000000003365E-2</v>
      </c>
      <c r="L903" s="116">
        <f t="shared" si="139"/>
        <v>1.9044000000009289E-4</v>
      </c>
      <c r="M903" s="117">
        <f t="shared" si="135"/>
        <v>2.9658284977441147E-4</v>
      </c>
    </row>
    <row r="904" spans="1:13">
      <c r="A904" s="112">
        <v>901</v>
      </c>
      <c r="B904" s="107">
        <v>42933</v>
      </c>
      <c r="C904" s="108">
        <v>46.02</v>
      </c>
      <c r="D904" s="115">
        <f t="shared" si="134"/>
        <v>44.587000000000003</v>
      </c>
      <c r="E904" s="115">
        <f t="shared" si="130"/>
        <v>1.4329999999999998</v>
      </c>
      <c r="F904" s="115">
        <f t="shared" si="131"/>
        <v>1.4329999999999998</v>
      </c>
      <c r="G904" s="115">
        <f t="shared" si="132"/>
        <v>2.0534889999999995</v>
      </c>
      <c r="H904" s="115">
        <f t="shared" si="133"/>
        <v>3.1138635375923505E-2</v>
      </c>
      <c r="I904" s="116">
        <f t="shared" si="136"/>
        <v>46.491000000000007</v>
      </c>
      <c r="J904" s="116">
        <f t="shared" si="137"/>
        <v>-0.47100000000000364</v>
      </c>
      <c r="K904" s="116">
        <f t="shared" si="138"/>
        <v>0.47100000000000364</v>
      </c>
      <c r="L904" s="116">
        <f t="shared" si="139"/>
        <v>0.22184100000000342</v>
      </c>
      <c r="M904" s="117">
        <f t="shared" si="135"/>
        <v>-1.0234680573663703E-2</v>
      </c>
    </row>
    <row r="905" spans="1:13">
      <c r="A905" s="112">
        <v>902</v>
      </c>
      <c r="B905" s="113">
        <v>42934</v>
      </c>
      <c r="C905" s="114">
        <v>46.4</v>
      </c>
      <c r="D905" s="115">
        <f t="shared" si="134"/>
        <v>44.651499999999984</v>
      </c>
      <c r="E905" s="115">
        <f t="shared" si="130"/>
        <v>1.7485000000000142</v>
      </c>
      <c r="F905" s="115">
        <f t="shared" si="131"/>
        <v>1.7485000000000142</v>
      </c>
      <c r="G905" s="115">
        <f t="shared" si="132"/>
        <v>3.0572522500000496</v>
      </c>
      <c r="H905" s="115">
        <f t="shared" si="133"/>
        <v>3.7683189655172721E-2</v>
      </c>
      <c r="I905" s="116">
        <f t="shared" si="136"/>
        <v>46.500399999999999</v>
      </c>
      <c r="J905" s="116">
        <f t="shared" si="137"/>
        <v>-0.10040000000000049</v>
      </c>
      <c r="K905" s="116">
        <f t="shared" si="138"/>
        <v>0.10040000000000049</v>
      </c>
      <c r="L905" s="116">
        <f t="shared" si="139"/>
        <v>1.0080160000000098E-2</v>
      </c>
      <c r="M905" s="117">
        <f t="shared" si="135"/>
        <v>-2.1637931034482866E-3</v>
      </c>
    </row>
    <row r="906" spans="1:13">
      <c r="A906" s="112">
        <v>903</v>
      </c>
      <c r="B906" s="107">
        <v>42935</v>
      </c>
      <c r="C906" s="108">
        <v>47.1</v>
      </c>
      <c r="D906" s="115">
        <f t="shared" si="134"/>
        <v>44.759499999999996</v>
      </c>
      <c r="E906" s="115">
        <f t="shared" si="130"/>
        <v>2.3405000000000058</v>
      </c>
      <c r="F906" s="115">
        <f t="shared" si="131"/>
        <v>2.3405000000000058</v>
      </c>
      <c r="G906" s="115">
        <f t="shared" si="132"/>
        <v>5.4779402500000272</v>
      </c>
      <c r="H906" s="115">
        <f t="shared" si="133"/>
        <v>4.9692144373673156E-2</v>
      </c>
      <c r="I906" s="116">
        <f t="shared" si="136"/>
        <v>46.503799999999998</v>
      </c>
      <c r="J906" s="116">
        <f t="shared" si="137"/>
        <v>0.59620000000000317</v>
      </c>
      <c r="K906" s="116">
        <f t="shared" si="138"/>
        <v>0.59620000000000317</v>
      </c>
      <c r="L906" s="116">
        <f t="shared" si="139"/>
        <v>0.35545444000000376</v>
      </c>
      <c r="M906" s="117">
        <f t="shared" si="135"/>
        <v>1.265817409766461E-2</v>
      </c>
    </row>
    <row r="907" spans="1:13">
      <c r="A907" s="112">
        <v>904</v>
      </c>
      <c r="B907" s="113">
        <v>42936</v>
      </c>
      <c r="C907" s="114">
        <v>46.73</v>
      </c>
      <c r="D907" s="115">
        <f t="shared" si="134"/>
        <v>44.947499999999991</v>
      </c>
      <c r="E907" s="115">
        <f t="shared" si="130"/>
        <v>1.782500000000006</v>
      </c>
      <c r="F907" s="115">
        <f t="shared" si="131"/>
        <v>1.782500000000006</v>
      </c>
      <c r="G907" s="115">
        <f t="shared" si="132"/>
        <v>3.1773062500000213</v>
      </c>
      <c r="H907" s="115">
        <f t="shared" si="133"/>
        <v>3.8144660817462143E-2</v>
      </c>
      <c r="I907" s="116">
        <f t="shared" si="136"/>
        <v>46.516599999999997</v>
      </c>
      <c r="J907" s="116">
        <f t="shared" si="137"/>
        <v>0.21340000000000003</v>
      </c>
      <c r="K907" s="116">
        <f t="shared" si="138"/>
        <v>0.21340000000000003</v>
      </c>
      <c r="L907" s="116">
        <f t="shared" si="139"/>
        <v>4.5539560000000014E-2</v>
      </c>
      <c r="M907" s="117">
        <f t="shared" si="135"/>
        <v>4.5666595334902639E-3</v>
      </c>
    </row>
    <row r="908" spans="1:13">
      <c r="A908" s="112">
        <v>905</v>
      </c>
      <c r="B908" s="107">
        <v>42937</v>
      </c>
      <c r="C908" s="108">
        <v>45.78</v>
      </c>
      <c r="D908" s="115">
        <f t="shared" si="134"/>
        <v>45.159999999999989</v>
      </c>
      <c r="E908" s="115">
        <f t="shared" si="130"/>
        <v>0.62000000000001165</v>
      </c>
      <c r="F908" s="115">
        <f t="shared" si="131"/>
        <v>0.62000000000001165</v>
      </c>
      <c r="G908" s="115">
        <f t="shared" si="132"/>
        <v>0.38440000000001445</v>
      </c>
      <c r="H908" s="115">
        <f t="shared" si="133"/>
        <v>1.3543031891656E-2</v>
      </c>
      <c r="I908" s="116">
        <f t="shared" si="136"/>
        <v>46.534400000000005</v>
      </c>
      <c r="J908" s="116">
        <f t="shared" si="137"/>
        <v>-0.75440000000000396</v>
      </c>
      <c r="K908" s="116">
        <f t="shared" si="138"/>
        <v>0.75440000000000396</v>
      </c>
      <c r="L908" s="116">
        <f t="shared" si="139"/>
        <v>0.56911936000000596</v>
      </c>
      <c r="M908" s="117">
        <f t="shared" si="135"/>
        <v>-1.6478811708169592E-2</v>
      </c>
    </row>
    <row r="909" spans="1:13">
      <c r="A909" s="112">
        <v>906</v>
      </c>
      <c r="B909" s="113">
        <v>42940</v>
      </c>
      <c r="C909" s="114">
        <v>46.21</v>
      </c>
      <c r="D909" s="115">
        <f t="shared" si="134"/>
        <v>45.322499999999991</v>
      </c>
      <c r="E909" s="115">
        <f t="shared" si="130"/>
        <v>0.88750000000000995</v>
      </c>
      <c r="F909" s="115">
        <f t="shared" si="131"/>
        <v>0.88750000000000995</v>
      </c>
      <c r="G909" s="115">
        <f t="shared" si="132"/>
        <v>0.78765625000001771</v>
      </c>
      <c r="H909" s="115">
        <f t="shared" si="133"/>
        <v>1.9205799610474139E-2</v>
      </c>
      <c r="I909" s="116">
        <f t="shared" si="136"/>
        <v>46.504400000000004</v>
      </c>
      <c r="J909" s="116">
        <f t="shared" si="137"/>
        <v>-0.2944000000000031</v>
      </c>
      <c r="K909" s="116">
        <f t="shared" si="138"/>
        <v>0.2944000000000031</v>
      </c>
      <c r="L909" s="116">
        <f t="shared" si="139"/>
        <v>8.6671360000001821E-2</v>
      </c>
      <c r="M909" s="117">
        <f t="shared" si="135"/>
        <v>-6.3709153862800934E-3</v>
      </c>
    </row>
    <row r="910" spans="1:13">
      <c r="A910" s="112">
        <v>907</v>
      </c>
      <c r="B910" s="107">
        <v>42941</v>
      </c>
      <c r="C910" s="108">
        <v>47.77</v>
      </c>
      <c r="D910" s="115">
        <f t="shared" si="134"/>
        <v>45.489999999999995</v>
      </c>
      <c r="E910" s="115">
        <f t="shared" si="130"/>
        <v>2.2800000000000082</v>
      </c>
      <c r="F910" s="115">
        <f t="shared" si="131"/>
        <v>2.2800000000000082</v>
      </c>
      <c r="G910" s="115">
        <f t="shared" si="132"/>
        <v>5.1984000000000377</v>
      </c>
      <c r="H910" s="115">
        <f t="shared" si="133"/>
        <v>4.7728700020933809E-2</v>
      </c>
      <c r="I910" s="116">
        <f t="shared" si="136"/>
        <v>46.4724</v>
      </c>
      <c r="J910" s="116">
        <f t="shared" si="137"/>
        <v>1.2976000000000028</v>
      </c>
      <c r="K910" s="116">
        <f t="shared" si="138"/>
        <v>1.2976000000000028</v>
      </c>
      <c r="L910" s="116">
        <f t="shared" si="139"/>
        <v>1.6837657600000071</v>
      </c>
      <c r="M910" s="117">
        <f t="shared" si="135"/>
        <v>2.7163491731212113E-2</v>
      </c>
    </row>
    <row r="911" spans="1:13">
      <c r="A911" s="112">
        <v>908</v>
      </c>
      <c r="B911" s="113">
        <v>42942</v>
      </c>
      <c r="C911" s="114">
        <v>48.58</v>
      </c>
      <c r="D911" s="115">
        <f t="shared" si="134"/>
        <v>45.716499999999996</v>
      </c>
      <c r="E911" s="115">
        <f t="shared" si="130"/>
        <v>2.8635000000000019</v>
      </c>
      <c r="F911" s="115">
        <f t="shared" si="131"/>
        <v>2.8635000000000019</v>
      </c>
      <c r="G911" s="115">
        <f t="shared" si="132"/>
        <v>8.1996322500000112</v>
      </c>
      <c r="H911" s="115">
        <f t="shared" si="133"/>
        <v>5.8944009880609348E-2</v>
      </c>
      <c r="I911" s="116">
        <f t="shared" si="136"/>
        <v>46.471199999999996</v>
      </c>
      <c r="J911" s="116">
        <f t="shared" si="137"/>
        <v>2.1088000000000022</v>
      </c>
      <c r="K911" s="116">
        <f t="shared" si="138"/>
        <v>2.1088000000000022</v>
      </c>
      <c r="L911" s="116">
        <f t="shared" si="139"/>
        <v>4.4470374400000097</v>
      </c>
      <c r="M911" s="117">
        <f t="shared" si="135"/>
        <v>4.3408810209962997E-2</v>
      </c>
    </row>
    <row r="912" spans="1:13">
      <c r="A912" s="112">
        <v>909</v>
      </c>
      <c r="B912" s="107">
        <v>42943</v>
      </c>
      <c r="C912" s="108">
        <v>49.05</v>
      </c>
      <c r="D912" s="115">
        <f t="shared" si="134"/>
        <v>45.933000000000007</v>
      </c>
      <c r="E912" s="115">
        <f t="shared" si="130"/>
        <v>3.1169999999999902</v>
      </c>
      <c r="F912" s="115">
        <f t="shared" si="131"/>
        <v>3.1169999999999902</v>
      </c>
      <c r="G912" s="115">
        <f t="shared" si="132"/>
        <v>9.715688999999939</v>
      </c>
      <c r="H912" s="115">
        <f t="shared" si="133"/>
        <v>6.3547400611620605E-2</v>
      </c>
      <c r="I912" s="116">
        <f t="shared" si="136"/>
        <v>46.465599999999995</v>
      </c>
      <c r="J912" s="116">
        <f t="shared" si="137"/>
        <v>2.5844000000000023</v>
      </c>
      <c r="K912" s="116">
        <f t="shared" si="138"/>
        <v>2.5844000000000023</v>
      </c>
      <c r="L912" s="116">
        <f t="shared" si="139"/>
        <v>6.6791233600000117</v>
      </c>
      <c r="M912" s="117">
        <f t="shared" si="135"/>
        <v>5.2689092762487309E-2</v>
      </c>
    </row>
    <row r="913" spans="1:13">
      <c r="A913" s="112">
        <v>910</v>
      </c>
      <c r="B913" s="113">
        <v>42944</v>
      </c>
      <c r="C913" s="114">
        <v>49.72</v>
      </c>
      <c r="D913" s="115">
        <f t="shared" si="134"/>
        <v>46.148499999999999</v>
      </c>
      <c r="E913" s="115">
        <f t="shared" si="130"/>
        <v>3.5715000000000003</v>
      </c>
      <c r="F913" s="115">
        <f t="shared" si="131"/>
        <v>3.5715000000000003</v>
      </c>
      <c r="G913" s="115">
        <f t="shared" si="132"/>
        <v>12.755612250000002</v>
      </c>
      <c r="H913" s="115">
        <f t="shared" si="133"/>
        <v>7.1832260659694294E-2</v>
      </c>
      <c r="I913" s="116">
        <f t="shared" si="136"/>
        <v>46.47379999999999</v>
      </c>
      <c r="J913" s="116">
        <f t="shared" si="137"/>
        <v>3.2462000000000089</v>
      </c>
      <c r="K913" s="116">
        <f t="shared" si="138"/>
        <v>3.2462000000000089</v>
      </c>
      <c r="L913" s="116">
        <f t="shared" si="139"/>
        <v>10.537814440000057</v>
      </c>
      <c r="M913" s="117">
        <f t="shared" si="135"/>
        <v>6.528962188254242E-2</v>
      </c>
    </row>
    <row r="914" spans="1:13">
      <c r="A914" s="112">
        <v>911</v>
      </c>
      <c r="B914" s="107">
        <v>42947</v>
      </c>
      <c r="C914" s="108">
        <v>50.21</v>
      </c>
      <c r="D914" s="115">
        <f t="shared" si="134"/>
        <v>46.390500000000003</v>
      </c>
      <c r="E914" s="115">
        <f t="shared" si="130"/>
        <v>3.8194999999999979</v>
      </c>
      <c r="F914" s="115">
        <f t="shared" si="131"/>
        <v>3.8194999999999979</v>
      </c>
      <c r="G914" s="115">
        <f t="shared" si="132"/>
        <v>14.588580249999984</v>
      </c>
      <c r="H914" s="115">
        <f t="shared" si="133"/>
        <v>7.6070503883688467E-2</v>
      </c>
      <c r="I914" s="116">
        <f t="shared" si="136"/>
        <v>46.487399999999987</v>
      </c>
      <c r="J914" s="116">
        <f t="shared" si="137"/>
        <v>3.7226000000000141</v>
      </c>
      <c r="K914" s="116">
        <f t="shared" si="138"/>
        <v>3.7226000000000141</v>
      </c>
      <c r="L914" s="116">
        <f t="shared" si="139"/>
        <v>13.857750760000105</v>
      </c>
      <c r="M914" s="117">
        <f t="shared" si="135"/>
        <v>7.4140609440350808E-2</v>
      </c>
    </row>
    <row r="915" spans="1:13">
      <c r="A915" s="112">
        <v>912</v>
      </c>
      <c r="B915" s="113">
        <v>42948</v>
      </c>
      <c r="C915" s="114">
        <v>49.19</v>
      </c>
      <c r="D915" s="115">
        <f t="shared" si="134"/>
        <v>46.600000000000009</v>
      </c>
      <c r="E915" s="115">
        <f t="shared" si="130"/>
        <v>2.5899999999999892</v>
      </c>
      <c r="F915" s="115">
        <f t="shared" si="131"/>
        <v>2.5899999999999892</v>
      </c>
      <c r="G915" s="115">
        <f t="shared" si="132"/>
        <v>6.708099999999944</v>
      </c>
      <c r="H915" s="115">
        <f t="shared" si="133"/>
        <v>5.2652978247611087E-2</v>
      </c>
      <c r="I915" s="116">
        <f t="shared" si="136"/>
        <v>46.504399999999997</v>
      </c>
      <c r="J915" s="116">
        <f t="shared" si="137"/>
        <v>2.6856000000000009</v>
      </c>
      <c r="K915" s="116">
        <f t="shared" si="138"/>
        <v>2.6856000000000009</v>
      </c>
      <c r="L915" s="116">
        <f t="shared" si="139"/>
        <v>7.212447360000005</v>
      </c>
      <c r="M915" s="117">
        <f t="shared" si="135"/>
        <v>5.4596462695669874E-2</v>
      </c>
    </row>
    <row r="916" spans="1:13">
      <c r="A916" s="112">
        <v>913</v>
      </c>
      <c r="B916" s="107">
        <v>42949</v>
      </c>
      <c r="C916" s="108">
        <v>49.6</v>
      </c>
      <c r="D916" s="115">
        <f t="shared" si="134"/>
        <v>46.758500000000005</v>
      </c>
      <c r="E916" s="115">
        <f t="shared" si="130"/>
        <v>2.8414999999999964</v>
      </c>
      <c r="F916" s="115">
        <f t="shared" si="131"/>
        <v>2.8414999999999964</v>
      </c>
      <c r="G916" s="115">
        <f t="shared" si="132"/>
        <v>8.074122249999979</v>
      </c>
      <c r="H916" s="115">
        <f t="shared" si="133"/>
        <v>5.7288306451612828E-2</v>
      </c>
      <c r="I916" s="116">
        <f t="shared" si="136"/>
        <v>46.481799999999993</v>
      </c>
      <c r="J916" s="116">
        <f t="shared" si="137"/>
        <v>3.1182000000000087</v>
      </c>
      <c r="K916" s="116">
        <f t="shared" si="138"/>
        <v>3.1182000000000087</v>
      </c>
      <c r="L916" s="116">
        <f t="shared" si="139"/>
        <v>9.7231712400000543</v>
      </c>
      <c r="M916" s="117">
        <f t="shared" si="135"/>
        <v>6.2866935483871136E-2</v>
      </c>
    </row>
    <row r="917" spans="1:13">
      <c r="A917" s="112">
        <v>914</v>
      </c>
      <c r="B917" s="113">
        <v>42950</v>
      </c>
      <c r="C917" s="114">
        <v>49.03</v>
      </c>
      <c r="D917" s="115">
        <f t="shared" si="134"/>
        <v>46.982999999999997</v>
      </c>
      <c r="E917" s="115">
        <f t="shared" si="130"/>
        <v>2.0470000000000041</v>
      </c>
      <c r="F917" s="115">
        <f t="shared" si="131"/>
        <v>2.0470000000000041</v>
      </c>
      <c r="G917" s="115">
        <f t="shared" si="132"/>
        <v>4.1902090000000172</v>
      </c>
      <c r="H917" s="115">
        <f t="shared" si="133"/>
        <v>4.1749949010809792E-2</v>
      </c>
      <c r="I917" s="116">
        <f t="shared" si="136"/>
        <v>46.457599999999999</v>
      </c>
      <c r="J917" s="116">
        <f t="shared" si="137"/>
        <v>2.5724000000000018</v>
      </c>
      <c r="K917" s="116">
        <f t="shared" si="138"/>
        <v>2.5724000000000018</v>
      </c>
      <c r="L917" s="116">
        <f t="shared" si="139"/>
        <v>6.6172417600000095</v>
      </c>
      <c r="M917" s="117">
        <f t="shared" si="135"/>
        <v>5.2465837242504622E-2</v>
      </c>
    </row>
    <row r="918" spans="1:13">
      <c r="A918" s="112">
        <v>915</v>
      </c>
      <c r="B918" s="107">
        <v>42951</v>
      </c>
      <c r="C918" s="108">
        <v>49.57</v>
      </c>
      <c r="D918" s="115">
        <f t="shared" si="134"/>
        <v>47.158499999999997</v>
      </c>
      <c r="E918" s="115">
        <f t="shared" si="130"/>
        <v>2.4115000000000038</v>
      </c>
      <c r="F918" s="115">
        <f t="shared" si="131"/>
        <v>2.4115000000000038</v>
      </c>
      <c r="G918" s="115">
        <f t="shared" si="132"/>
        <v>5.8153322500000177</v>
      </c>
      <c r="H918" s="115">
        <f t="shared" si="133"/>
        <v>4.8648376033891542E-2</v>
      </c>
      <c r="I918" s="116">
        <f t="shared" si="136"/>
        <v>46.415799999999997</v>
      </c>
      <c r="J918" s="116">
        <f t="shared" si="137"/>
        <v>3.154200000000003</v>
      </c>
      <c r="K918" s="116">
        <f t="shared" si="138"/>
        <v>3.154200000000003</v>
      </c>
      <c r="L918" s="116">
        <f t="shared" si="139"/>
        <v>9.9489776400000185</v>
      </c>
      <c r="M918" s="117">
        <f t="shared" si="135"/>
        <v>6.3631228565664777E-2</v>
      </c>
    </row>
    <row r="919" spans="1:13">
      <c r="A919" s="112">
        <v>916</v>
      </c>
      <c r="B919" s="113">
        <v>42954</v>
      </c>
      <c r="C919" s="114">
        <v>49.37</v>
      </c>
      <c r="D919" s="115">
        <f t="shared" si="134"/>
        <v>47.424500000000009</v>
      </c>
      <c r="E919" s="115">
        <f t="shared" si="130"/>
        <v>1.9454999999999885</v>
      </c>
      <c r="F919" s="115">
        <f t="shared" si="131"/>
        <v>1.9454999999999885</v>
      </c>
      <c r="G919" s="115">
        <f t="shared" si="132"/>
        <v>3.7849702499999549</v>
      </c>
      <c r="H919" s="115">
        <f t="shared" si="133"/>
        <v>3.940652217946098E-2</v>
      </c>
      <c r="I919" s="116">
        <f t="shared" si="136"/>
        <v>46.387400000000007</v>
      </c>
      <c r="J919" s="116">
        <f t="shared" si="137"/>
        <v>2.9825999999999908</v>
      </c>
      <c r="K919" s="116">
        <f t="shared" si="138"/>
        <v>2.9825999999999908</v>
      </c>
      <c r="L919" s="116">
        <f t="shared" si="139"/>
        <v>8.8959027599999452</v>
      </c>
      <c r="M919" s="117">
        <f t="shared" si="135"/>
        <v>6.0413206400647984E-2</v>
      </c>
    </row>
    <row r="920" spans="1:13">
      <c r="A920" s="112">
        <v>917</v>
      </c>
      <c r="B920" s="107">
        <v>42955</v>
      </c>
      <c r="C920" s="108">
        <v>49.07</v>
      </c>
      <c r="D920" s="115">
        <f t="shared" si="134"/>
        <v>47.673000000000009</v>
      </c>
      <c r="E920" s="115">
        <f t="shared" ref="E920:E983" si="140">C920-D920</f>
        <v>1.3969999999999914</v>
      </c>
      <c r="F920" s="115">
        <f t="shared" ref="F920:F983" si="141">ABS(E920)</f>
        <v>1.3969999999999914</v>
      </c>
      <c r="G920" s="115">
        <f t="shared" ref="G920:G983" si="142">E920^2</f>
        <v>1.9516089999999759</v>
      </c>
      <c r="H920" s="115">
        <f t="shared" ref="H920:H983" si="143">F920/C920</f>
        <v>2.8469533319747123E-2</v>
      </c>
      <c r="I920" s="116">
        <f t="shared" si="136"/>
        <v>46.403400000000005</v>
      </c>
      <c r="J920" s="116">
        <f t="shared" si="137"/>
        <v>2.6665999999999954</v>
      </c>
      <c r="K920" s="116">
        <f t="shared" si="138"/>
        <v>2.6665999999999954</v>
      </c>
      <c r="L920" s="116">
        <f t="shared" si="139"/>
        <v>7.1107555599999754</v>
      </c>
      <c r="M920" s="117">
        <f t="shared" si="135"/>
        <v>5.4342775626655702E-2</v>
      </c>
    </row>
    <row r="921" spans="1:13">
      <c r="A921" s="112">
        <v>918</v>
      </c>
      <c r="B921" s="113">
        <v>42956</v>
      </c>
      <c r="C921" s="114">
        <v>49.59</v>
      </c>
      <c r="D921" s="115">
        <f t="shared" si="134"/>
        <v>47.8735</v>
      </c>
      <c r="E921" s="115">
        <f t="shared" si="140"/>
        <v>1.7165000000000035</v>
      </c>
      <c r="F921" s="115">
        <f t="shared" si="141"/>
        <v>1.7165000000000035</v>
      </c>
      <c r="G921" s="115">
        <f t="shared" si="142"/>
        <v>2.946372250000012</v>
      </c>
      <c r="H921" s="115">
        <f t="shared" si="143"/>
        <v>3.4613833434160184E-2</v>
      </c>
      <c r="I921" s="116">
        <f t="shared" si="136"/>
        <v>46.393200000000007</v>
      </c>
      <c r="J921" s="116">
        <f t="shared" si="137"/>
        <v>3.1967999999999961</v>
      </c>
      <c r="K921" s="116">
        <f t="shared" si="138"/>
        <v>3.1967999999999961</v>
      </c>
      <c r="L921" s="116">
        <f t="shared" si="139"/>
        <v>10.219530239999974</v>
      </c>
      <c r="M921" s="117">
        <f t="shared" si="135"/>
        <v>6.4464609800362893E-2</v>
      </c>
    </row>
    <row r="922" spans="1:13">
      <c r="A922" s="112">
        <v>919</v>
      </c>
      <c r="B922" s="107">
        <v>42957</v>
      </c>
      <c r="C922" s="108">
        <v>48.54</v>
      </c>
      <c r="D922" s="115">
        <f t="shared" ref="D922:D985" si="144">AVERAGE(C902:C921)</f>
        <v>48.079000000000001</v>
      </c>
      <c r="E922" s="115">
        <f t="shared" si="140"/>
        <v>0.46099999999999852</v>
      </c>
      <c r="F922" s="115">
        <f t="shared" si="141"/>
        <v>0.46099999999999852</v>
      </c>
      <c r="G922" s="115">
        <f t="shared" si="142"/>
        <v>0.21252099999999863</v>
      </c>
      <c r="H922" s="115">
        <f t="shared" si="143"/>
        <v>9.497321796456501E-3</v>
      </c>
      <c r="I922" s="116">
        <f t="shared" si="136"/>
        <v>46.392400000000009</v>
      </c>
      <c r="J922" s="116">
        <f t="shared" si="137"/>
        <v>2.14759999999999</v>
      </c>
      <c r="K922" s="116">
        <f t="shared" si="138"/>
        <v>2.14759999999999</v>
      </c>
      <c r="L922" s="116">
        <f t="shared" si="139"/>
        <v>4.6121857599999565</v>
      </c>
      <c r="M922" s="117">
        <f t="shared" si="135"/>
        <v>4.4243922538112691E-2</v>
      </c>
    </row>
    <row r="923" spans="1:13">
      <c r="A923" s="112">
        <v>920</v>
      </c>
      <c r="B923" s="113">
        <v>42958</v>
      </c>
      <c r="C923" s="114">
        <v>48.81</v>
      </c>
      <c r="D923" s="115">
        <f t="shared" si="144"/>
        <v>48.203000000000003</v>
      </c>
      <c r="E923" s="115">
        <f t="shared" si="140"/>
        <v>0.60699999999999932</v>
      </c>
      <c r="F923" s="115">
        <f t="shared" si="141"/>
        <v>0.60699999999999932</v>
      </c>
      <c r="G923" s="115">
        <f t="shared" si="142"/>
        <v>0.36844899999999919</v>
      </c>
      <c r="H923" s="115">
        <f t="shared" si="143"/>
        <v>1.2435976234378187E-2</v>
      </c>
      <c r="I923" s="116">
        <f t="shared" si="136"/>
        <v>46.397400000000005</v>
      </c>
      <c r="J923" s="116">
        <f t="shared" si="137"/>
        <v>2.4125999999999976</v>
      </c>
      <c r="K923" s="116">
        <f t="shared" si="138"/>
        <v>2.4125999999999976</v>
      </c>
      <c r="L923" s="116">
        <f t="shared" si="139"/>
        <v>5.8206387599999889</v>
      </c>
      <c r="M923" s="117">
        <f t="shared" si="135"/>
        <v>4.9428395820528527E-2</v>
      </c>
    </row>
    <row r="924" spans="1:13">
      <c r="A924" s="112">
        <v>921</v>
      </c>
      <c r="B924" s="107">
        <v>42961</v>
      </c>
      <c r="C924" s="108">
        <v>47.59</v>
      </c>
      <c r="D924" s="115">
        <f t="shared" si="144"/>
        <v>48.317000000000007</v>
      </c>
      <c r="E924" s="115">
        <f t="shared" si="140"/>
        <v>-0.72700000000000387</v>
      </c>
      <c r="F924" s="115">
        <f t="shared" si="141"/>
        <v>0.72700000000000387</v>
      </c>
      <c r="G924" s="115">
        <f t="shared" si="142"/>
        <v>0.52852900000000558</v>
      </c>
      <c r="H924" s="115">
        <f t="shared" si="143"/>
        <v>1.5276318554318213E-2</v>
      </c>
      <c r="I924" s="116">
        <f t="shared" si="136"/>
        <v>46.407200000000003</v>
      </c>
      <c r="J924" s="116">
        <f t="shared" si="137"/>
        <v>1.1828000000000003</v>
      </c>
      <c r="K924" s="116">
        <f t="shared" si="138"/>
        <v>1.1828000000000003</v>
      </c>
      <c r="L924" s="116">
        <f t="shared" si="139"/>
        <v>1.3990158400000008</v>
      </c>
      <c r="M924" s="117">
        <f t="shared" si="135"/>
        <v>2.4853960916158862E-2</v>
      </c>
    </row>
    <row r="925" spans="1:13">
      <c r="A925" s="112">
        <v>922</v>
      </c>
      <c r="B925" s="113">
        <v>42962</v>
      </c>
      <c r="C925" s="114">
        <v>47.57</v>
      </c>
      <c r="D925" s="115">
        <f t="shared" si="144"/>
        <v>48.395500000000013</v>
      </c>
      <c r="E925" s="115">
        <f t="shared" si="140"/>
        <v>-0.82550000000001234</v>
      </c>
      <c r="F925" s="115">
        <f t="shared" si="141"/>
        <v>0.82550000000001234</v>
      </c>
      <c r="G925" s="115">
        <f t="shared" si="142"/>
        <v>0.68145025000002035</v>
      </c>
      <c r="H925" s="115">
        <f t="shared" si="143"/>
        <v>1.7353373975194708E-2</v>
      </c>
      <c r="I925" s="116">
        <f t="shared" si="136"/>
        <v>46.405400000000007</v>
      </c>
      <c r="J925" s="116">
        <f t="shared" si="137"/>
        <v>1.164599999999993</v>
      </c>
      <c r="K925" s="116">
        <f t="shared" si="138"/>
        <v>1.164599999999993</v>
      </c>
      <c r="L925" s="116">
        <f t="shared" si="139"/>
        <v>1.3562931599999837</v>
      </c>
      <c r="M925" s="117">
        <f t="shared" si="135"/>
        <v>2.4481816270758735E-2</v>
      </c>
    </row>
    <row r="926" spans="1:13">
      <c r="A926" s="112">
        <v>923</v>
      </c>
      <c r="B926" s="107">
        <v>42963</v>
      </c>
      <c r="C926" s="108">
        <v>46.8</v>
      </c>
      <c r="D926" s="115">
        <f t="shared" si="144"/>
        <v>48.454000000000008</v>
      </c>
      <c r="E926" s="115">
        <f t="shared" si="140"/>
        <v>-1.6540000000000106</v>
      </c>
      <c r="F926" s="115">
        <f t="shared" si="141"/>
        <v>1.6540000000000106</v>
      </c>
      <c r="G926" s="115">
        <f t="shared" si="142"/>
        <v>2.7357160000000351</v>
      </c>
      <c r="H926" s="115">
        <f t="shared" si="143"/>
        <v>3.5341880341880572E-2</v>
      </c>
      <c r="I926" s="116">
        <f t="shared" si="136"/>
        <v>46.408799999999999</v>
      </c>
      <c r="J926" s="116">
        <f t="shared" si="137"/>
        <v>0.39119999999999777</v>
      </c>
      <c r="K926" s="116">
        <f t="shared" si="138"/>
        <v>0.39119999999999777</v>
      </c>
      <c r="L926" s="116">
        <f t="shared" si="139"/>
        <v>0.15303743999999825</v>
      </c>
      <c r="M926" s="117">
        <f t="shared" si="135"/>
        <v>8.358974358974312E-3</v>
      </c>
    </row>
    <row r="927" spans="1:13">
      <c r="A927" s="112">
        <v>924</v>
      </c>
      <c r="B927" s="113">
        <v>42964</v>
      </c>
      <c r="C927" s="114">
        <v>47.07</v>
      </c>
      <c r="D927" s="115">
        <f t="shared" si="144"/>
        <v>48.439000000000007</v>
      </c>
      <c r="E927" s="115">
        <f t="shared" si="140"/>
        <v>-1.3690000000000069</v>
      </c>
      <c r="F927" s="115">
        <f t="shared" si="141"/>
        <v>1.3690000000000069</v>
      </c>
      <c r="G927" s="115">
        <f t="shared" si="142"/>
        <v>1.8741610000000188</v>
      </c>
      <c r="H927" s="115">
        <f t="shared" si="143"/>
        <v>2.908434246866384E-2</v>
      </c>
      <c r="I927" s="116">
        <f t="shared" si="136"/>
        <v>46.382200000000005</v>
      </c>
      <c r="J927" s="116">
        <f t="shared" si="137"/>
        <v>0.68779999999999575</v>
      </c>
      <c r="K927" s="116">
        <f t="shared" si="138"/>
        <v>0.68779999999999575</v>
      </c>
      <c r="L927" s="116">
        <f t="shared" si="139"/>
        <v>0.47306883999999416</v>
      </c>
      <c r="M927" s="117">
        <f t="shared" si="135"/>
        <v>1.4612279583598805E-2</v>
      </c>
    </row>
    <row r="928" spans="1:13">
      <c r="A928" s="112">
        <v>925</v>
      </c>
      <c r="B928" s="107">
        <v>42965</v>
      </c>
      <c r="C928" s="108">
        <v>48.59</v>
      </c>
      <c r="D928" s="115">
        <f t="shared" si="144"/>
        <v>48.45600000000001</v>
      </c>
      <c r="E928" s="115">
        <f t="shared" si="140"/>
        <v>0.13399999999999324</v>
      </c>
      <c r="F928" s="115">
        <f t="shared" si="141"/>
        <v>0.13399999999999324</v>
      </c>
      <c r="G928" s="115">
        <f t="shared" si="142"/>
        <v>1.7955999999998189E-2</v>
      </c>
      <c r="H928" s="115">
        <f t="shared" si="143"/>
        <v>2.7577690882896323E-3</v>
      </c>
      <c r="I928" s="116">
        <f t="shared" si="136"/>
        <v>46.407600000000002</v>
      </c>
      <c r="J928" s="116">
        <f t="shared" si="137"/>
        <v>2.1824000000000012</v>
      </c>
      <c r="K928" s="116">
        <f t="shared" si="138"/>
        <v>2.1824000000000012</v>
      </c>
      <c r="L928" s="116">
        <f t="shared" si="139"/>
        <v>4.7628697600000054</v>
      </c>
      <c r="M928" s="117">
        <f t="shared" si="135"/>
        <v>4.4914591479728358E-2</v>
      </c>
    </row>
    <row r="929" spans="1:13">
      <c r="A929" s="112">
        <v>926</v>
      </c>
      <c r="B929" s="113">
        <v>42968</v>
      </c>
      <c r="C929" s="114">
        <v>47.39</v>
      </c>
      <c r="D929" s="115">
        <f t="shared" si="144"/>
        <v>48.596500000000006</v>
      </c>
      <c r="E929" s="115">
        <f t="shared" si="140"/>
        <v>-1.2065000000000055</v>
      </c>
      <c r="F929" s="115">
        <f t="shared" si="141"/>
        <v>1.2065000000000055</v>
      </c>
      <c r="G929" s="115">
        <f t="shared" si="142"/>
        <v>1.4556422500000132</v>
      </c>
      <c r="H929" s="115">
        <f t="shared" si="143"/>
        <v>2.545895758598872E-2</v>
      </c>
      <c r="I929" s="116">
        <f t="shared" si="136"/>
        <v>46.465800000000009</v>
      </c>
      <c r="J929" s="116">
        <f t="shared" si="137"/>
        <v>0.92419999999999192</v>
      </c>
      <c r="K929" s="116">
        <f t="shared" si="138"/>
        <v>0.92419999999999192</v>
      </c>
      <c r="L929" s="116">
        <f t="shared" si="139"/>
        <v>0.85414563999998505</v>
      </c>
      <c r="M929" s="117">
        <f t="shared" si="135"/>
        <v>1.9502004642329436E-2</v>
      </c>
    </row>
    <row r="930" spans="1:13">
      <c r="A930" s="112">
        <v>927</v>
      </c>
      <c r="B930" s="107">
        <v>42969</v>
      </c>
      <c r="C930" s="108">
        <v>47.65</v>
      </c>
      <c r="D930" s="115">
        <f t="shared" si="144"/>
        <v>48.655500000000004</v>
      </c>
      <c r="E930" s="115">
        <f t="shared" si="140"/>
        <v>-1.0055000000000049</v>
      </c>
      <c r="F930" s="115">
        <f t="shared" si="141"/>
        <v>1.0055000000000049</v>
      </c>
      <c r="G930" s="115">
        <f t="shared" si="142"/>
        <v>1.0110302500000099</v>
      </c>
      <c r="H930" s="115">
        <f t="shared" si="143"/>
        <v>2.1101783840503777E-2</v>
      </c>
      <c r="I930" s="116">
        <f t="shared" si="136"/>
        <v>46.497199999999992</v>
      </c>
      <c r="J930" s="116">
        <f t="shared" si="137"/>
        <v>1.1528000000000063</v>
      </c>
      <c r="K930" s="116">
        <f t="shared" si="138"/>
        <v>1.1528000000000063</v>
      </c>
      <c r="L930" s="116">
        <f t="shared" si="139"/>
        <v>1.3289478400000145</v>
      </c>
      <c r="M930" s="117">
        <f t="shared" si="135"/>
        <v>2.4193074501574111E-2</v>
      </c>
    </row>
    <row r="931" spans="1:13">
      <c r="A931" s="112">
        <v>928</v>
      </c>
      <c r="B931" s="113">
        <v>42970</v>
      </c>
      <c r="C931" s="114">
        <v>48.45</v>
      </c>
      <c r="D931" s="115">
        <f t="shared" si="144"/>
        <v>48.649500000000003</v>
      </c>
      <c r="E931" s="115">
        <f t="shared" si="140"/>
        <v>-0.19950000000000045</v>
      </c>
      <c r="F931" s="115">
        <f t="shared" si="141"/>
        <v>0.19950000000000045</v>
      </c>
      <c r="G931" s="115">
        <f t="shared" si="142"/>
        <v>3.9800250000000183E-2</v>
      </c>
      <c r="H931" s="115">
        <f t="shared" si="143"/>
        <v>4.1176470588235384E-3</v>
      </c>
      <c r="I931" s="116">
        <f t="shared" si="136"/>
        <v>46.528199999999998</v>
      </c>
      <c r="J931" s="116">
        <f t="shared" si="137"/>
        <v>1.9218000000000046</v>
      </c>
      <c r="K931" s="116">
        <f t="shared" si="138"/>
        <v>1.9218000000000046</v>
      </c>
      <c r="L931" s="116">
        <f t="shared" si="139"/>
        <v>3.6933152400000178</v>
      </c>
      <c r="M931" s="117">
        <f t="shared" si="135"/>
        <v>3.9665634674922692E-2</v>
      </c>
    </row>
    <row r="932" spans="1:13">
      <c r="A932" s="112">
        <v>929</v>
      </c>
      <c r="B932" s="107">
        <v>42971</v>
      </c>
      <c r="C932" s="108">
        <v>47.24</v>
      </c>
      <c r="D932" s="115">
        <f t="shared" si="144"/>
        <v>48.643000000000008</v>
      </c>
      <c r="E932" s="115">
        <f t="shared" si="140"/>
        <v>-1.4030000000000058</v>
      </c>
      <c r="F932" s="115">
        <f t="shared" si="141"/>
        <v>1.4030000000000058</v>
      </c>
      <c r="G932" s="115">
        <f t="shared" si="142"/>
        <v>1.9684090000000163</v>
      </c>
      <c r="H932" s="115">
        <f t="shared" si="143"/>
        <v>2.969940728196456E-2</v>
      </c>
      <c r="I932" s="116">
        <f t="shared" si="136"/>
        <v>46.568999999999988</v>
      </c>
      <c r="J932" s="116">
        <f t="shared" si="137"/>
        <v>0.67100000000001359</v>
      </c>
      <c r="K932" s="116">
        <f t="shared" si="138"/>
        <v>0.67100000000001359</v>
      </c>
      <c r="L932" s="116">
        <f t="shared" si="139"/>
        <v>0.45024100000001821</v>
      </c>
      <c r="M932" s="117">
        <f t="shared" si="135"/>
        <v>1.4204064352244148E-2</v>
      </c>
    </row>
    <row r="933" spans="1:13">
      <c r="A933" s="112">
        <v>930</v>
      </c>
      <c r="B933" s="113">
        <v>42972</v>
      </c>
      <c r="C933" s="114">
        <v>47.65</v>
      </c>
      <c r="D933" s="115">
        <f t="shared" si="144"/>
        <v>48.552500000000009</v>
      </c>
      <c r="E933" s="115">
        <f t="shared" si="140"/>
        <v>-0.90250000000001052</v>
      </c>
      <c r="F933" s="115">
        <f t="shared" si="141"/>
        <v>0.90250000000001052</v>
      </c>
      <c r="G933" s="115">
        <f t="shared" si="142"/>
        <v>0.81450625000001897</v>
      </c>
      <c r="H933" s="115">
        <f t="shared" si="143"/>
        <v>1.8940188877230021E-2</v>
      </c>
      <c r="I933" s="116">
        <f t="shared" si="136"/>
        <v>46.617999999999974</v>
      </c>
      <c r="J933" s="116">
        <f t="shared" si="137"/>
        <v>1.0320000000000249</v>
      </c>
      <c r="K933" s="116">
        <f t="shared" si="138"/>
        <v>1.0320000000000249</v>
      </c>
      <c r="L933" s="116">
        <f t="shared" si="139"/>
        <v>1.0650240000000515</v>
      </c>
      <c r="M933" s="117">
        <f t="shared" si="135"/>
        <v>2.1657922350472716E-2</v>
      </c>
    </row>
    <row r="934" spans="1:13">
      <c r="A934" s="112">
        <v>931</v>
      </c>
      <c r="B934" s="107">
        <v>42975</v>
      </c>
      <c r="C934" s="108">
        <v>46.4</v>
      </c>
      <c r="D934" s="115">
        <f t="shared" si="144"/>
        <v>48.449000000000005</v>
      </c>
      <c r="E934" s="115">
        <f t="shared" si="140"/>
        <v>-2.0490000000000066</v>
      </c>
      <c r="F934" s="115">
        <f t="shared" si="141"/>
        <v>2.0490000000000066</v>
      </c>
      <c r="G934" s="115">
        <f t="shared" si="142"/>
        <v>4.1984010000000271</v>
      </c>
      <c r="H934" s="115">
        <f t="shared" si="143"/>
        <v>4.4159482758620833E-2</v>
      </c>
      <c r="I934" s="116">
        <f t="shared" si="136"/>
        <v>46.681599999999982</v>
      </c>
      <c r="J934" s="116">
        <f t="shared" si="137"/>
        <v>-0.2815999999999832</v>
      </c>
      <c r="K934" s="116">
        <f t="shared" si="138"/>
        <v>0.2815999999999832</v>
      </c>
      <c r="L934" s="116">
        <f t="shared" si="139"/>
        <v>7.9298559999990539E-2</v>
      </c>
      <c r="M934" s="117">
        <f t="shared" si="135"/>
        <v>-6.0689655172410173E-3</v>
      </c>
    </row>
    <row r="935" spans="1:13">
      <c r="A935" s="112">
        <v>932</v>
      </c>
      <c r="B935" s="113">
        <v>42976</v>
      </c>
      <c r="C935" s="114">
        <v>46.46</v>
      </c>
      <c r="D935" s="115">
        <f t="shared" si="144"/>
        <v>48.258500000000005</v>
      </c>
      <c r="E935" s="115">
        <f t="shared" si="140"/>
        <v>-1.7985000000000042</v>
      </c>
      <c r="F935" s="115">
        <f t="shared" si="141"/>
        <v>1.7985000000000042</v>
      </c>
      <c r="G935" s="115">
        <f t="shared" si="142"/>
        <v>3.2346022500000151</v>
      </c>
      <c r="H935" s="115">
        <f t="shared" si="143"/>
        <v>3.8710718897976844E-2</v>
      </c>
      <c r="I935" s="116">
        <f t="shared" si="136"/>
        <v>46.714999999999975</v>
      </c>
      <c r="J935" s="116">
        <f t="shared" si="137"/>
        <v>-0.25499999999997414</v>
      </c>
      <c r="K935" s="116">
        <f t="shared" si="138"/>
        <v>0.25499999999997414</v>
      </c>
      <c r="L935" s="116">
        <f t="shared" si="139"/>
        <v>6.5024999999986816E-2</v>
      </c>
      <c r="M935" s="117">
        <f t="shared" si="135"/>
        <v>-5.4885923374940618E-3</v>
      </c>
    </row>
    <row r="936" spans="1:13">
      <c r="A936" s="112">
        <v>933</v>
      </c>
      <c r="B936" s="107">
        <v>42977</v>
      </c>
      <c r="C936" s="108">
        <v>45.96</v>
      </c>
      <c r="D936" s="115">
        <f t="shared" si="144"/>
        <v>48.122000000000007</v>
      </c>
      <c r="E936" s="115">
        <f t="shared" si="140"/>
        <v>-2.1620000000000061</v>
      </c>
      <c r="F936" s="115">
        <f t="shared" si="141"/>
        <v>2.1620000000000061</v>
      </c>
      <c r="G936" s="115">
        <f t="shared" si="142"/>
        <v>4.6742440000000265</v>
      </c>
      <c r="H936" s="115">
        <f t="shared" si="143"/>
        <v>4.7040905134900043E-2</v>
      </c>
      <c r="I936" s="116">
        <f t="shared" si="136"/>
        <v>46.759399999999978</v>
      </c>
      <c r="J936" s="116">
        <f t="shared" si="137"/>
        <v>-0.79939999999997724</v>
      </c>
      <c r="K936" s="116">
        <f t="shared" si="138"/>
        <v>0.79939999999997724</v>
      </c>
      <c r="L936" s="116">
        <f t="shared" si="139"/>
        <v>0.63904035999996356</v>
      </c>
      <c r="M936" s="117">
        <f t="shared" si="135"/>
        <v>-1.7393385552653986E-2</v>
      </c>
    </row>
    <row r="937" spans="1:13">
      <c r="A937" s="112">
        <v>934</v>
      </c>
      <c r="B937" s="113">
        <v>42978</v>
      </c>
      <c r="C937" s="114">
        <v>47.26</v>
      </c>
      <c r="D937" s="115">
        <f t="shared" si="144"/>
        <v>47.940000000000012</v>
      </c>
      <c r="E937" s="115">
        <f t="shared" si="140"/>
        <v>-0.68000000000001393</v>
      </c>
      <c r="F937" s="115">
        <f t="shared" si="141"/>
        <v>0.68000000000001393</v>
      </c>
      <c r="G937" s="115">
        <f t="shared" si="142"/>
        <v>0.46240000000001896</v>
      </c>
      <c r="H937" s="115">
        <f t="shared" si="143"/>
        <v>1.4388489208633389E-2</v>
      </c>
      <c r="I937" s="116">
        <f t="shared" si="136"/>
        <v>46.811799999999977</v>
      </c>
      <c r="J937" s="116">
        <f t="shared" si="137"/>
        <v>0.44820000000002125</v>
      </c>
      <c r="K937" s="116">
        <f t="shared" si="138"/>
        <v>0.44820000000002125</v>
      </c>
      <c r="L937" s="116">
        <f t="shared" si="139"/>
        <v>0.20088324000001906</v>
      </c>
      <c r="M937" s="117">
        <f t="shared" si="135"/>
        <v>9.4837071519259675E-3</v>
      </c>
    </row>
    <row r="938" spans="1:13">
      <c r="A938" s="112">
        <v>935</v>
      </c>
      <c r="B938" s="107">
        <v>42979</v>
      </c>
      <c r="C938" s="108">
        <v>47.32</v>
      </c>
      <c r="D938" s="115">
        <f t="shared" si="144"/>
        <v>47.851500000000001</v>
      </c>
      <c r="E938" s="115">
        <f t="shared" si="140"/>
        <v>-0.53150000000000119</v>
      </c>
      <c r="F938" s="115">
        <f t="shared" si="141"/>
        <v>0.53150000000000119</v>
      </c>
      <c r="G938" s="115">
        <f t="shared" si="142"/>
        <v>0.28249225000000128</v>
      </c>
      <c r="H938" s="115">
        <f t="shared" si="143"/>
        <v>1.123203719357568E-2</v>
      </c>
      <c r="I938" s="116">
        <f t="shared" si="136"/>
        <v>46.907399999999988</v>
      </c>
      <c r="J938" s="116">
        <f t="shared" si="137"/>
        <v>0.41260000000001185</v>
      </c>
      <c r="K938" s="116">
        <f t="shared" si="138"/>
        <v>0.41260000000001185</v>
      </c>
      <c r="L938" s="116">
        <f t="shared" si="139"/>
        <v>0.17023876000000979</v>
      </c>
      <c r="M938" s="117">
        <f t="shared" si="135"/>
        <v>8.7193575655116623E-3</v>
      </c>
    </row>
    <row r="939" spans="1:13">
      <c r="A939" s="112">
        <v>936</v>
      </c>
      <c r="B939" s="113">
        <v>42983</v>
      </c>
      <c r="C939" s="114">
        <v>48.63</v>
      </c>
      <c r="D939" s="115">
        <f t="shared" si="144"/>
        <v>47.739000000000004</v>
      </c>
      <c r="E939" s="115">
        <f t="shared" si="140"/>
        <v>0.89099999999999824</v>
      </c>
      <c r="F939" s="115">
        <f t="shared" si="141"/>
        <v>0.89099999999999824</v>
      </c>
      <c r="G939" s="115">
        <f t="shared" si="142"/>
        <v>0.79388099999999684</v>
      </c>
      <c r="H939" s="115">
        <f t="shared" si="143"/>
        <v>1.8322023442319518E-2</v>
      </c>
      <c r="I939" s="116">
        <f t="shared" si="136"/>
        <v>47.0032</v>
      </c>
      <c r="J939" s="116">
        <f t="shared" si="137"/>
        <v>1.6268000000000029</v>
      </c>
      <c r="K939" s="116">
        <f t="shared" si="138"/>
        <v>1.6268000000000029</v>
      </c>
      <c r="L939" s="116">
        <f t="shared" si="139"/>
        <v>2.6464782400000093</v>
      </c>
      <c r="M939" s="117">
        <f t="shared" si="135"/>
        <v>3.3452601274933227E-2</v>
      </c>
    </row>
    <row r="940" spans="1:13">
      <c r="A940" s="112">
        <v>937</v>
      </c>
      <c r="B940" s="107">
        <v>42984</v>
      </c>
      <c r="C940" s="108">
        <v>49.13</v>
      </c>
      <c r="D940" s="115">
        <f t="shared" si="144"/>
        <v>47.702000000000005</v>
      </c>
      <c r="E940" s="115">
        <f t="shared" si="140"/>
        <v>1.4279999999999973</v>
      </c>
      <c r="F940" s="115">
        <f t="shared" si="141"/>
        <v>1.4279999999999973</v>
      </c>
      <c r="G940" s="115">
        <f t="shared" si="142"/>
        <v>2.0391839999999921</v>
      </c>
      <c r="H940" s="115">
        <f t="shared" si="143"/>
        <v>2.906574394463662E-2</v>
      </c>
      <c r="I940" s="116">
        <f t="shared" si="136"/>
        <v>47.118600000000008</v>
      </c>
      <c r="J940" s="116">
        <f t="shared" si="137"/>
        <v>2.0113999999999947</v>
      </c>
      <c r="K940" s="116">
        <f t="shared" si="138"/>
        <v>2.0113999999999947</v>
      </c>
      <c r="L940" s="116">
        <f t="shared" si="139"/>
        <v>4.0457299599999788</v>
      </c>
      <c r="M940" s="117">
        <f t="shared" si="135"/>
        <v>4.094036230409108E-2</v>
      </c>
    </row>
    <row r="941" spans="1:13">
      <c r="A941" s="112">
        <v>938</v>
      </c>
      <c r="B941" s="113">
        <v>42985</v>
      </c>
      <c r="C941" s="114">
        <v>49.1</v>
      </c>
      <c r="D941" s="115">
        <f t="shared" si="144"/>
        <v>47.704999999999998</v>
      </c>
      <c r="E941" s="115">
        <f t="shared" si="140"/>
        <v>1.3950000000000031</v>
      </c>
      <c r="F941" s="115">
        <f t="shared" si="141"/>
        <v>1.3950000000000031</v>
      </c>
      <c r="G941" s="115">
        <f t="shared" si="142"/>
        <v>1.9460250000000088</v>
      </c>
      <c r="H941" s="115">
        <f t="shared" si="143"/>
        <v>2.8411405295315745E-2</v>
      </c>
      <c r="I941" s="116">
        <f t="shared" si="136"/>
        <v>47.236400000000003</v>
      </c>
      <c r="J941" s="116">
        <f t="shared" si="137"/>
        <v>1.8635999999999981</v>
      </c>
      <c r="K941" s="116">
        <f t="shared" si="138"/>
        <v>1.8635999999999981</v>
      </c>
      <c r="L941" s="116">
        <f t="shared" si="139"/>
        <v>3.4730049599999933</v>
      </c>
      <c r="M941" s="117">
        <f t="shared" si="135"/>
        <v>3.7955193482688353E-2</v>
      </c>
    </row>
    <row r="942" spans="1:13">
      <c r="A942" s="112">
        <v>939</v>
      </c>
      <c r="B942" s="107">
        <v>42986</v>
      </c>
      <c r="C942" s="108">
        <v>47.44</v>
      </c>
      <c r="D942" s="115">
        <f t="shared" si="144"/>
        <v>47.680500000000002</v>
      </c>
      <c r="E942" s="115">
        <f t="shared" si="140"/>
        <v>-0.24050000000000438</v>
      </c>
      <c r="F942" s="115">
        <f t="shared" si="141"/>
        <v>0.24050000000000438</v>
      </c>
      <c r="G942" s="115">
        <f t="shared" si="142"/>
        <v>5.7840250000002105E-2</v>
      </c>
      <c r="H942" s="115">
        <f t="shared" si="143"/>
        <v>5.0695615514334824E-3</v>
      </c>
      <c r="I942" s="116">
        <f t="shared" si="136"/>
        <v>47.333400000000005</v>
      </c>
      <c r="J942" s="116">
        <f t="shared" si="137"/>
        <v>0.10659999999999314</v>
      </c>
      <c r="K942" s="116">
        <f t="shared" si="138"/>
        <v>0.10659999999999314</v>
      </c>
      <c r="L942" s="116">
        <f t="shared" si="139"/>
        <v>1.1363559999998538E-2</v>
      </c>
      <c r="M942" s="117">
        <f t="shared" si="135"/>
        <v>2.2470489038784389E-3</v>
      </c>
    </row>
    <row r="943" spans="1:13">
      <c r="A943" s="112">
        <v>940</v>
      </c>
      <c r="B943" s="113">
        <v>42989</v>
      </c>
      <c r="C943" s="114">
        <v>48.06</v>
      </c>
      <c r="D943" s="115">
        <f t="shared" si="144"/>
        <v>47.625500000000002</v>
      </c>
      <c r="E943" s="115">
        <f t="shared" si="140"/>
        <v>0.43449999999999989</v>
      </c>
      <c r="F943" s="115">
        <f t="shared" si="141"/>
        <v>0.43449999999999989</v>
      </c>
      <c r="G943" s="115">
        <f t="shared" si="142"/>
        <v>0.18879024999999991</v>
      </c>
      <c r="H943" s="115">
        <f t="shared" si="143"/>
        <v>9.0407823553890938E-3</v>
      </c>
      <c r="I943" s="116">
        <f t="shared" si="136"/>
        <v>47.387400000000007</v>
      </c>
      <c r="J943" s="116">
        <f t="shared" si="137"/>
        <v>0.67259999999999565</v>
      </c>
      <c r="K943" s="116">
        <f t="shared" si="138"/>
        <v>0.67259999999999565</v>
      </c>
      <c r="L943" s="116">
        <f t="shared" si="139"/>
        <v>0.45239075999999412</v>
      </c>
      <c r="M943" s="117">
        <f t="shared" si="135"/>
        <v>1.3995006242197162E-2</v>
      </c>
    </row>
    <row r="944" spans="1:13">
      <c r="A944" s="112">
        <v>941</v>
      </c>
      <c r="B944" s="107">
        <v>42990</v>
      </c>
      <c r="C944" s="108">
        <v>48.21</v>
      </c>
      <c r="D944" s="115">
        <f t="shared" si="144"/>
        <v>47.588000000000001</v>
      </c>
      <c r="E944" s="115">
        <f t="shared" si="140"/>
        <v>0.62199999999999989</v>
      </c>
      <c r="F944" s="115">
        <f t="shared" si="141"/>
        <v>0.62199999999999989</v>
      </c>
      <c r="G944" s="115">
        <f t="shared" si="142"/>
        <v>0.38688399999999984</v>
      </c>
      <c r="H944" s="115">
        <f t="shared" si="143"/>
        <v>1.2901887575191867E-2</v>
      </c>
      <c r="I944" s="116">
        <f t="shared" si="136"/>
        <v>47.451000000000001</v>
      </c>
      <c r="J944" s="116">
        <f t="shared" si="137"/>
        <v>0.75900000000000034</v>
      </c>
      <c r="K944" s="116">
        <f t="shared" si="138"/>
        <v>0.75900000000000034</v>
      </c>
      <c r="L944" s="116">
        <f t="shared" si="139"/>
        <v>0.57608100000000051</v>
      </c>
      <c r="M944" s="117">
        <f t="shared" si="135"/>
        <v>1.5743621655258253E-2</v>
      </c>
    </row>
    <row r="945" spans="1:13">
      <c r="A945" s="112">
        <v>942</v>
      </c>
      <c r="B945" s="113">
        <v>42991</v>
      </c>
      <c r="C945" s="114">
        <v>49.3</v>
      </c>
      <c r="D945" s="115">
        <f t="shared" si="144"/>
        <v>47.619000000000007</v>
      </c>
      <c r="E945" s="115">
        <f t="shared" si="140"/>
        <v>1.6809999999999903</v>
      </c>
      <c r="F945" s="115">
        <f t="shared" si="141"/>
        <v>1.6809999999999903</v>
      </c>
      <c r="G945" s="115">
        <f t="shared" si="142"/>
        <v>2.8257609999999671</v>
      </c>
      <c r="H945" s="115">
        <f t="shared" si="143"/>
        <v>3.4097363083164106E-2</v>
      </c>
      <c r="I945" s="116">
        <f t="shared" si="136"/>
        <v>47.494799999999998</v>
      </c>
      <c r="J945" s="116">
        <f t="shared" si="137"/>
        <v>1.8051999999999992</v>
      </c>
      <c r="K945" s="116">
        <f t="shared" si="138"/>
        <v>1.8051999999999992</v>
      </c>
      <c r="L945" s="116">
        <f t="shared" si="139"/>
        <v>3.2587470399999972</v>
      </c>
      <c r="M945" s="117">
        <f t="shared" si="135"/>
        <v>3.6616632860040556E-2</v>
      </c>
    </row>
    <row r="946" spans="1:13">
      <c r="A946" s="112">
        <v>943</v>
      </c>
      <c r="B946" s="107">
        <v>42992</v>
      </c>
      <c r="C946" s="108">
        <v>49.86</v>
      </c>
      <c r="D946" s="115">
        <f t="shared" si="144"/>
        <v>47.705499999999994</v>
      </c>
      <c r="E946" s="115">
        <f t="shared" si="140"/>
        <v>2.1545000000000059</v>
      </c>
      <c r="F946" s="115">
        <f t="shared" si="141"/>
        <v>2.1545000000000059</v>
      </c>
      <c r="G946" s="115">
        <f t="shared" si="142"/>
        <v>4.6418702500000251</v>
      </c>
      <c r="H946" s="115">
        <f t="shared" si="143"/>
        <v>4.321099077416779E-2</v>
      </c>
      <c r="I946" s="116">
        <f t="shared" si="136"/>
        <v>47.560400000000001</v>
      </c>
      <c r="J946" s="116">
        <f t="shared" si="137"/>
        <v>2.2995999999999981</v>
      </c>
      <c r="K946" s="116">
        <f t="shared" si="138"/>
        <v>2.2995999999999981</v>
      </c>
      <c r="L946" s="116">
        <f t="shared" si="139"/>
        <v>5.2881601599999914</v>
      </c>
      <c r="M946" s="117">
        <f t="shared" si="135"/>
        <v>4.6121139189731208E-2</v>
      </c>
    </row>
    <row r="947" spans="1:13">
      <c r="A947" s="112">
        <v>944</v>
      </c>
      <c r="B947" s="113">
        <v>42993</v>
      </c>
      <c r="C947" s="114">
        <v>49.9</v>
      </c>
      <c r="D947" s="115">
        <f t="shared" si="144"/>
        <v>47.858499999999999</v>
      </c>
      <c r="E947" s="115">
        <f t="shared" si="140"/>
        <v>2.0414999999999992</v>
      </c>
      <c r="F947" s="115">
        <f t="shared" si="141"/>
        <v>2.0414999999999992</v>
      </c>
      <c r="G947" s="115">
        <f t="shared" si="142"/>
        <v>4.1677222499999971</v>
      </c>
      <c r="H947" s="115">
        <f t="shared" si="143"/>
        <v>4.0911823647294572E-2</v>
      </c>
      <c r="I947" s="116">
        <f t="shared" si="136"/>
        <v>47.6554</v>
      </c>
      <c r="J947" s="116">
        <f t="shared" si="137"/>
        <v>2.2445999999999984</v>
      </c>
      <c r="K947" s="116">
        <f t="shared" si="138"/>
        <v>2.2445999999999984</v>
      </c>
      <c r="L947" s="116">
        <f t="shared" si="139"/>
        <v>5.0382291599999931</v>
      </c>
      <c r="M947" s="117">
        <f t="shared" si="135"/>
        <v>4.4981963927855681E-2</v>
      </c>
    </row>
    <row r="948" spans="1:13">
      <c r="A948" s="112">
        <v>945</v>
      </c>
      <c r="B948" s="107">
        <v>42996</v>
      </c>
      <c r="C948" s="108">
        <v>49.88</v>
      </c>
      <c r="D948" s="115">
        <f t="shared" si="144"/>
        <v>47.999999999999986</v>
      </c>
      <c r="E948" s="115">
        <f t="shared" si="140"/>
        <v>1.8800000000000168</v>
      </c>
      <c r="F948" s="115">
        <f t="shared" si="141"/>
        <v>1.8800000000000168</v>
      </c>
      <c r="G948" s="115">
        <f t="shared" si="142"/>
        <v>3.5344000000000633</v>
      </c>
      <c r="H948" s="115">
        <f t="shared" si="143"/>
        <v>3.7690457097033211E-2</v>
      </c>
      <c r="I948" s="116">
        <f t="shared" si="136"/>
        <v>47.743000000000009</v>
      </c>
      <c r="J948" s="116">
        <f t="shared" si="137"/>
        <v>2.1369999999999933</v>
      </c>
      <c r="K948" s="116">
        <f t="shared" si="138"/>
        <v>2.1369999999999933</v>
      </c>
      <c r="L948" s="116">
        <f t="shared" si="139"/>
        <v>4.5667689999999714</v>
      </c>
      <c r="M948" s="117">
        <f t="shared" si="135"/>
        <v>4.2842822774659048E-2</v>
      </c>
    </row>
    <row r="949" spans="1:13">
      <c r="A949" s="112">
        <v>946</v>
      </c>
      <c r="B949" s="113">
        <v>42997</v>
      </c>
      <c r="C949" s="114">
        <v>49.54</v>
      </c>
      <c r="D949" s="115">
        <f t="shared" si="144"/>
        <v>48.064499999999995</v>
      </c>
      <c r="E949" s="115">
        <f t="shared" si="140"/>
        <v>1.4755000000000038</v>
      </c>
      <c r="F949" s="115">
        <f t="shared" si="141"/>
        <v>1.4755000000000038</v>
      </c>
      <c r="G949" s="115">
        <f t="shared" si="142"/>
        <v>2.1771002500000112</v>
      </c>
      <c r="H949" s="115">
        <f t="shared" si="143"/>
        <v>2.978401291885353E-2</v>
      </c>
      <c r="I949" s="116">
        <f t="shared" si="136"/>
        <v>47.855600000000024</v>
      </c>
      <c r="J949" s="116">
        <f t="shared" si="137"/>
        <v>1.6843999999999753</v>
      </c>
      <c r="K949" s="116">
        <f t="shared" si="138"/>
        <v>1.6843999999999753</v>
      </c>
      <c r="L949" s="116">
        <f t="shared" si="139"/>
        <v>2.8372033599999167</v>
      </c>
      <c r="M949" s="117">
        <f t="shared" si="135"/>
        <v>3.4000807428340239E-2</v>
      </c>
    </row>
    <row r="950" spans="1:13">
      <c r="A950" s="112">
        <v>947</v>
      </c>
      <c r="B950" s="107">
        <v>42998</v>
      </c>
      <c r="C950" s="108">
        <v>50.29</v>
      </c>
      <c r="D950" s="115">
        <f t="shared" si="144"/>
        <v>48.171999999999997</v>
      </c>
      <c r="E950" s="115">
        <f t="shared" si="140"/>
        <v>2.1180000000000021</v>
      </c>
      <c r="F950" s="115">
        <f t="shared" si="141"/>
        <v>2.1180000000000021</v>
      </c>
      <c r="G950" s="115">
        <f t="shared" si="142"/>
        <v>4.4859240000000087</v>
      </c>
      <c r="H950" s="115">
        <f t="shared" si="143"/>
        <v>4.2115728773115972E-2</v>
      </c>
      <c r="I950" s="116">
        <f t="shared" si="136"/>
        <v>47.958400000000012</v>
      </c>
      <c r="J950" s="116">
        <f t="shared" si="137"/>
        <v>2.3315999999999875</v>
      </c>
      <c r="K950" s="116">
        <f t="shared" si="138"/>
        <v>2.3315999999999875</v>
      </c>
      <c r="L950" s="116">
        <f t="shared" si="139"/>
        <v>5.4363585599999418</v>
      </c>
      <c r="M950" s="117">
        <f t="shared" si="135"/>
        <v>4.6363094054483744E-2</v>
      </c>
    </row>
    <row r="951" spans="1:13">
      <c r="A951" s="112">
        <v>948</v>
      </c>
      <c r="B951" s="113">
        <v>42999</v>
      </c>
      <c r="C951" s="114">
        <v>50.58</v>
      </c>
      <c r="D951" s="115">
        <f t="shared" si="144"/>
        <v>48.303999999999988</v>
      </c>
      <c r="E951" s="115">
        <f t="shared" si="140"/>
        <v>2.2760000000000105</v>
      </c>
      <c r="F951" s="115">
        <f t="shared" si="141"/>
        <v>2.2760000000000105</v>
      </c>
      <c r="G951" s="115">
        <f t="shared" si="142"/>
        <v>5.1801760000000474</v>
      </c>
      <c r="H951" s="115">
        <f t="shared" si="143"/>
        <v>4.4998022933966202E-2</v>
      </c>
      <c r="I951" s="116">
        <f t="shared" si="136"/>
        <v>48.063000000000017</v>
      </c>
      <c r="J951" s="116">
        <f t="shared" si="137"/>
        <v>2.5169999999999817</v>
      </c>
      <c r="K951" s="116">
        <f t="shared" si="138"/>
        <v>2.5169999999999817</v>
      </c>
      <c r="L951" s="116">
        <f t="shared" si="139"/>
        <v>6.335288999999908</v>
      </c>
      <c r="M951" s="117">
        <f t="shared" ref="M951:M1014" si="145">J951/C951</f>
        <v>4.9762752075918973E-2</v>
      </c>
    </row>
    <row r="952" spans="1:13">
      <c r="A952" s="112">
        <v>949</v>
      </c>
      <c r="B952" s="107">
        <v>43000</v>
      </c>
      <c r="C952" s="108">
        <v>50.33</v>
      </c>
      <c r="D952" s="115">
        <f t="shared" si="144"/>
        <v>48.410499999999999</v>
      </c>
      <c r="E952" s="115">
        <f t="shared" si="140"/>
        <v>1.9194999999999993</v>
      </c>
      <c r="F952" s="115">
        <f t="shared" si="141"/>
        <v>1.9194999999999993</v>
      </c>
      <c r="G952" s="115">
        <f t="shared" si="142"/>
        <v>3.6844802499999973</v>
      </c>
      <c r="H952" s="115">
        <f t="shared" si="143"/>
        <v>3.813828730379494E-2</v>
      </c>
      <c r="I952" s="116">
        <f t="shared" ref="I952:I1015" si="146">AVERAGE(C902:C951)</f>
        <v>48.165000000000006</v>
      </c>
      <c r="J952" s="116">
        <f t="shared" ref="J952:J1015" si="147">C952-I952</f>
        <v>2.164999999999992</v>
      </c>
      <c r="K952" s="116">
        <f t="shared" ref="K952:K1015" si="148">ABS(J952)</f>
        <v>2.164999999999992</v>
      </c>
      <c r="L952" s="116">
        <f t="shared" ref="L952:L1015" si="149">J952^2</f>
        <v>4.6872249999999651</v>
      </c>
      <c r="M952" s="117">
        <f t="shared" si="145"/>
        <v>4.3016093781044942E-2</v>
      </c>
    </row>
    <row r="953" spans="1:13">
      <c r="A953" s="112">
        <v>950</v>
      </c>
      <c r="B953" s="113">
        <v>43003</v>
      </c>
      <c r="C953" s="114">
        <v>51.85</v>
      </c>
      <c r="D953" s="115">
        <f t="shared" si="144"/>
        <v>48.565000000000005</v>
      </c>
      <c r="E953" s="115">
        <f t="shared" si="140"/>
        <v>3.2849999999999966</v>
      </c>
      <c r="F953" s="115">
        <f t="shared" si="141"/>
        <v>3.2849999999999966</v>
      </c>
      <c r="G953" s="115">
        <f t="shared" si="142"/>
        <v>10.791224999999978</v>
      </c>
      <c r="H953" s="115">
        <f t="shared" si="143"/>
        <v>6.3355834136933395E-2</v>
      </c>
      <c r="I953" s="116">
        <f t="shared" si="146"/>
        <v>48.250400000000006</v>
      </c>
      <c r="J953" s="116">
        <f t="shared" si="147"/>
        <v>3.5995999999999952</v>
      </c>
      <c r="K953" s="116">
        <f t="shared" si="148"/>
        <v>3.5995999999999952</v>
      </c>
      <c r="L953" s="116">
        <f t="shared" si="149"/>
        <v>12.957120159999965</v>
      </c>
      <c r="M953" s="117">
        <f t="shared" si="145"/>
        <v>6.9423336547733749E-2</v>
      </c>
    </row>
    <row r="954" spans="1:13">
      <c r="A954" s="112">
        <v>951</v>
      </c>
      <c r="B954" s="107">
        <v>43004</v>
      </c>
      <c r="C954" s="108">
        <v>51.59</v>
      </c>
      <c r="D954" s="115">
        <f t="shared" si="144"/>
        <v>48.774999999999999</v>
      </c>
      <c r="E954" s="115">
        <f t="shared" si="140"/>
        <v>2.8150000000000048</v>
      </c>
      <c r="F954" s="115">
        <f t="shared" si="141"/>
        <v>2.8150000000000048</v>
      </c>
      <c r="G954" s="115">
        <f t="shared" si="142"/>
        <v>7.9242250000000274</v>
      </c>
      <c r="H954" s="115">
        <f t="shared" si="143"/>
        <v>5.4564838146927787E-2</v>
      </c>
      <c r="I954" s="116">
        <f t="shared" si="146"/>
        <v>48.356800000000014</v>
      </c>
      <c r="J954" s="116">
        <f t="shared" si="147"/>
        <v>3.2331999999999894</v>
      </c>
      <c r="K954" s="116">
        <f t="shared" si="148"/>
        <v>3.2331999999999894</v>
      </c>
      <c r="L954" s="116">
        <f t="shared" si="149"/>
        <v>10.453582239999932</v>
      </c>
      <c r="M954" s="117">
        <f t="shared" si="145"/>
        <v>6.2671060283000374E-2</v>
      </c>
    </row>
    <row r="955" spans="1:13">
      <c r="A955" s="112">
        <v>952</v>
      </c>
      <c r="B955" s="113">
        <v>43005</v>
      </c>
      <c r="C955" s="114">
        <v>52.14</v>
      </c>
      <c r="D955" s="115">
        <f t="shared" si="144"/>
        <v>49.034500000000001</v>
      </c>
      <c r="E955" s="115">
        <f t="shared" si="140"/>
        <v>3.1054999999999993</v>
      </c>
      <c r="F955" s="115">
        <f t="shared" si="141"/>
        <v>3.1054999999999993</v>
      </c>
      <c r="G955" s="115">
        <f t="shared" si="142"/>
        <v>9.6441302499999946</v>
      </c>
      <c r="H955" s="115">
        <f t="shared" si="143"/>
        <v>5.9560797851937075E-2</v>
      </c>
      <c r="I955" s="116">
        <f t="shared" si="146"/>
        <v>48.468200000000003</v>
      </c>
      <c r="J955" s="116">
        <f t="shared" si="147"/>
        <v>3.6717999999999975</v>
      </c>
      <c r="K955" s="116">
        <f t="shared" si="148"/>
        <v>3.6717999999999975</v>
      </c>
      <c r="L955" s="116">
        <f t="shared" si="149"/>
        <v>13.482115239999981</v>
      </c>
      <c r="M955" s="117">
        <f t="shared" si="145"/>
        <v>7.0421940928269991E-2</v>
      </c>
    </row>
    <row r="956" spans="1:13">
      <c r="A956" s="112">
        <v>953</v>
      </c>
      <c r="B956" s="107">
        <v>43006</v>
      </c>
      <c r="C956" s="108">
        <v>51.62</v>
      </c>
      <c r="D956" s="115">
        <f t="shared" si="144"/>
        <v>49.3185</v>
      </c>
      <c r="E956" s="115">
        <f t="shared" si="140"/>
        <v>2.3014999999999972</v>
      </c>
      <c r="F956" s="115">
        <f t="shared" si="141"/>
        <v>2.3014999999999972</v>
      </c>
      <c r="G956" s="115">
        <f t="shared" si="142"/>
        <v>5.2969022499999872</v>
      </c>
      <c r="H956" s="115">
        <f t="shared" si="143"/>
        <v>4.4585432003099522E-2</v>
      </c>
      <c r="I956" s="116">
        <f t="shared" si="146"/>
        <v>48.582999999999998</v>
      </c>
      <c r="J956" s="116">
        <f t="shared" si="147"/>
        <v>3.036999999999999</v>
      </c>
      <c r="K956" s="116">
        <f t="shared" si="148"/>
        <v>3.036999999999999</v>
      </c>
      <c r="L956" s="116">
        <f t="shared" si="149"/>
        <v>9.2233689999999946</v>
      </c>
      <c r="M956" s="117">
        <f t="shared" si="145"/>
        <v>5.8833785354513737E-2</v>
      </c>
    </row>
    <row r="957" spans="1:13">
      <c r="A957" s="112">
        <v>954</v>
      </c>
      <c r="B957" s="113">
        <v>43007</v>
      </c>
      <c r="C957" s="114">
        <v>51.67</v>
      </c>
      <c r="D957" s="115">
        <f t="shared" si="144"/>
        <v>49.601500000000001</v>
      </c>
      <c r="E957" s="115">
        <f t="shared" si="140"/>
        <v>2.0685000000000002</v>
      </c>
      <c r="F957" s="115">
        <f t="shared" si="141"/>
        <v>2.0685000000000002</v>
      </c>
      <c r="G957" s="115">
        <f t="shared" si="142"/>
        <v>4.2786922500000006</v>
      </c>
      <c r="H957" s="115">
        <f t="shared" si="143"/>
        <v>4.003290110315464E-2</v>
      </c>
      <c r="I957" s="116">
        <f t="shared" si="146"/>
        <v>48.673400000000008</v>
      </c>
      <c r="J957" s="116">
        <f t="shared" si="147"/>
        <v>2.9965999999999937</v>
      </c>
      <c r="K957" s="116">
        <f t="shared" si="148"/>
        <v>2.9965999999999937</v>
      </c>
      <c r="L957" s="116">
        <f t="shared" si="149"/>
        <v>8.9796115599999631</v>
      </c>
      <c r="M957" s="117">
        <f t="shared" si="145"/>
        <v>5.7994968066576225E-2</v>
      </c>
    </row>
    <row r="958" spans="1:13">
      <c r="A958" s="112">
        <v>955</v>
      </c>
      <c r="B958" s="107">
        <v>43010</v>
      </c>
      <c r="C958" s="108">
        <v>50.59</v>
      </c>
      <c r="D958" s="115">
        <f t="shared" si="144"/>
        <v>49.822000000000003</v>
      </c>
      <c r="E958" s="115">
        <f t="shared" si="140"/>
        <v>0.76800000000000068</v>
      </c>
      <c r="F958" s="115">
        <f t="shared" si="141"/>
        <v>0.76800000000000068</v>
      </c>
      <c r="G958" s="115">
        <f t="shared" si="142"/>
        <v>0.58982400000000101</v>
      </c>
      <c r="H958" s="115">
        <f t="shared" si="143"/>
        <v>1.5180865783751742E-2</v>
      </c>
      <c r="I958" s="116">
        <f t="shared" si="146"/>
        <v>48.772200000000012</v>
      </c>
      <c r="J958" s="116">
        <f t="shared" si="147"/>
        <v>1.8177999999999912</v>
      </c>
      <c r="K958" s="116">
        <f t="shared" si="148"/>
        <v>1.8177999999999912</v>
      </c>
      <c r="L958" s="116">
        <f t="shared" si="149"/>
        <v>3.3043968399999679</v>
      </c>
      <c r="M958" s="117">
        <f t="shared" si="145"/>
        <v>3.5932002372010101E-2</v>
      </c>
    </row>
    <row r="959" spans="1:13">
      <c r="A959" s="112">
        <v>956</v>
      </c>
      <c r="B959" s="113">
        <v>43011</v>
      </c>
      <c r="C959" s="114">
        <v>50.44</v>
      </c>
      <c r="D959" s="115">
        <f t="shared" si="144"/>
        <v>49.985500000000002</v>
      </c>
      <c r="E959" s="115">
        <f t="shared" si="140"/>
        <v>0.45449999999999591</v>
      </c>
      <c r="F959" s="115">
        <f t="shared" si="141"/>
        <v>0.45449999999999591</v>
      </c>
      <c r="G959" s="115">
        <f t="shared" si="142"/>
        <v>0.20657024999999629</v>
      </c>
      <c r="H959" s="115">
        <f t="shared" si="143"/>
        <v>9.0107057890562239E-3</v>
      </c>
      <c r="I959" s="116">
        <f t="shared" si="146"/>
        <v>48.868400000000008</v>
      </c>
      <c r="J959" s="116">
        <f t="shared" si="147"/>
        <v>1.5715999999999894</v>
      </c>
      <c r="K959" s="116">
        <f t="shared" si="148"/>
        <v>1.5715999999999894</v>
      </c>
      <c r="L959" s="116">
        <f t="shared" si="149"/>
        <v>2.4699265599999669</v>
      </c>
      <c r="M959" s="117">
        <f t="shared" si="145"/>
        <v>3.1157811260903837E-2</v>
      </c>
    </row>
    <row r="960" spans="1:13">
      <c r="A960" s="112">
        <v>957</v>
      </c>
      <c r="B960" s="107">
        <v>43012</v>
      </c>
      <c r="C960" s="108">
        <v>50</v>
      </c>
      <c r="D960" s="115">
        <f t="shared" si="144"/>
        <v>50.076000000000008</v>
      </c>
      <c r="E960" s="115">
        <f t="shared" si="140"/>
        <v>-7.6000000000007617E-2</v>
      </c>
      <c r="F960" s="115">
        <f t="shared" si="141"/>
        <v>7.6000000000007617E-2</v>
      </c>
      <c r="G960" s="115">
        <f t="shared" si="142"/>
        <v>5.7760000000011578E-3</v>
      </c>
      <c r="H960" s="115">
        <f t="shared" si="143"/>
        <v>1.5200000000001523E-3</v>
      </c>
      <c r="I960" s="116">
        <f t="shared" si="146"/>
        <v>48.95300000000001</v>
      </c>
      <c r="J960" s="116">
        <f t="shared" si="147"/>
        <v>1.0469999999999899</v>
      </c>
      <c r="K960" s="116">
        <f t="shared" si="148"/>
        <v>1.0469999999999899</v>
      </c>
      <c r="L960" s="116">
        <f t="shared" si="149"/>
        <v>1.0962089999999789</v>
      </c>
      <c r="M960" s="117">
        <f t="shared" si="145"/>
        <v>2.0939999999999799E-2</v>
      </c>
    </row>
    <row r="961" spans="1:13">
      <c r="A961" s="112">
        <v>958</v>
      </c>
      <c r="B961" s="113">
        <v>43013</v>
      </c>
      <c r="C961" s="114">
        <v>50.79</v>
      </c>
      <c r="D961" s="115">
        <f t="shared" si="144"/>
        <v>50.119500000000002</v>
      </c>
      <c r="E961" s="115">
        <f t="shared" si="140"/>
        <v>0.67049999999999699</v>
      </c>
      <c r="F961" s="115">
        <f t="shared" si="141"/>
        <v>0.67049999999999699</v>
      </c>
      <c r="G961" s="115">
        <f t="shared" si="142"/>
        <v>0.44957024999999595</v>
      </c>
      <c r="H961" s="115">
        <f t="shared" si="143"/>
        <v>1.3201417601890076E-2</v>
      </c>
      <c r="I961" s="116">
        <f t="shared" si="146"/>
        <v>48.997600000000013</v>
      </c>
      <c r="J961" s="116">
        <f t="shared" si="147"/>
        <v>1.7923999999999864</v>
      </c>
      <c r="K961" s="116">
        <f t="shared" si="148"/>
        <v>1.7923999999999864</v>
      </c>
      <c r="L961" s="116">
        <f t="shared" si="149"/>
        <v>3.2126977599999513</v>
      </c>
      <c r="M961" s="117">
        <f t="shared" si="145"/>
        <v>3.5290411498326173E-2</v>
      </c>
    </row>
    <row r="962" spans="1:13">
      <c r="A962" s="112">
        <v>959</v>
      </c>
      <c r="B962" s="107">
        <v>43014</v>
      </c>
      <c r="C962" s="108">
        <v>49.34</v>
      </c>
      <c r="D962" s="115">
        <f t="shared" si="144"/>
        <v>50.203999999999994</v>
      </c>
      <c r="E962" s="115">
        <f t="shared" si="140"/>
        <v>-0.86399999999999011</v>
      </c>
      <c r="F962" s="115">
        <f t="shared" si="141"/>
        <v>0.86399999999999011</v>
      </c>
      <c r="G962" s="115">
        <f t="shared" si="142"/>
        <v>0.74649599999998295</v>
      </c>
      <c r="H962" s="115">
        <f t="shared" si="143"/>
        <v>1.7511147142277868E-2</v>
      </c>
      <c r="I962" s="116">
        <f t="shared" si="146"/>
        <v>49.041800000000002</v>
      </c>
      <c r="J962" s="116">
        <f t="shared" si="147"/>
        <v>0.29820000000000135</v>
      </c>
      <c r="K962" s="116">
        <f t="shared" si="148"/>
        <v>0.29820000000000135</v>
      </c>
      <c r="L962" s="116">
        <f t="shared" si="149"/>
        <v>8.8923240000000806E-2</v>
      </c>
      <c r="M962" s="117">
        <f t="shared" si="145"/>
        <v>6.0437778678557224E-3</v>
      </c>
    </row>
    <row r="963" spans="1:13">
      <c r="A963" s="112">
        <v>960</v>
      </c>
      <c r="B963" s="113">
        <v>43017</v>
      </c>
      <c r="C963" s="114">
        <v>49.58</v>
      </c>
      <c r="D963" s="115">
        <f t="shared" si="144"/>
        <v>50.299000000000007</v>
      </c>
      <c r="E963" s="115">
        <f t="shared" si="140"/>
        <v>-0.7190000000000083</v>
      </c>
      <c r="F963" s="115">
        <f t="shared" si="141"/>
        <v>0.7190000000000083</v>
      </c>
      <c r="G963" s="115">
        <f t="shared" si="142"/>
        <v>0.51696100000001188</v>
      </c>
      <c r="H963" s="115">
        <f t="shared" si="143"/>
        <v>1.4501815248084072E-2</v>
      </c>
      <c r="I963" s="116">
        <f t="shared" si="146"/>
        <v>49.047600000000003</v>
      </c>
      <c r="J963" s="116">
        <f t="shared" si="147"/>
        <v>0.53239999999999554</v>
      </c>
      <c r="K963" s="116">
        <f t="shared" si="148"/>
        <v>0.53239999999999554</v>
      </c>
      <c r="L963" s="116">
        <f t="shared" si="149"/>
        <v>0.28344975999999528</v>
      </c>
      <c r="M963" s="117">
        <f t="shared" si="145"/>
        <v>1.073820088745453E-2</v>
      </c>
    </row>
    <row r="964" spans="1:13">
      <c r="A964" s="112">
        <v>961</v>
      </c>
      <c r="B964" s="107">
        <v>43018</v>
      </c>
      <c r="C964" s="108">
        <v>50.93</v>
      </c>
      <c r="D964" s="115">
        <f t="shared" si="144"/>
        <v>50.375</v>
      </c>
      <c r="E964" s="115">
        <f t="shared" si="140"/>
        <v>0.55499999999999972</v>
      </c>
      <c r="F964" s="115">
        <f t="shared" si="141"/>
        <v>0.55499999999999972</v>
      </c>
      <c r="G964" s="115">
        <f t="shared" si="142"/>
        <v>0.30802499999999966</v>
      </c>
      <c r="H964" s="115">
        <f t="shared" si="143"/>
        <v>1.0897310033379142E-2</v>
      </c>
      <c r="I964" s="116">
        <f t="shared" si="146"/>
        <v>49.044800000000002</v>
      </c>
      <c r="J964" s="116">
        <f t="shared" si="147"/>
        <v>1.8851999999999975</v>
      </c>
      <c r="K964" s="116">
        <f t="shared" si="148"/>
        <v>1.8851999999999975</v>
      </c>
      <c r="L964" s="116">
        <f t="shared" si="149"/>
        <v>3.5539790399999909</v>
      </c>
      <c r="M964" s="117">
        <f t="shared" si="145"/>
        <v>3.7015511486353771E-2</v>
      </c>
    </row>
    <row r="965" spans="1:13">
      <c r="A965" s="112">
        <v>962</v>
      </c>
      <c r="B965" s="113">
        <v>43019</v>
      </c>
      <c r="C965" s="114">
        <v>51.3</v>
      </c>
      <c r="D965" s="115">
        <f t="shared" si="144"/>
        <v>50.510999999999996</v>
      </c>
      <c r="E965" s="115">
        <f t="shared" si="140"/>
        <v>0.78900000000000148</v>
      </c>
      <c r="F965" s="115">
        <f t="shared" si="141"/>
        <v>0.78900000000000148</v>
      </c>
      <c r="G965" s="115">
        <f t="shared" si="142"/>
        <v>0.62252100000000232</v>
      </c>
      <c r="H965" s="115">
        <f t="shared" si="143"/>
        <v>1.5380116959064357E-2</v>
      </c>
      <c r="I965" s="116">
        <f t="shared" si="146"/>
        <v>49.059200000000004</v>
      </c>
      <c r="J965" s="116">
        <f t="shared" si="147"/>
        <v>2.240799999999993</v>
      </c>
      <c r="K965" s="116">
        <f t="shared" si="148"/>
        <v>2.240799999999993</v>
      </c>
      <c r="L965" s="116">
        <f t="shared" si="149"/>
        <v>5.0211846399999684</v>
      </c>
      <c r="M965" s="117">
        <f t="shared" si="145"/>
        <v>4.3680311890838076E-2</v>
      </c>
    </row>
    <row r="966" spans="1:13">
      <c r="A966" s="112">
        <v>963</v>
      </c>
      <c r="B966" s="107">
        <v>43020</v>
      </c>
      <c r="C966" s="108">
        <v>50.61</v>
      </c>
      <c r="D966" s="115">
        <f t="shared" si="144"/>
        <v>50.610999999999997</v>
      </c>
      <c r="E966" s="115">
        <f t="shared" si="140"/>
        <v>-9.9999999999766942E-4</v>
      </c>
      <c r="F966" s="115">
        <f t="shared" si="141"/>
        <v>9.9999999999766942E-4</v>
      </c>
      <c r="G966" s="115">
        <f t="shared" si="142"/>
        <v>9.9999999999533894E-7</v>
      </c>
      <c r="H966" s="115">
        <f t="shared" si="143"/>
        <v>1.9758940920720596E-5</v>
      </c>
      <c r="I966" s="116">
        <f t="shared" si="146"/>
        <v>49.101400000000005</v>
      </c>
      <c r="J966" s="116">
        <f t="shared" si="147"/>
        <v>1.5085999999999942</v>
      </c>
      <c r="K966" s="116">
        <f t="shared" si="148"/>
        <v>1.5085999999999942</v>
      </c>
      <c r="L966" s="116">
        <f t="shared" si="149"/>
        <v>2.2758739599999824</v>
      </c>
      <c r="M966" s="117">
        <f t="shared" si="145"/>
        <v>2.980833827306845E-2</v>
      </c>
    </row>
    <row r="967" spans="1:13">
      <c r="A967" s="112">
        <v>964</v>
      </c>
      <c r="B967" s="113">
        <v>43021</v>
      </c>
      <c r="C967" s="114">
        <v>51.43</v>
      </c>
      <c r="D967" s="115">
        <f t="shared" si="144"/>
        <v>50.648499999999999</v>
      </c>
      <c r="E967" s="115">
        <f t="shared" si="140"/>
        <v>0.78150000000000119</v>
      </c>
      <c r="F967" s="115">
        <f t="shared" si="141"/>
        <v>0.78150000000000119</v>
      </c>
      <c r="G967" s="115">
        <f t="shared" si="142"/>
        <v>0.61074225000000182</v>
      </c>
      <c r="H967" s="115">
        <f t="shared" si="143"/>
        <v>1.519541123857673E-2</v>
      </c>
      <c r="I967" s="116">
        <f t="shared" si="146"/>
        <v>49.121600000000008</v>
      </c>
      <c r="J967" s="116">
        <f t="shared" si="147"/>
        <v>2.3083999999999918</v>
      </c>
      <c r="K967" s="116">
        <f t="shared" si="148"/>
        <v>2.3083999999999918</v>
      </c>
      <c r="L967" s="116">
        <f t="shared" si="149"/>
        <v>5.328710559999962</v>
      </c>
      <c r="M967" s="117">
        <f t="shared" si="145"/>
        <v>4.4884308769200694E-2</v>
      </c>
    </row>
    <row r="968" spans="1:13">
      <c r="A968" s="112">
        <v>965</v>
      </c>
      <c r="B968" s="107">
        <v>43024</v>
      </c>
      <c r="C968" s="108">
        <v>51.86</v>
      </c>
      <c r="D968" s="115">
        <f t="shared" si="144"/>
        <v>50.724999999999994</v>
      </c>
      <c r="E968" s="115">
        <f t="shared" si="140"/>
        <v>1.1350000000000051</v>
      </c>
      <c r="F968" s="115">
        <f t="shared" si="141"/>
        <v>1.1350000000000051</v>
      </c>
      <c r="G968" s="115">
        <f t="shared" si="142"/>
        <v>1.2882250000000117</v>
      </c>
      <c r="H968" s="115">
        <f t="shared" si="143"/>
        <v>2.1885846509834269E-2</v>
      </c>
      <c r="I968" s="116">
        <f t="shared" si="146"/>
        <v>49.169599999999988</v>
      </c>
      <c r="J968" s="116">
        <f t="shared" si="147"/>
        <v>2.690400000000011</v>
      </c>
      <c r="K968" s="116">
        <f t="shared" si="148"/>
        <v>2.690400000000011</v>
      </c>
      <c r="L968" s="116">
        <f t="shared" si="149"/>
        <v>7.2382521600000596</v>
      </c>
      <c r="M968" s="117">
        <f t="shared" si="145"/>
        <v>5.1878133436174527E-2</v>
      </c>
    </row>
    <row r="969" spans="1:13">
      <c r="A969" s="112">
        <v>966</v>
      </c>
      <c r="B969" s="113">
        <v>43025</v>
      </c>
      <c r="C969" s="114">
        <v>51.87</v>
      </c>
      <c r="D969" s="115">
        <f t="shared" si="144"/>
        <v>50.823999999999998</v>
      </c>
      <c r="E969" s="115">
        <f t="shared" si="140"/>
        <v>1.0459999999999994</v>
      </c>
      <c r="F969" s="115">
        <f t="shared" si="141"/>
        <v>1.0459999999999994</v>
      </c>
      <c r="G969" s="115">
        <f t="shared" si="142"/>
        <v>1.0941159999999988</v>
      </c>
      <c r="H969" s="115">
        <f t="shared" si="143"/>
        <v>2.0165799113167522E-2</v>
      </c>
      <c r="I969" s="116">
        <f t="shared" si="146"/>
        <v>49.215400000000002</v>
      </c>
      <c r="J969" s="116">
        <f t="shared" si="147"/>
        <v>2.654599999999995</v>
      </c>
      <c r="K969" s="116">
        <f t="shared" si="148"/>
        <v>2.654599999999995</v>
      </c>
      <c r="L969" s="116">
        <f t="shared" si="149"/>
        <v>7.0469011599999734</v>
      </c>
      <c r="M969" s="117">
        <f t="shared" si="145"/>
        <v>5.1177944862155295E-2</v>
      </c>
    </row>
    <row r="970" spans="1:13">
      <c r="A970" s="112">
        <v>967</v>
      </c>
      <c r="B970" s="107">
        <v>43026</v>
      </c>
      <c r="C970" s="108">
        <v>52.05</v>
      </c>
      <c r="D970" s="115">
        <f t="shared" si="144"/>
        <v>50.940499999999993</v>
      </c>
      <c r="E970" s="115">
        <f t="shared" si="140"/>
        <v>1.1095000000000041</v>
      </c>
      <c r="F970" s="115">
        <f t="shared" si="141"/>
        <v>1.1095000000000041</v>
      </c>
      <c r="G970" s="115">
        <f t="shared" si="142"/>
        <v>1.2309902500000092</v>
      </c>
      <c r="H970" s="115">
        <f t="shared" si="143"/>
        <v>2.1316042267050993E-2</v>
      </c>
      <c r="I970" s="116">
        <f t="shared" si="146"/>
        <v>49.2654</v>
      </c>
      <c r="J970" s="116">
        <f t="shared" si="147"/>
        <v>2.7845999999999975</v>
      </c>
      <c r="K970" s="116">
        <f t="shared" si="148"/>
        <v>2.7845999999999975</v>
      </c>
      <c r="L970" s="116">
        <f t="shared" si="149"/>
        <v>7.7539971599999866</v>
      </c>
      <c r="M970" s="117">
        <f t="shared" si="145"/>
        <v>5.3498559077809753E-2</v>
      </c>
    </row>
    <row r="971" spans="1:13">
      <c r="A971" s="112">
        <v>968</v>
      </c>
      <c r="B971" s="113">
        <v>43027</v>
      </c>
      <c r="C971" s="114">
        <v>51.29</v>
      </c>
      <c r="D971" s="115">
        <f t="shared" si="144"/>
        <v>51.028499999999994</v>
      </c>
      <c r="E971" s="115">
        <f t="shared" si="140"/>
        <v>0.26150000000000517</v>
      </c>
      <c r="F971" s="115">
        <f t="shared" si="141"/>
        <v>0.26150000000000517</v>
      </c>
      <c r="G971" s="115">
        <f t="shared" si="142"/>
        <v>6.8382250000002712E-2</v>
      </c>
      <c r="H971" s="115">
        <f t="shared" si="143"/>
        <v>5.0984597387405961E-3</v>
      </c>
      <c r="I971" s="116">
        <f t="shared" si="146"/>
        <v>49.325000000000003</v>
      </c>
      <c r="J971" s="116">
        <f t="shared" si="147"/>
        <v>1.9649999999999963</v>
      </c>
      <c r="K971" s="116">
        <f t="shared" si="148"/>
        <v>1.9649999999999963</v>
      </c>
      <c r="L971" s="116">
        <f t="shared" si="149"/>
        <v>3.8612249999999855</v>
      </c>
      <c r="M971" s="117">
        <f t="shared" si="145"/>
        <v>3.8311561707935197E-2</v>
      </c>
    </row>
    <row r="972" spans="1:13">
      <c r="A972" s="112">
        <v>969</v>
      </c>
      <c r="B972" s="107">
        <v>43028</v>
      </c>
      <c r="C972" s="108">
        <v>51.63</v>
      </c>
      <c r="D972" s="115">
        <f t="shared" si="144"/>
        <v>51.064</v>
      </c>
      <c r="E972" s="115">
        <f t="shared" si="140"/>
        <v>0.5660000000000025</v>
      </c>
      <c r="F972" s="115">
        <f t="shared" si="141"/>
        <v>0.5660000000000025</v>
      </c>
      <c r="G972" s="115">
        <f t="shared" si="142"/>
        <v>0.32035600000000281</v>
      </c>
      <c r="H972" s="115">
        <f t="shared" si="143"/>
        <v>1.0962618632578006E-2</v>
      </c>
      <c r="I972" s="116">
        <f t="shared" si="146"/>
        <v>49.358999999999995</v>
      </c>
      <c r="J972" s="116">
        <f t="shared" si="147"/>
        <v>2.2710000000000079</v>
      </c>
      <c r="K972" s="116">
        <f t="shared" si="148"/>
        <v>2.2710000000000079</v>
      </c>
      <c r="L972" s="116">
        <f t="shared" si="149"/>
        <v>5.1574410000000359</v>
      </c>
      <c r="M972" s="117">
        <f t="shared" si="145"/>
        <v>4.3986054619407473E-2</v>
      </c>
    </row>
    <row r="973" spans="1:13">
      <c r="A973" s="112">
        <v>970</v>
      </c>
      <c r="B973" s="113">
        <v>43031</v>
      </c>
      <c r="C973" s="114">
        <v>51.91</v>
      </c>
      <c r="D973" s="115">
        <f t="shared" si="144"/>
        <v>51.128999999999998</v>
      </c>
      <c r="E973" s="115">
        <f t="shared" si="140"/>
        <v>0.78099999999999881</v>
      </c>
      <c r="F973" s="115">
        <f t="shared" si="141"/>
        <v>0.78099999999999881</v>
      </c>
      <c r="G973" s="115">
        <f t="shared" si="142"/>
        <v>0.60996099999999809</v>
      </c>
      <c r="H973" s="115">
        <f t="shared" si="143"/>
        <v>1.5045270660758983E-2</v>
      </c>
      <c r="I973" s="116">
        <f t="shared" si="146"/>
        <v>49.4208</v>
      </c>
      <c r="J973" s="116">
        <f t="shared" si="147"/>
        <v>2.4891999999999967</v>
      </c>
      <c r="K973" s="116">
        <f t="shared" si="148"/>
        <v>2.4891999999999967</v>
      </c>
      <c r="L973" s="116">
        <f t="shared" si="149"/>
        <v>6.1961166399999836</v>
      </c>
      <c r="M973" s="117">
        <f t="shared" si="145"/>
        <v>4.7952225004815968E-2</v>
      </c>
    </row>
    <row r="974" spans="1:13">
      <c r="A974" s="112">
        <v>971</v>
      </c>
      <c r="B974" s="107">
        <v>43032</v>
      </c>
      <c r="C974" s="108">
        <v>52.32</v>
      </c>
      <c r="D974" s="115">
        <f t="shared" si="144"/>
        <v>51.131999999999991</v>
      </c>
      <c r="E974" s="115">
        <f t="shared" si="140"/>
        <v>1.1880000000000095</v>
      </c>
      <c r="F974" s="115">
        <f t="shared" si="141"/>
        <v>1.1880000000000095</v>
      </c>
      <c r="G974" s="115">
        <f t="shared" si="142"/>
        <v>1.4113440000000226</v>
      </c>
      <c r="H974" s="115">
        <f t="shared" si="143"/>
        <v>2.2706422018348806E-2</v>
      </c>
      <c r="I974" s="116">
        <f t="shared" si="146"/>
        <v>49.482799999999997</v>
      </c>
      <c r="J974" s="116">
        <f t="shared" si="147"/>
        <v>2.8372000000000028</v>
      </c>
      <c r="K974" s="116">
        <f t="shared" si="148"/>
        <v>2.8372000000000028</v>
      </c>
      <c r="L974" s="116">
        <f t="shared" si="149"/>
        <v>8.0497038400000154</v>
      </c>
      <c r="M974" s="117">
        <f t="shared" si="145"/>
        <v>5.4227828746177424E-2</v>
      </c>
    </row>
    <row r="975" spans="1:13">
      <c r="A975" s="112">
        <v>972</v>
      </c>
      <c r="B975" s="113">
        <v>43033</v>
      </c>
      <c r="C975" s="114">
        <v>51.97</v>
      </c>
      <c r="D975" s="115">
        <f t="shared" si="144"/>
        <v>51.168499999999995</v>
      </c>
      <c r="E975" s="115">
        <f t="shared" si="140"/>
        <v>0.80150000000000432</v>
      </c>
      <c r="F975" s="115">
        <f t="shared" si="141"/>
        <v>0.80150000000000432</v>
      </c>
      <c r="G975" s="115">
        <f t="shared" si="142"/>
        <v>0.64240225000000695</v>
      </c>
      <c r="H975" s="115">
        <f t="shared" si="143"/>
        <v>1.5422359053300064E-2</v>
      </c>
      <c r="I975" s="116">
        <f t="shared" si="146"/>
        <v>49.577399999999997</v>
      </c>
      <c r="J975" s="116">
        <f t="shared" si="147"/>
        <v>2.3926000000000016</v>
      </c>
      <c r="K975" s="116">
        <f t="shared" si="148"/>
        <v>2.3926000000000016</v>
      </c>
      <c r="L975" s="116">
        <f t="shared" si="149"/>
        <v>5.724534760000008</v>
      </c>
      <c r="M975" s="117">
        <f t="shared" si="145"/>
        <v>4.6038098903213427E-2</v>
      </c>
    </row>
    <row r="976" spans="1:13">
      <c r="A976" s="112">
        <v>973</v>
      </c>
      <c r="B976" s="107">
        <v>43034</v>
      </c>
      <c r="C976" s="108">
        <v>52.41</v>
      </c>
      <c r="D976" s="115">
        <f t="shared" si="144"/>
        <v>51.16</v>
      </c>
      <c r="E976" s="115">
        <f t="shared" si="140"/>
        <v>1.25</v>
      </c>
      <c r="F976" s="115">
        <f t="shared" si="141"/>
        <v>1.25</v>
      </c>
      <c r="G976" s="115">
        <f t="shared" si="142"/>
        <v>1.5625</v>
      </c>
      <c r="H976" s="115">
        <f t="shared" si="143"/>
        <v>2.3850410227055908E-2</v>
      </c>
      <c r="I976" s="116">
        <f t="shared" si="146"/>
        <v>49.665399999999991</v>
      </c>
      <c r="J976" s="116">
        <f t="shared" si="147"/>
        <v>2.7446000000000055</v>
      </c>
      <c r="K976" s="116">
        <f t="shared" si="148"/>
        <v>2.7446000000000055</v>
      </c>
      <c r="L976" s="116">
        <f t="shared" si="149"/>
        <v>7.5328291600000297</v>
      </c>
      <c r="M976" s="117">
        <f t="shared" si="145"/>
        <v>5.2367868727342219E-2</v>
      </c>
    </row>
    <row r="977" spans="1:13">
      <c r="A977" s="112">
        <v>974</v>
      </c>
      <c r="B977" s="113">
        <v>43035</v>
      </c>
      <c r="C977" s="114">
        <v>53.92</v>
      </c>
      <c r="D977" s="115">
        <f t="shared" si="144"/>
        <v>51.199499999999993</v>
      </c>
      <c r="E977" s="115">
        <f t="shared" si="140"/>
        <v>2.7205000000000084</v>
      </c>
      <c r="F977" s="115">
        <f t="shared" si="141"/>
        <v>2.7205000000000084</v>
      </c>
      <c r="G977" s="115">
        <f t="shared" si="142"/>
        <v>7.4011202500000453</v>
      </c>
      <c r="H977" s="115">
        <f t="shared" si="143"/>
        <v>5.045437685459956E-2</v>
      </c>
      <c r="I977" s="116">
        <f t="shared" si="146"/>
        <v>49.777599999999985</v>
      </c>
      <c r="J977" s="116">
        <f t="shared" si="147"/>
        <v>4.1424000000000163</v>
      </c>
      <c r="K977" s="116">
        <f t="shared" si="148"/>
        <v>4.1424000000000163</v>
      </c>
      <c r="L977" s="116">
        <f t="shared" si="149"/>
        <v>17.159477760000136</v>
      </c>
      <c r="M977" s="117">
        <f t="shared" si="145"/>
        <v>7.6824925816024042E-2</v>
      </c>
    </row>
    <row r="978" spans="1:13">
      <c r="A978" s="112">
        <v>975</v>
      </c>
      <c r="B978" s="107">
        <v>43038</v>
      </c>
      <c r="C978" s="108">
        <v>54.11</v>
      </c>
      <c r="D978" s="115">
        <f t="shared" si="144"/>
        <v>51.311999999999998</v>
      </c>
      <c r="E978" s="115">
        <f t="shared" si="140"/>
        <v>2.7980000000000018</v>
      </c>
      <c r="F978" s="115">
        <f t="shared" si="141"/>
        <v>2.7980000000000018</v>
      </c>
      <c r="G978" s="115">
        <f t="shared" si="142"/>
        <v>7.8288040000000105</v>
      </c>
      <c r="H978" s="115">
        <f t="shared" si="143"/>
        <v>5.1709480687488485E-2</v>
      </c>
      <c r="I978" s="116">
        <f t="shared" si="146"/>
        <v>49.914599999999979</v>
      </c>
      <c r="J978" s="116">
        <f t="shared" si="147"/>
        <v>4.1954000000000207</v>
      </c>
      <c r="K978" s="116">
        <f t="shared" si="148"/>
        <v>4.1954000000000207</v>
      </c>
      <c r="L978" s="116">
        <f t="shared" si="149"/>
        <v>17.601381160000173</v>
      </c>
      <c r="M978" s="117">
        <f t="shared" si="145"/>
        <v>7.7534651635557575E-2</v>
      </c>
    </row>
    <row r="979" spans="1:13">
      <c r="A979" s="112">
        <v>976</v>
      </c>
      <c r="B979" s="113">
        <v>43039</v>
      </c>
      <c r="C979" s="114">
        <v>54.36</v>
      </c>
      <c r="D979" s="115">
        <f t="shared" si="144"/>
        <v>51.487999999999985</v>
      </c>
      <c r="E979" s="115">
        <f t="shared" si="140"/>
        <v>2.8720000000000141</v>
      </c>
      <c r="F979" s="115">
        <f t="shared" si="141"/>
        <v>2.8720000000000141</v>
      </c>
      <c r="G979" s="115">
        <f t="shared" si="142"/>
        <v>8.2483840000000814</v>
      </c>
      <c r="H979" s="115">
        <f t="shared" si="143"/>
        <v>5.2832965415747134E-2</v>
      </c>
      <c r="I979" s="116">
        <f t="shared" si="146"/>
        <v>50.024999999999984</v>
      </c>
      <c r="J979" s="116">
        <f t="shared" si="147"/>
        <v>4.3350000000000151</v>
      </c>
      <c r="K979" s="116">
        <f t="shared" si="148"/>
        <v>4.3350000000000151</v>
      </c>
      <c r="L979" s="116">
        <f t="shared" si="149"/>
        <v>18.79222500000013</v>
      </c>
      <c r="M979" s="117">
        <f t="shared" si="145"/>
        <v>7.9746136865342446E-2</v>
      </c>
    </row>
    <row r="980" spans="1:13">
      <c r="A980" s="112">
        <v>977</v>
      </c>
      <c r="B980" s="107">
        <v>43040</v>
      </c>
      <c r="C980" s="108">
        <v>54.32</v>
      </c>
      <c r="D980" s="115">
        <f t="shared" si="144"/>
        <v>51.68399999999999</v>
      </c>
      <c r="E980" s="115">
        <f t="shared" si="140"/>
        <v>2.6360000000000099</v>
      </c>
      <c r="F980" s="115">
        <f t="shared" si="141"/>
        <v>2.6360000000000099</v>
      </c>
      <c r="G980" s="115">
        <f t="shared" si="142"/>
        <v>6.948496000000052</v>
      </c>
      <c r="H980" s="115">
        <f t="shared" si="143"/>
        <v>4.8527245949926544E-2</v>
      </c>
      <c r="I980" s="116">
        <f t="shared" si="146"/>
        <v>50.164399999999986</v>
      </c>
      <c r="J980" s="116">
        <f t="shared" si="147"/>
        <v>4.1556000000000139</v>
      </c>
      <c r="K980" s="116">
        <f t="shared" si="148"/>
        <v>4.1556000000000139</v>
      </c>
      <c r="L980" s="116">
        <f t="shared" si="149"/>
        <v>17.269011360000118</v>
      </c>
      <c r="M980" s="117">
        <f t="shared" si="145"/>
        <v>7.650220913107536E-2</v>
      </c>
    </row>
    <row r="981" spans="1:13">
      <c r="A981" s="112">
        <v>978</v>
      </c>
      <c r="B981" s="113">
        <v>43041</v>
      </c>
      <c r="C981" s="114">
        <v>54.55</v>
      </c>
      <c r="D981" s="115">
        <f t="shared" si="144"/>
        <v>51.9</v>
      </c>
      <c r="E981" s="115">
        <f t="shared" si="140"/>
        <v>2.6499999999999986</v>
      </c>
      <c r="F981" s="115">
        <f t="shared" si="141"/>
        <v>2.6499999999999986</v>
      </c>
      <c r="G981" s="115">
        <f t="shared" si="142"/>
        <v>7.0224999999999929</v>
      </c>
      <c r="H981" s="115">
        <f t="shared" si="143"/>
        <v>4.8579285059578342E-2</v>
      </c>
      <c r="I981" s="116">
        <f t="shared" si="146"/>
        <v>50.297799999999988</v>
      </c>
      <c r="J981" s="116">
        <f t="shared" si="147"/>
        <v>4.2522000000000091</v>
      </c>
      <c r="K981" s="116">
        <f t="shared" si="148"/>
        <v>4.2522000000000091</v>
      </c>
      <c r="L981" s="116">
        <f t="shared" si="149"/>
        <v>18.081204840000076</v>
      </c>
      <c r="M981" s="117">
        <f t="shared" si="145"/>
        <v>7.7950504124656456E-2</v>
      </c>
    </row>
    <row r="982" spans="1:13">
      <c r="A982" s="112">
        <v>979</v>
      </c>
      <c r="B982" s="107">
        <v>43042</v>
      </c>
      <c r="C982" s="108">
        <v>55.63</v>
      </c>
      <c r="D982" s="115">
        <f t="shared" si="144"/>
        <v>52.088000000000008</v>
      </c>
      <c r="E982" s="115">
        <f t="shared" si="140"/>
        <v>3.5419999999999945</v>
      </c>
      <c r="F982" s="115">
        <f t="shared" si="141"/>
        <v>3.5419999999999945</v>
      </c>
      <c r="G982" s="115">
        <f t="shared" si="142"/>
        <v>12.545763999999961</v>
      </c>
      <c r="H982" s="115">
        <f t="shared" si="143"/>
        <v>6.3670681287075218E-2</v>
      </c>
      <c r="I982" s="116">
        <f t="shared" si="146"/>
        <v>50.419800000000002</v>
      </c>
      <c r="J982" s="116">
        <f t="shared" si="147"/>
        <v>5.2102000000000004</v>
      </c>
      <c r="K982" s="116">
        <f t="shared" si="148"/>
        <v>5.2102000000000004</v>
      </c>
      <c r="L982" s="116">
        <f t="shared" si="149"/>
        <v>27.146184040000005</v>
      </c>
      <c r="M982" s="117">
        <f t="shared" si="145"/>
        <v>9.3658098148481042E-2</v>
      </c>
    </row>
    <row r="983" spans="1:13">
      <c r="A983" s="112">
        <v>980</v>
      </c>
      <c r="B983" s="113">
        <v>43045</v>
      </c>
      <c r="C983" s="114">
        <v>57.34</v>
      </c>
      <c r="D983" s="115">
        <f t="shared" si="144"/>
        <v>52.402500000000011</v>
      </c>
      <c r="E983" s="115">
        <f t="shared" si="140"/>
        <v>4.9374999999999929</v>
      </c>
      <c r="F983" s="115">
        <f t="shared" si="141"/>
        <v>4.9374999999999929</v>
      </c>
      <c r="G983" s="115">
        <f t="shared" si="142"/>
        <v>24.378906249999929</v>
      </c>
      <c r="H983" s="115">
        <f t="shared" si="143"/>
        <v>8.6109173351935686E-2</v>
      </c>
      <c r="I983" s="116">
        <f t="shared" si="146"/>
        <v>50.587600000000002</v>
      </c>
      <c r="J983" s="116">
        <f t="shared" si="147"/>
        <v>6.7524000000000015</v>
      </c>
      <c r="K983" s="116">
        <f t="shared" si="148"/>
        <v>6.7524000000000015</v>
      </c>
      <c r="L983" s="116">
        <f t="shared" si="149"/>
        <v>45.594905760000017</v>
      </c>
      <c r="M983" s="117">
        <f t="shared" si="145"/>
        <v>0.11776072549703524</v>
      </c>
    </row>
    <row r="984" spans="1:13">
      <c r="A984" s="112">
        <v>981</v>
      </c>
      <c r="B984" s="107">
        <v>43046</v>
      </c>
      <c r="C984" s="108">
        <v>57.19</v>
      </c>
      <c r="D984" s="115">
        <f t="shared" si="144"/>
        <v>52.790499999999994</v>
      </c>
      <c r="E984" s="115">
        <f t="shared" ref="E984:E1047" si="150">C984-D984</f>
        <v>4.3995000000000033</v>
      </c>
      <c r="F984" s="115">
        <f t="shared" ref="F984:F1047" si="151">ABS(E984)</f>
        <v>4.3995000000000033</v>
      </c>
      <c r="G984" s="115">
        <f t="shared" ref="G984:G1047" si="152">E984^2</f>
        <v>19.35560025000003</v>
      </c>
      <c r="H984" s="115">
        <f t="shared" ref="H984:H1047" si="153">F984/C984</f>
        <v>7.6927784577723438E-2</v>
      </c>
      <c r="I984" s="116">
        <f t="shared" si="146"/>
        <v>50.781400000000005</v>
      </c>
      <c r="J984" s="116">
        <f t="shared" si="147"/>
        <v>6.4085999999999927</v>
      </c>
      <c r="K984" s="116">
        <f t="shared" si="148"/>
        <v>6.4085999999999927</v>
      </c>
      <c r="L984" s="116">
        <f t="shared" si="149"/>
        <v>41.070153959999907</v>
      </c>
      <c r="M984" s="117">
        <f t="shared" si="145"/>
        <v>0.1120580521070116</v>
      </c>
    </row>
    <row r="985" spans="1:13">
      <c r="A985" s="112">
        <v>982</v>
      </c>
      <c r="B985" s="113">
        <v>43047</v>
      </c>
      <c r="C985" s="114">
        <v>56.82</v>
      </c>
      <c r="D985" s="115">
        <f t="shared" si="144"/>
        <v>53.103500000000011</v>
      </c>
      <c r="E985" s="115">
        <f t="shared" si="150"/>
        <v>3.7164999999999893</v>
      </c>
      <c r="F985" s="115">
        <f t="shared" si="151"/>
        <v>3.7164999999999893</v>
      </c>
      <c r="G985" s="115">
        <f t="shared" si="152"/>
        <v>13.812372249999919</v>
      </c>
      <c r="H985" s="115">
        <f t="shared" si="153"/>
        <v>6.5408306934177915E-2</v>
      </c>
      <c r="I985" s="116">
        <f t="shared" si="146"/>
        <v>50.997200000000014</v>
      </c>
      <c r="J985" s="116">
        <f t="shared" si="147"/>
        <v>5.8227999999999867</v>
      </c>
      <c r="K985" s="116">
        <f t="shared" si="148"/>
        <v>5.8227999999999867</v>
      </c>
      <c r="L985" s="116">
        <f t="shared" si="149"/>
        <v>33.904999839999846</v>
      </c>
      <c r="M985" s="117">
        <f t="shared" si="145"/>
        <v>0.10247800070397724</v>
      </c>
    </row>
    <row r="986" spans="1:13">
      <c r="A986" s="112">
        <v>983</v>
      </c>
      <c r="B986" s="107">
        <v>43048</v>
      </c>
      <c r="C986" s="108">
        <v>57.16</v>
      </c>
      <c r="D986" s="115">
        <f t="shared" ref="D986:D1049" si="154">AVERAGE(C966:C985)</f>
        <v>53.379499999999993</v>
      </c>
      <c r="E986" s="115">
        <f t="shared" si="150"/>
        <v>3.7805000000000035</v>
      </c>
      <c r="F986" s="115">
        <f t="shared" si="151"/>
        <v>3.7805000000000035</v>
      </c>
      <c r="G986" s="115">
        <f t="shared" si="152"/>
        <v>14.292180250000026</v>
      </c>
      <c r="H986" s="115">
        <f t="shared" si="153"/>
        <v>6.6138908327501814E-2</v>
      </c>
      <c r="I986" s="116">
        <f t="shared" si="146"/>
        <v>51.204400000000014</v>
      </c>
      <c r="J986" s="116">
        <f t="shared" si="147"/>
        <v>5.9555999999999827</v>
      </c>
      <c r="K986" s="116">
        <f t="shared" si="148"/>
        <v>5.9555999999999827</v>
      </c>
      <c r="L986" s="116">
        <f t="shared" si="149"/>
        <v>35.469171359999791</v>
      </c>
      <c r="M986" s="117">
        <f t="shared" si="145"/>
        <v>0.10419174247725653</v>
      </c>
    </row>
    <row r="987" spans="1:13">
      <c r="A987" s="112">
        <v>984</v>
      </c>
      <c r="B987" s="113">
        <v>43049</v>
      </c>
      <c r="C987" s="114">
        <v>56.75</v>
      </c>
      <c r="D987" s="115">
        <f t="shared" si="154"/>
        <v>53.706999999999994</v>
      </c>
      <c r="E987" s="115">
        <f t="shared" si="150"/>
        <v>3.0430000000000064</v>
      </c>
      <c r="F987" s="115">
        <f t="shared" si="151"/>
        <v>3.0430000000000064</v>
      </c>
      <c r="G987" s="115">
        <f t="shared" si="152"/>
        <v>9.2598490000000382</v>
      </c>
      <c r="H987" s="115">
        <f t="shared" si="153"/>
        <v>5.3621145374449453E-2</v>
      </c>
      <c r="I987" s="116">
        <f t="shared" si="146"/>
        <v>51.428400000000011</v>
      </c>
      <c r="J987" s="116">
        <f t="shared" si="147"/>
        <v>5.3215999999999894</v>
      </c>
      <c r="K987" s="116">
        <f t="shared" si="148"/>
        <v>5.3215999999999894</v>
      </c>
      <c r="L987" s="116">
        <f t="shared" si="149"/>
        <v>28.319426559999886</v>
      </c>
      <c r="M987" s="117">
        <f t="shared" si="145"/>
        <v>9.3772687224669415E-2</v>
      </c>
    </row>
    <row r="988" spans="1:13">
      <c r="A988" s="112">
        <v>985</v>
      </c>
      <c r="B988" s="107">
        <v>43052</v>
      </c>
      <c r="C988" s="108">
        <v>56.77</v>
      </c>
      <c r="D988" s="115">
        <f t="shared" si="154"/>
        <v>53.972999999999999</v>
      </c>
      <c r="E988" s="115">
        <f t="shared" si="150"/>
        <v>2.7970000000000041</v>
      </c>
      <c r="F988" s="115">
        <f t="shared" si="151"/>
        <v>2.7970000000000041</v>
      </c>
      <c r="G988" s="115">
        <f t="shared" si="152"/>
        <v>7.8232090000000234</v>
      </c>
      <c r="H988" s="115">
        <f t="shared" si="153"/>
        <v>4.9268980095120735E-2</v>
      </c>
      <c r="I988" s="116">
        <f t="shared" si="146"/>
        <v>51.618200000000016</v>
      </c>
      <c r="J988" s="116">
        <f t="shared" si="147"/>
        <v>5.1517999999999873</v>
      </c>
      <c r="K988" s="116">
        <f t="shared" si="148"/>
        <v>5.1517999999999873</v>
      </c>
      <c r="L988" s="116">
        <f t="shared" si="149"/>
        <v>26.541043239999869</v>
      </c>
      <c r="M988" s="117">
        <f t="shared" si="145"/>
        <v>9.0748634842346076E-2</v>
      </c>
    </row>
    <row r="989" spans="1:13">
      <c r="A989" s="112">
        <v>986</v>
      </c>
      <c r="B989" s="113">
        <v>43053</v>
      </c>
      <c r="C989" s="114">
        <v>55.67</v>
      </c>
      <c r="D989" s="115">
        <f t="shared" si="154"/>
        <v>54.218499999999992</v>
      </c>
      <c r="E989" s="115">
        <f t="shared" si="150"/>
        <v>1.45150000000001</v>
      </c>
      <c r="F989" s="115">
        <f t="shared" si="151"/>
        <v>1.45150000000001</v>
      </c>
      <c r="G989" s="115">
        <f t="shared" si="152"/>
        <v>2.1068522500000291</v>
      </c>
      <c r="H989" s="115">
        <f t="shared" si="153"/>
        <v>2.6073289024609484E-2</v>
      </c>
      <c r="I989" s="116">
        <f t="shared" si="146"/>
        <v>51.807200000000009</v>
      </c>
      <c r="J989" s="116">
        <f t="shared" si="147"/>
        <v>3.8627999999999929</v>
      </c>
      <c r="K989" s="116">
        <f t="shared" si="148"/>
        <v>3.8627999999999929</v>
      </c>
      <c r="L989" s="116">
        <f t="shared" si="149"/>
        <v>14.921223839999945</v>
      </c>
      <c r="M989" s="117">
        <f t="shared" si="145"/>
        <v>6.9387461828632882E-2</v>
      </c>
    </row>
    <row r="990" spans="1:13">
      <c r="A990" s="112">
        <v>987</v>
      </c>
      <c r="B990" s="107">
        <v>43054</v>
      </c>
      <c r="C990" s="108">
        <v>55.28</v>
      </c>
      <c r="D990" s="115">
        <f t="shared" si="154"/>
        <v>54.408500000000004</v>
      </c>
      <c r="E990" s="115">
        <f t="shared" si="150"/>
        <v>0.8714999999999975</v>
      </c>
      <c r="F990" s="115">
        <f t="shared" si="151"/>
        <v>0.8714999999999975</v>
      </c>
      <c r="G990" s="115">
        <f t="shared" si="152"/>
        <v>0.75951224999999567</v>
      </c>
      <c r="H990" s="115">
        <f t="shared" si="153"/>
        <v>1.5765195369030344E-2</v>
      </c>
      <c r="I990" s="116">
        <f t="shared" si="146"/>
        <v>51.948000000000008</v>
      </c>
      <c r="J990" s="116">
        <f t="shared" si="147"/>
        <v>3.3319999999999936</v>
      </c>
      <c r="K990" s="116">
        <f t="shared" si="148"/>
        <v>3.3319999999999936</v>
      </c>
      <c r="L990" s="116">
        <f t="shared" si="149"/>
        <v>11.102223999999957</v>
      </c>
      <c r="M990" s="117">
        <f t="shared" si="145"/>
        <v>6.027496382054981E-2</v>
      </c>
    </row>
    <row r="991" spans="1:13">
      <c r="A991" s="112">
        <v>988</v>
      </c>
      <c r="B991" s="113">
        <v>43055</v>
      </c>
      <c r="C991" s="114">
        <v>55.14</v>
      </c>
      <c r="D991" s="115">
        <f t="shared" si="154"/>
        <v>54.570000000000007</v>
      </c>
      <c r="E991" s="115">
        <f t="shared" si="150"/>
        <v>0.56999999999999318</v>
      </c>
      <c r="F991" s="115">
        <f t="shared" si="151"/>
        <v>0.56999999999999318</v>
      </c>
      <c r="G991" s="115">
        <f t="shared" si="152"/>
        <v>0.32489999999999225</v>
      </c>
      <c r="H991" s="115">
        <f t="shared" si="153"/>
        <v>1.0337323177366579E-2</v>
      </c>
      <c r="I991" s="116">
        <f t="shared" si="146"/>
        <v>52.071000000000005</v>
      </c>
      <c r="J991" s="116">
        <f t="shared" si="147"/>
        <v>3.0689999999999955</v>
      </c>
      <c r="K991" s="116">
        <f t="shared" si="148"/>
        <v>3.0689999999999955</v>
      </c>
      <c r="L991" s="116">
        <f t="shared" si="149"/>
        <v>9.4187609999999733</v>
      </c>
      <c r="M991" s="117">
        <f t="shared" si="145"/>
        <v>5.5658324265505904E-2</v>
      </c>
    </row>
    <row r="992" spans="1:13">
      <c r="A992" s="112">
        <v>989</v>
      </c>
      <c r="B992" s="107">
        <v>43056</v>
      </c>
      <c r="C992" s="108">
        <v>56.21</v>
      </c>
      <c r="D992" s="115">
        <f t="shared" si="154"/>
        <v>54.76250000000001</v>
      </c>
      <c r="E992" s="115">
        <f t="shared" si="150"/>
        <v>1.4474999999999909</v>
      </c>
      <c r="F992" s="115">
        <f t="shared" si="151"/>
        <v>1.4474999999999909</v>
      </c>
      <c r="G992" s="115">
        <f t="shared" si="152"/>
        <v>2.0952562499999736</v>
      </c>
      <c r="H992" s="115">
        <f t="shared" si="153"/>
        <v>2.575164561465915E-2</v>
      </c>
      <c r="I992" s="116">
        <f t="shared" si="146"/>
        <v>52.191799999999994</v>
      </c>
      <c r="J992" s="116">
        <f t="shared" si="147"/>
        <v>4.0182000000000073</v>
      </c>
      <c r="K992" s="116">
        <f t="shared" si="148"/>
        <v>4.0182000000000073</v>
      </c>
      <c r="L992" s="116">
        <f t="shared" si="149"/>
        <v>16.14593124000006</v>
      </c>
      <c r="M992" s="117">
        <f t="shared" si="145"/>
        <v>7.1485500800569424E-2</v>
      </c>
    </row>
    <row r="993" spans="1:13">
      <c r="A993" s="112">
        <v>990</v>
      </c>
      <c r="B993" s="113">
        <v>43059</v>
      </c>
      <c r="C993" s="114">
        <v>56.21</v>
      </c>
      <c r="D993" s="115">
        <f t="shared" si="154"/>
        <v>54.991499999999995</v>
      </c>
      <c r="E993" s="115">
        <f t="shared" si="150"/>
        <v>1.2185000000000059</v>
      </c>
      <c r="F993" s="115">
        <f t="shared" si="151"/>
        <v>1.2185000000000059</v>
      </c>
      <c r="G993" s="115">
        <f t="shared" si="152"/>
        <v>1.4847422500000145</v>
      </c>
      <c r="H993" s="115">
        <f t="shared" si="153"/>
        <v>2.1677637431062192E-2</v>
      </c>
      <c r="I993" s="116">
        <f t="shared" si="146"/>
        <v>52.367200000000004</v>
      </c>
      <c r="J993" s="116">
        <f t="shared" si="147"/>
        <v>3.8427999999999969</v>
      </c>
      <c r="K993" s="116">
        <f t="shared" si="148"/>
        <v>3.8427999999999969</v>
      </c>
      <c r="L993" s="116">
        <f t="shared" si="149"/>
        <v>14.767111839999975</v>
      </c>
      <c r="M993" s="117">
        <f t="shared" si="145"/>
        <v>6.8365059597936248E-2</v>
      </c>
    </row>
    <row r="994" spans="1:13">
      <c r="A994" s="112">
        <v>991</v>
      </c>
      <c r="B994" s="107">
        <v>43060</v>
      </c>
      <c r="C994" s="108">
        <v>56.84</v>
      </c>
      <c r="D994" s="115">
        <f t="shared" si="154"/>
        <v>55.206500000000005</v>
      </c>
      <c r="E994" s="115">
        <f t="shared" si="150"/>
        <v>1.633499999999998</v>
      </c>
      <c r="F994" s="115">
        <f t="shared" si="151"/>
        <v>1.633499999999998</v>
      </c>
      <c r="G994" s="115">
        <f t="shared" si="152"/>
        <v>2.6683222499999935</v>
      </c>
      <c r="H994" s="115">
        <f t="shared" si="153"/>
        <v>2.8738564391273713E-2</v>
      </c>
      <c r="I994" s="116">
        <f t="shared" si="146"/>
        <v>52.530200000000008</v>
      </c>
      <c r="J994" s="116">
        <f t="shared" si="147"/>
        <v>4.3097999999999956</v>
      </c>
      <c r="K994" s="116">
        <f t="shared" si="148"/>
        <v>4.3097999999999956</v>
      </c>
      <c r="L994" s="116">
        <f t="shared" si="149"/>
        <v>18.574376039999962</v>
      </c>
      <c r="M994" s="117">
        <f t="shared" si="145"/>
        <v>7.5823363828289858E-2</v>
      </c>
    </row>
    <row r="995" spans="1:13">
      <c r="A995" s="112">
        <v>992</v>
      </c>
      <c r="B995" s="113">
        <v>43061</v>
      </c>
      <c r="C995" s="114">
        <v>57.88</v>
      </c>
      <c r="D995" s="115">
        <f t="shared" si="154"/>
        <v>55.43249999999999</v>
      </c>
      <c r="E995" s="115">
        <f t="shared" si="150"/>
        <v>2.4475000000000122</v>
      </c>
      <c r="F995" s="115">
        <f t="shared" si="151"/>
        <v>2.4475000000000122</v>
      </c>
      <c r="G995" s="115">
        <f t="shared" si="152"/>
        <v>5.9902562500000602</v>
      </c>
      <c r="H995" s="115">
        <f t="shared" si="153"/>
        <v>4.2285763648929026E-2</v>
      </c>
      <c r="I995" s="116">
        <f t="shared" si="146"/>
        <v>52.702799999999996</v>
      </c>
      <c r="J995" s="116">
        <f t="shared" si="147"/>
        <v>5.1772000000000062</v>
      </c>
      <c r="K995" s="116">
        <f t="shared" si="148"/>
        <v>5.1772000000000062</v>
      </c>
      <c r="L995" s="116">
        <f t="shared" si="149"/>
        <v>26.803399840000065</v>
      </c>
      <c r="M995" s="117">
        <f t="shared" si="145"/>
        <v>8.9447131997235765E-2</v>
      </c>
    </row>
    <row r="996" spans="1:13">
      <c r="A996" s="112">
        <v>993</v>
      </c>
      <c r="B996" s="107">
        <v>43063</v>
      </c>
      <c r="C996" s="108">
        <v>58.94</v>
      </c>
      <c r="D996" s="115">
        <f t="shared" si="154"/>
        <v>55.727999999999994</v>
      </c>
      <c r="E996" s="115">
        <f t="shared" si="150"/>
        <v>3.2120000000000033</v>
      </c>
      <c r="F996" s="115">
        <f t="shared" si="151"/>
        <v>3.2120000000000033</v>
      </c>
      <c r="G996" s="115">
        <f t="shared" si="152"/>
        <v>10.316944000000021</v>
      </c>
      <c r="H996" s="115">
        <f t="shared" si="153"/>
        <v>5.4496097726501588E-2</v>
      </c>
      <c r="I996" s="116">
        <f t="shared" si="146"/>
        <v>52.874400000000009</v>
      </c>
      <c r="J996" s="116">
        <f t="shared" si="147"/>
        <v>6.0655999999999892</v>
      </c>
      <c r="K996" s="116">
        <f t="shared" si="148"/>
        <v>6.0655999999999892</v>
      </c>
      <c r="L996" s="116">
        <f t="shared" si="149"/>
        <v>36.791503359999872</v>
      </c>
      <c r="M996" s="117">
        <f t="shared" si="145"/>
        <v>0.10291143535799099</v>
      </c>
    </row>
    <row r="997" spans="1:13">
      <c r="A997" s="112">
        <v>994</v>
      </c>
      <c r="B997" s="113">
        <v>43066</v>
      </c>
      <c r="C997" s="114">
        <v>58.1</v>
      </c>
      <c r="D997" s="115">
        <f t="shared" si="154"/>
        <v>56.054500000000004</v>
      </c>
      <c r="E997" s="115">
        <f t="shared" si="150"/>
        <v>2.045499999999997</v>
      </c>
      <c r="F997" s="115">
        <f t="shared" si="151"/>
        <v>2.045499999999997</v>
      </c>
      <c r="G997" s="115">
        <f t="shared" si="152"/>
        <v>4.184070249999988</v>
      </c>
      <c r="H997" s="115">
        <f t="shared" si="153"/>
        <v>3.520654044750425E-2</v>
      </c>
      <c r="I997" s="116">
        <f t="shared" si="146"/>
        <v>53.056000000000004</v>
      </c>
      <c r="J997" s="116">
        <f t="shared" si="147"/>
        <v>5.0439999999999969</v>
      </c>
      <c r="K997" s="116">
        <f t="shared" si="148"/>
        <v>5.0439999999999969</v>
      </c>
      <c r="L997" s="116">
        <f t="shared" si="149"/>
        <v>25.44193599999997</v>
      </c>
      <c r="M997" s="117">
        <f t="shared" si="145"/>
        <v>8.6815834767641945E-2</v>
      </c>
    </row>
    <row r="998" spans="1:13">
      <c r="A998" s="112">
        <v>995</v>
      </c>
      <c r="B998" s="107">
        <v>43067</v>
      </c>
      <c r="C998" s="108">
        <v>57.96</v>
      </c>
      <c r="D998" s="115">
        <f t="shared" si="154"/>
        <v>56.263499999999986</v>
      </c>
      <c r="E998" s="115">
        <f t="shared" si="150"/>
        <v>1.6965000000000146</v>
      </c>
      <c r="F998" s="115">
        <f t="shared" si="151"/>
        <v>1.6965000000000146</v>
      </c>
      <c r="G998" s="115">
        <f t="shared" si="152"/>
        <v>2.8781122500000493</v>
      </c>
      <c r="H998" s="115">
        <f t="shared" si="153"/>
        <v>2.9270186335403979E-2</v>
      </c>
      <c r="I998" s="116">
        <f t="shared" si="146"/>
        <v>53.220000000000006</v>
      </c>
      <c r="J998" s="116">
        <f t="shared" si="147"/>
        <v>4.7399999999999949</v>
      </c>
      <c r="K998" s="116">
        <f t="shared" si="148"/>
        <v>4.7399999999999949</v>
      </c>
      <c r="L998" s="116">
        <f t="shared" si="149"/>
        <v>22.467599999999951</v>
      </c>
      <c r="M998" s="117">
        <f t="shared" si="145"/>
        <v>8.1780538302277342E-2</v>
      </c>
    </row>
    <row r="999" spans="1:13">
      <c r="A999" s="112">
        <v>996</v>
      </c>
      <c r="B999" s="113">
        <v>43068</v>
      </c>
      <c r="C999" s="114">
        <v>57.25</v>
      </c>
      <c r="D999" s="115">
        <f t="shared" si="154"/>
        <v>56.455999999999996</v>
      </c>
      <c r="E999" s="115">
        <f t="shared" si="150"/>
        <v>0.79400000000000404</v>
      </c>
      <c r="F999" s="115">
        <f t="shared" si="151"/>
        <v>0.79400000000000404</v>
      </c>
      <c r="G999" s="115">
        <f t="shared" si="152"/>
        <v>0.63043600000000644</v>
      </c>
      <c r="H999" s="115">
        <f t="shared" si="153"/>
        <v>1.3868995633187843E-2</v>
      </c>
      <c r="I999" s="116">
        <f t="shared" si="146"/>
        <v>53.381600000000006</v>
      </c>
      <c r="J999" s="116">
        <f t="shared" si="147"/>
        <v>3.8683999999999941</v>
      </c>
      <c r="K999" s="116">
        <f t="shared" si="148"/>
        <v>3.8683999999999941</v>
      </c>
      <c r="L999" s="116">
        <f t="shared" si="149"/>
        <v>14.964518559999954</v>
      </c>
      <c r="M999" s="117">
        <f t="shared" si="145"/>
        <v>6.7570305676855791E-2</v>
      </c>
    </row>
    <row r="1000" spans="1:13">
      <c r="A1000" s="112">
        <v>997</v>
      </c>
      <c r="B1000" s="107">
        <v>43069</v>
      </c>
      <c r="C1000" s="108">
        <v>57.4</v>
      </c>
      <c r="D1000" s="115">
        <f t="shared" si="154"/>
        <v>56.600499999999997</v>
      </c>
      <c r="E1000" s="115">
        <f t="shared" si="150"/>
        <v>0.79950000000000188</v>
      </c>
      <c r="F1000" s="115">
        <f t="shared" si="151"/>
        <v>0.79950000000000188</v>
      </c>
      <c r="G1000" s="115">
        <f t="shared" si="152"/>
        <v>0.63920025000000302</v>
      </c>
      <c r="H1000" s="115">
        <f t="shared" si="153"/>
        <v>1.3928571428571462E-2</v>
      </c>
      <c r="I1000" s="116">
        <f t="shared" si="146"/>
        <v>53.535800000000009</v>
      </c>
      <c r="J1000" s="116">
        <f t="shared" si="147"/>
        <v>3.8641999999999896</v>
      </c>
      <c r="K1000" s="116">
        <f t="shared" si="148"/>
        <v>3.8641999999999896</v>
      </c>
      <c r="L1000" s="116">
        <f t="shared" si="149"/>
        <v>14.93204163999992</v>
      </c>
      <c r="M1000" s="117">
        <f t="shared" si="145"/>
        <v>6.7320557491289026E-2</v>
      </c>
    </row>
    <row r="1001" spans="1:13">
      <c r="A1001" s="112">
        <v>998</v>
      </c>
      <c r="B1001" s="113">
        <v>43070</v>
      </c>
      <c r="C1001" s="114">
        <v>58.35</v>
      </c>
      <c r="D1001" s="115">
        <f t="shared" si="154"/>
        <v>56.754500000000007</v>
      </c>
      <c r="E1001" s="115">
        <f t="shared" si="150"/>
        <v>1.5954999999999941</v>
      </c>
      <c r="F1001" s="115">
        <f t="shared" si="151"/>
        <v>1.5954999999999941</v>
      </c>
      <c r="G1001" s="115">
        <f t="shared" si="152"/>
        <v>2.5456202499999812</v>
      </c>
      <c r="H1001" s="115">
        <f t="shared" si="153"/>
        <v>2.7343616109682847E-2</v>
      </c>
      <c r="I1001" s="116">
        <f t="shared" si="146"/>
        <v>53.678000000000011</v>
      </c>
      <c r="J1001" s="116">
        <f t="shared" si="147"/>
        <v>4.6719999999999899</v>
      </c>
      <c r="K1001" s="116">
        <f t="shared" si="148"/>
        <v>4.6719999999999899</v>
      </c>
      <c r="L1001" s="116">
        <f t="shared" si="149"/>
        <v>21.827583999999906</v>
      </c>
      <c r="M1001" s="117">
        <f t="shared" si="145"/>
        <v>8.0068551842330582E-2</v>
      </c>
    </row>
    <row r="1002" spans="1:13">
      <c r="A1002" s="112">
        <v>999</v>
      </c>
      <c r="B1002" s="107">
        <v>43073</v>
      </c>
      <c r="C1002" s="108">
        <v>57.48</v>
      </c>
      <c r="D1002" s="115">
        <f t="shared" si="154"/>
        <v>56.944500000000005</v>
      </c>
      <c r="E1002" s="115">
        <f t="shared" si="150"/>
        <v>0.53549999999999187</v>
      </c>
      <c r="F1002" s="115">
        <f t="shared" si="151"/>
        <v>0.53549999999999187</v>
      </c>
      <c r="G1002" s="115">
        <f t="shared" si="152"/>
        <v>0.28676024999999128</v>
      </c>
      <c r="H1002" s="115">
        <f t="shared" si="153"/>
        <v>9.3162839248432834E-3</v>
      </c>
      <c r="I1002" s="116">
        <f t="shared" si="146"/>
        <v>53.833400000000012</v>
      </c>
      <c r="J1002" s="116">
        <f t="shared" si="147"/>
        <v>3.6465999999999852</v>
      </c>
      <c r="K1002" s="116">
        <f t="shared" si="148"/>
        <v>3.6465999999999852</v>
      </c>
      <c r="L1002" s="116">
        <f t="shared" si="149"/>
        <v>13.297691559999892</v>
      </c>
      <c r="M1002" s="117">
        <f t="shared" si="145"/>
        <v>6.3441196938065159E-2</v>
      </c>
    </row>
    <row r="1003" spans="1:13">
      <c r="A1003" s="112">
        <v>1000</v>
      </c>
      <c r="B1003" s="113">
        <v>43074</v>
      </c>
      <c r="C1003" s="114">
        <v>57.66</v>
      </c>
      <c r="D1003" s="115">
        <f t="shared" si="154"/>
        <v>57.036999999999999</v>
      </c>
      <c r="E1003" s="115">
        <f t="shared" si="150"/>
        <v>0.62299999999999756</v>
      </c>
      <c r="F1003" s="115">
        <f t="shared" si="151"/>
        <v>0.62299999999999756</v>
      </c>
      <c r="G1003" s="115">
        <f t="shared" si="152"/>
        <v>0.38812899999999695</v>
      </c>
      <c r="H1003" s="115">
        <f t="shared" si="153"/>
        <v>1.0804717308359307E-2</v>
      </c>
      <c r="I1003" s="116">
        <f t="shared" si="146"/>
        <v>53.976400000000005</v>
      </c>
      <c r="J1003" s="116">
        <f t="shared" si="147"/>
        <v>3.6835999999999913</v>
      </c>
      <c r="K1003" s="116">
        <f t="shared" si="148"/>
        <v>3.6835999999999913</v>
      </c>
      <c r="L1003" s="116">
        <f t="shared" si="149"/>
        <v>13.568908959999936</v>
      </c>
      <c r="M1003" s="117">
        <f t="shared" si="145"/>
        <v>6.3884842178286355E-2</v>
      </c>
    </row>
    <row r="1004" spans="1:13">
      <c r="A1004" s="112">
        <v>1001</v>
      </c>
      <c r="B1004" s="107">
        <v>43075</v>
      </c>
      <c r="C1004" s="108">
        <v>55.79</v>
      </c>
      <c r="D1004" s="115">
        <f t="shared" si="154"/>
        <v>57.052999999999997</v>
      </c>
      <c r="E1004" s="115">
        <f t="shared" si="150"/>
        <v>-1.2629999999999981</v>
      </c>
      <c r="F1004" s="115">
        <f t="shared" si="151"/>
        <v>1.2629999999999981</v>
      </c>
      <c r="G1004" s="115">
        <f t="shared" si="152"/>
        <v>1.5951689999999952</v>
      </c>
      <c r="H1004" s="115">
        <f t="shared" si="153"/>
        <v>2.2638465674852091E-2</v>
      </c>
      <c r="I1004" s="116">
        <f t="shared" si="146"/>
        <v>54.092600000000004</v>
      </c>
      <c r="J1004" s="116">
        <f t="shared" si="147"/>
        <v>1.6973999999999947</v>
      </c>
      <c r="K1004" s="116">
        <f t="shared" si="148"/>
        <v>1.6973999999999947</v>
      </c>
      <c r="L1004" s="116">
        <f t="shared" si="149"/>
        <v>2.881166759999982</v>
      </c>
      <c r="M1004" s="117">
        <f t="shared" si="145"/>
        <v>3.0424807313138461E-2</v>
      </c>
    </row>
    <row r="1005" spans="1:13">
      <c r="A1005" s="112">
        <v>1002</v>
      </c>
      <c r="B1005" s="113">
        <v>43076</v>
      </c>
      <c r="C1005" s="114">
        <v>56.5</v>
      </c>
      <c r="D1005" s="115">
        <f t="shared" si="154"/>
        <v>56.983000000000004</v>
      </c>
      <c r="E1005" s="115">
        <f t="shared" si="150"/>
        <v>-0.48300000000000409</v>
      </c>
      <c r="F1005" s="115">
        <f t="shared" si="151"/>
        <v>0.48300000000000409</v>
      </c>
      <c r="G1005" s="115">
        <f t="shared" si="152"/>
        <v>0.23328900000000397</v>
      </c>
      <c r="H1005" s="115">
        <f t="shared" si="153"/>
        <v>8.5486725663717535E-3</v>
      </c>
      <c r="I1005" s="116">
        <f t="shared" si="146"/>
        <v>54.176600000000001</v>
      </c>
      <c r="J1005" s="116">
        <f t="shared" si="147"/>
        <v>2.3233999999999995</v>
      </c>
      <c r="K1005" s="116">
        <f t="shared" si="148"/>
        <v>2.3233999999999995</v>
      </c>
      <c r="L1005" s="116">
        <f t="shared" si="149"/>
        <v>5.3981875599999976</v>
      </c>
      <c r="M1005" s="117">
        <f t="shared" si="145"/>
        <v>4.1122123893805297E-2</v>
      </c>
    </row>
    <row r="1006" spans="1:13">
      <c r="A1006" s="112">
        <v>1003</v>
      </c>
      <c r="B1006" s="107">
        <v>43077</v>
      </c>
      <c r="C1006" s="108">
        <v>57.15</v>
      </c>
      <c r="D1006" s="115">
        <f t="shared" si="154"/>
        <v>56.966999999999999</v>
      </c>
      <c r="E1006" s="115">
        <f t="shared" si="150"/>
        <v>0.18299999999999983</v>
      </c>
      <c r="F1006" s="115">
        <f t="shared" si="151"/>
        <v>0.18299999999999983</v>
      </c>
      <c r="G1006" s="115">
        <f t="shared" si="152"/>
        <v>3.3488999999999935E-2</v>
      </c>
      <c r="H1006" s="115">
        <f t="shared" si="153"/>
        <v>3.2020997375328056E-3</v>
      </c>
      <c r="I1006" s="116">
        <f t="shared" si="146"/>
        <v>54.263800000000003</v>
      </c>
      <c r="J1006" s="116">
        <f t="shared" si="147"/>
        <v>2.8861999999999952</v>
      </c>
      <c r="K1006" s="116">
        <f t="shared" si="148"/>
        <v>2.8861999999999952</v>
      </c>
      <c r="L1006" s="116">
        <f t="shared" si="149"/>
        <v>8.3301504399999722</v>
      </c>
      <c r="M1006" s="117">
        <f t="shared" si="145"/>
        <v>5.0502187226596593E-2</v>
      </c>
    </row>
    <row r="1007" spans="1:13">
      <c r="A1007" s="112">
        <v>1004</v>
      </c>
      <c r="B1007" s="113">
        <v>43080</v>
      </c>
      <c r="C1007" s="114">
        <v>57.84</v>
      </c>
      <c r="D1007" s="115">
        <f t="shared" si="154"/>
        <v>56.966500000000011</v>
      </c>
      <c r="E1007" s="115">
        <f t="shared" si="150"/>
        <v>0.87349999999999284</v>
      </c>
      <c r="F1007" s="115">
        <f t="shared" si="151"/>
        <v>0.87349999999999284</v>
      </c>
      <c r="G1007" s="115">
        <f t="shared" si="152"/>
        <v>0.76300224999998745</v>
      </c>
      <c r="H1007" s="115">
        <f t="shared" si="153"/>
        <v>1.5102005532503333E-2</v>
      </c>
      <c r="I1007" s="116">
        <f t="shared" si="146"/>
        <v>54.374399999999994</v>
      </c>
      <c r="J1007" s="116">
        <f t="shared" si="147"/>
        <v>3.4656000000000091</v>
      </c>
      <c r="K1007" s="116">
        <f t="shared" si="148"/>
        <v>3.4656000000000091</v>
      </c>
      <c r="L1007" s="116">
        <f t="shared" si="149"/>
        <v>12.010383360000063</v>
      </c>
      <c r="M1007" s="117">
        <f t="shared" si="145"/>
        <v>5.9917012448132932E-2</v>
      </c>
    </row>
    <row r="1008" spans="1:13">
      <c r="A1008" s="112">
        <v>1005</v>
      </c>
      <c r="B1008" s="107">
        <v>43081</v>
      </c>
      <c r="C1008" s="108">
        <v>57.12</v>
      </c>
      <c r="D1008" s="115">
        <f t="shared" si="154"/>
        <v>57.020999999999994</v>
      </c>
      <c r="E1008" s="115">
        <f t="shared" si="150"/>
        <v>9.9000000000003752E-2</v>
      </c>
      <c r="F1008" s="115">
        <f t="shared" si="151"/>
        <v>9.9000000000003752E-2</v>
      </c>
      <c r="G1008" s="115">
        <f t="shared" si="152"/>
        <v>9.8010000000007431E-3</v>
      </c>
      <c r="H1008" s="115">
        <f t="shared" si="153"/>
        <v>1.7331932773109902E-3</v>
      </c>
      <c r="I1008" s="116">
        <f t="shared" si="146"/>
        <v>54.497799999999998</v>
      </c>
      <c r="J1008" s="116">
        <f t="shared" si="147"/>
        <v>2.6221999999999994</v>
      </c>
      <c r="K1008" s="116">
        <f t="shared" si="148"/>
        <v>2.6221999999999994</v>
      </c>
      <c r="L1008" s="116">
        <f t="shared" si="149"/>
        <v>6.8759328399999973</v>
      </c>
      <c r="M1008" s="117">
        <f t="shared" si="145"/>
        <v>4.5906862745098032E-2</v>
      </c>
    </row>
    <row r="1009" spans="1:13">
      <c r="A1009" s="112">
        <v>1006</v>
      </c>
      <c r="B1009" s="113">
        <v>43082</v>
      </c>
      <c r="C1009" s="114">
        <v>56.59</v>
      </c>
      <c r="D1009" s="115">
        <f t="shared" si="154"/>
        <v>57.038499999999985</v>
      </c>
      <c r="E1009" s="115">
        <f t="shared" si="150"/>
        <v>-0.44849999999998147</v>
      </c>
      <c r="F1009" s="115">
        <f t="shared" si="151"/>
        <v>0.44849999999998147</v>
      </c>
      <c r="G1009" s="115">
        <f t="shared" si="152"/>
        <v>0.20115224999998338</v>
      </c>
      <c r="H1009" s="115">
        <f t="shared" si="153"/>
        <v>7.925428520939767E-3</v>
      </c>
      <c r="I1009" s="116">
        <f t="shared" si="146"/>
        <v>54.628399999999999</v>
      </c>
      <c r="J1009" s="116">
        <f t="shared" si="147"/>
        <v>1.9616000000000042</v>
      </c>
      <c r="K1009" s="116">
        <f t="shared" si="148"/>
        <v>1.9616000000000042</v>
      </c>
      <c r="L1009" s="116">
        <f t="shared" si="149"/>
        <v>3.8478745600000166</v>
      </c>
      <c r="M1009" s="117">
        <f t="shared" si="145"/>
        <v>3.4663368086234388E-2</v>
      </c>
    </row>
    <row r="1010" spans="1:13">
      <c r="A1010" s="112">
        <v>1007</v>
      </c>
      <c r="B1010" s="107">
        <v>43083</v>
      </c>
      <c r="C1010" s="108">
        <v>57</v>
      </c>
      <c r="D1010" s="115">
        <f t="shared" si="154"/>
        <v>57.084499999999991</v>
      </c>
      <c r="E1010" s="115">
        <f t="shared" si="150"/>
        <v>-8.449999999999136E-2</v>
      </c>
      <c r="F1010" s="115">
        <f t="shared" si="151"/>
        <v>8.449999999999136E-2</v>
      </c>
      <c r="G1010" s="115">
        <f t="shared" si="152"/>
        <v>7.1402499999985401E-3</v>
      </c>
      <c r="H1010" s="115">
        <f t="shared" si="153"/>
        <v>1.4824561403507257E-3</v>
      </c>
      <c r="I1010" s="116">
        <f t="shared" si="146"/>
        <v>54.751400000000004</v>
      </c>
      <c r="J1010" s="116">
        <f t="shared" si="147"/>
        <v>2.2485999999999962</v>
      </c>
      <c r="K1010" s="116">
        <f t="shared" si="148"/>
        <v>2.2485999999999962</v>
      </c>
      <c r="L1010" s="116">
        <f t="shared" si="149"/>
        <v>5.0562019599999823</v>
      </c>
      <c r="M1010" s="117">
        <f t="shared" si="145"/>
        <v>3.9449122807017477E-2</v>
      </c>
    </row>
    <row r="1011" spans="1:13">
      <c r="A1011" s="112">
        <v>1008</v>
      </c>
      <c r="B1011" s="113">
        <v>43084</v>
      </c>
      <c r="C1011" s="114">
        <v>57.29</v>
      </c>
      <c r="D1011" s="115">
        <f t="shared" si="154"/>
        <v>57.17049999999999</v>
      </c>
      <c r="E1011" s="115">
        <f t="shared" si="150"/>
        <v>0.11950000000000927</v>
      </c>
      <c r="F1011" s="115">
        <f t="shared" si="151"/>
        <v>0.11950000000000927</v>
      </c>
      <c r="G1011" s="115">
        <f t="shared" si="152"/>
        <v>1.4280250000002215E-2</v>
      </c>
      <c r="H1011" s="115">
        <f t="shared" si="153"/>
        <v>2.0858788619306907E-3</v>
      </c>
      <c r="I1011" s="116">
        <f t="shared" si="146"/>
        <v>54.891400000000004</v>
      </c>
      <c r="J1011" s="116">
        <f t="shared" si="147"/>
        <v>2.3985999999999947</v>
      </c>
      <c r="K1011" s="116">
        <f t="shared" si="148"/>
        <v>2.3985999999999947</v>
      </c>
      <c r="L1011" s="116">
        <f t="shared" si="149"/>
        <v>5.7532819599999749</v>
      </c>
      <c r="M1011" s="117">
        <f t="shared" si="145"/>
        <v>4.186769069645653E-2</v>
      </c>
    </row>
    <row r="1012" spans="1:13">
      <c r="A1012" s="112">
        <v>1009</v>
      </c>
      <c r="B1012" s="107">
        <v>43087</v>
      </c>
      <c r="C1012" s="108">
        <v>57.17</v>
      </c>
      <c r="D1012" s="115">
        <f t="shared" si="154"/>
        <v>57.277999999999999</v>
      </c>
      <c r="E1012" s="115">
        <f t="shared" si="150"/>
        <v>-0.10799999999999699</v>
      </c>
      <c r="F1012" s="115">
        <f t="shared" si="151"/>
        <v>0.10799999999999699</v>
      </c>
      <c r="G1012" s="115">
        <f t="shared" si="152"/>
        <v>1.1663999999999349E-2</v>
      </c>
      <c r="H1012" s="115">
        <f t="shared" si="153"/>
        <v>1.8891026762287385E-3</v>
      </c>
      <c r="I1012" s="116">
        <f t="shared" si="146"/>
        <v>55.021400000000014</v>
      </c>
      <c r="J1012" s="116">
        <f t="shared" si="147"/>
        <v>2.1485999999999876</v>
      </c>
      <c r="K1012" s="116">
        <f t="shared" si="148"/>
        <v>2.1485999999999876</v>
      </c>
      <c r="L1012" s="116">
        <f t="shared" si="149"/>
        <v>4.6164819599999465</v>
      </c>
      <c r="M1012" s="117">
        <f t="shared" si="145"/>
        <v>3.7582648242084793E-2</v>
      </c>
    </row>
    <row r="1013" spans="1:13">
      <c r="A1013" s="112">
        <v>1010</v>
      </c>
      <c r="B1013" s="113">
        <v>43088</v>
      </c>
      <c r="C1013" s="114">
        <v>57.49</v>
      </c>
      <c r="D1013" s="115">
        <f t="shared" si="154"/>
        <v>57.326000000000001</v>
      </c>
      <c r="E1013" s="115">
        <f t="shared" si="150"/>
        <v>0.16400000000000148</v>
      </c>
      <c r="F1013" s="115">
        <f t="shared" si="151"/>
        <v>0.16400000000000148</v>
      </c>
      <c r="G1013" s="115">
        <f t="shared" si="152"/>
        <v>2.6896000000000485E-2</v>
      </c>
      <c r="H1013" s="115">
        <f t="shared" si="153"/>
        <v>2.8526700295703855E-3</v>
      </c>
      <c r="I1013" s="116">
        <f t="shared" si="146"/>
        <v>55.178000000000011</v>
      </c>
      <c r="J1013" s="116">
        <f t="shared" si="147"/>
        <v>2.3119999999999905</v>
      </c>
      <c r="K1013" s="116">
        <f t="shared" si="148"/>
        <v>2.3119999999999905</v>
      </c>
      <c r="L1013" s="116">
        <f t="shared" si="149"/>
        <v>5.3453439999999564</v>
      </c>
      <c r="M1013" s="117">
        <f t="shared" si="145"/>
        <v>4.0215689685162467E-2</v>
      </c>
    </row>
    <row r="1014" spans="1:13">
      <c r="A1014" s="112">
        <v>1011</v>
      </c>
      <c r="B1014" s="107">
        <v>43089</v>
      </c>
      <c r="C1014" s="108">
        <v>58.09</v>
      </c>
      <c r="D1014" s="115">
        <f t="shared" si="154"/>
        <v>57.39</v>
      </c>
      <c r="E1014" s="115">
        <f t="shared" si="150"/>
        <v>0.70000000000000284</v>
      </c>
      <c r="F1014" s="115">
        <f t="shared" si="151"/>
        <v>0.70000000000000284</v>
      </c>
      <c r="G1014" s="115">
        <f t="shared" si="152"/>
        <v>0.49000000000000399</v>
      </c>
      <c r="H1014" s="115">
        <f t="shared" si="153"/>
        <v>1.2050266827336939E-2</v>
      </c>
      <c r="I1014" s="116">
        <f t="shared" si="146"/>
        <v>55.336200000000005</v>
      </c>
      <c r="J1014" s="116">
        <f t="shared" si="147"/>
        <v>2.7537999999999982</v>
      </c>
      <c r="K1014" s="116">
        <f t="shared" si="148"/>
        <v>2.7537999999999982</v>
      </c>
      <c r="L1014" s="116">
        <f t="shared" si="149"/>
        <v>7.5834144399999905</v>
      </c>
      <c r="M1014" s="117">
        <f t="shared" si="145"/>
        <v>4.7405749698743296E-2</v>
      </c>
    </row>
    <row r="1015" spans="1:13">
      <c r="A1015" s="112">
        <v>1012</v>
      </c>
      <c r="B1015" s="113">
        <v>43090</v>
      </c>
      <c r="C1015" s="114">
        <v>58.34</v>
      </c>
      <c r="D1015" s="115">
        <f t="shared" si="154"/>
        <v>57.452500000000001</v>
      </c>
      <c r="E1015" s="115">
        <f t="shared" si="150"/>
        <v>0.88750000000000284</v>
      </c>
      <c r="F1015" s="115">
        <f t="shared" si="151"/>
        <v>0.88750000000000284</v>
      </c>
      <c r="G1015" s="115">
        <f t="shared" si="152"/>
        <v>0.78765625000000505</v>
      </c>
      <c r="H1015" s="115">
        <f t="shared" si="153"/>
        <v>1.5212547137470051E-2</v>
      </c>
      <c r="I1015" s="116">
        <f t="shared" si="146"/>
        <v>55.479400000000005</v>
      </c>
      <c r="J1015" s="116">
        <f t="shared" si="147"/>
        <v>2.860599999999998</v>
      </c>
      <c r="K1015" s="116">
        <f t="shared" si="148"/>
        <v>2.860599999999998</v>
      </c>
      <c r="L1015" s="116">
        <f t="shared" si="149"/>
        <v>8.1830323599999879</v>
      </c>
      <c r="M1015" s="117">
        <f t="shared" ref="M1015:M1078" si="155">J1015/C1015</f>
        <v>4.903325334247511E-2</v>
      </c>
    </row>
    <row r="1016" spans="1:13">
      <c r="A1016" s="112">
        <v>1013</v>
      </c>
      <c r="B1016" s="107">
        <v>43091</v>
      </c>
      <c r="C1016" s="108">
        <v>58.25</v>
      </c>
      <c r="D1016" s="115">
        <f t="shared" si="154"/>
        <v>57.47549999999999</v>
      </c>
      <c r="E1016" s="115">
        <f t="shared" si="150"/>
        <v>0.7745000000000104</v>
      </c>
      <c r="F1016" s="115">
        <f t="shared" si="151"/>
        <v>0.7745000000000104</v>
      </c>
      <c r="G1016" s="115">
        <f t="shared" si="152"/>
        <v>0.59985025000001613</v>
      </c>
      <c r="H1016" s="115">
        <f t="shared" si="153"/>
        <v>1.3296137339055972E-2</v>
      </c>
      <c r="I1016" s="116">
        <f t="shared" ref="I1016:I1079" si="156">AVERAGE(C966:C1015)</f>
        <v>55.620200000000011</v>
      </c>
      <c r="J1016" s="116">
        <f t="shared" ref="J1016:J1079" si="157">C1016-I1016</f>
        <v>2.6297999999999888</v>
      </c>
      <c r="K1016" s="116">
        <f t="shared" ref="K1016:K1079" si="158">ABS(J1016)</f>
        <v>2.6297999999999888</v>
      </c>
      <c r="L1016" s="116">
        <f t="shared" ref="L1016:L1079" si="159">J1016^2</f>
        <v>6.9158480399999416</v>
      </c>
      <c r="M1016" s="117">
        <f t="shared" si="155"/>
        <v>4.5146781115879636E-2</v>
      </c>
    </row>
    <row r="1017" spans="1:13">
      <c r="A1017" s="112">
        <v>1014</v>
      </c>
      <c r="B1017" s="113">
        <v>43095</v>
      </c>
      <c r="C1017" s="114">
        <v>59.55</v>
      </c>
      <c r="D1017" s="115">
        <f t="shared" si="154"/>
        <v>57.440999999999995</v>
      </c>
      <c r="E1017" s="115">
        <f t="shared" si="150"/>
        <v>2.1090000000000018</v>
      </c>
      <c r="F1017" s="115">
        <f t="shared" si="151"/>
        <v>2.1090000000000018</v>
      </c>
      <c r="G1017" s="115">
        <f t="shared" si="152"/>
        <v>4.4478810000000077</v>
      </c>
      <c r="H1017" s="115">
        <f t="shared" si="153"/>
        <v>3.5415617128463507E-2</v>
      </c>
      <c r="I1017" s="116">
        <f t="shared" si="156"/>
        <v>55.77300000000001</v>
      </c>
      <c r="J1017" s="116">
        <f t="shared" si="157"/>
        <v>3.7769999999999868</v>
      </c>
      <c r="K1017" s="116">
        <f t="shared" si="158"/>
        <v>3.7769999999999868</v>
      </c>
      <c r="L1017" s="116">
        <f t="shared" si="159"/>
        <v>14.265728999999901</v>
      </c>
      <c r="M1017" s="117">
        <f t="shared" si="155"/>
        <v>6.3425692695213892E-2</v>
      </c>
    </row>
    <row r="1018" spans="1:13">
      <c r="A1018" s="112">
        <v>1015</v>
      </c>
      <c r="B1018" s="107">
        <v>43096</v>
      </c>
      <c r="C1018" s="108">
        <v>59.67</v>
      </c>
      <c r="D1018" s="115">
        <f t="shared" si="154"/>
        <v>57.513500000000001</v>
      </c>
      <c r="E1018" s="115">
        <f t="shared" si="150"/>
        <v>2.1565000000000012</v>
      </c>
      <c r="F1018" s="115">
        <f t="shared" si="151"/>
        <v>2.1565000000000012</v>
      </c>
      <c r="G1018" s="115">
        <f t="shared" si="152"/>
        <v>4.6504922500000054</v>
      </c>
      <c r="H1018" s="115">
        <f t="shared" si="153"/>
        <v>3.6140439081615572E-2</v>
      </c>
      <c r="I1018" s="116">
        <f t="shared" si="156"/>
        <v>55.935400000000016</v>
      </c>
      <c r="J1018" s="116">
        <f t="shared" si="157"/>
        <v>3.7345999999999862</v>
      </c>
      <c r="K1018" s="116">
        <f t="shared" si="158"/>
        <v>3.7345999999999862</v>
      </c>
      <c r="L1018" s="116">
        <f t="shared" si="159"/>
        <v>13.947237159999897</v>
      </c>
      <c r="M1018" s="117">
        <f t="shared" si="155"/>
        <v>6.258756494050588E-2</v>
      </c>
    </row>
    <row r="1019" spans="1:13">
      <c r="A1019" s="112">
        <v>1016</v>
      </c>
      <c r="B1019" s="113">
        <v>43097</v>
      </c>
      <c r="C1019" s="114">
        <v>59.84</v>
      </c>
      <c r="D1019" s="115">
        <f t="shared" si="154"/>
        <v>57.599000000000004</v>
      </c>
      <c r="E1019" s="115">
        <f t="shared" si="150"/>
        <v>2.2409999999999997</v>
      </c>
      <c r="F1019" s="115">
        <f t="shared" si="151"/>
        <v>2.2409999999999997</v>
      </c>
      <c r="G1019" s="115">
        <f t="shared" si="152"/>
        <v>5.0220809999999982</v>
      </c>
      <c r="H1019" s="115">
        <f t="shared" si="153"/>
        <v>3.7449866310160417E-2</v>
      </c>
      <c r="I1019" s="116">
        <f t="shared" si="156"/>
        <v>56.091600000000014</v>
      </c>
      <c r="J1019" s="116">
        <f t="shared" si="157"/>
        <v>3.7483999999999895</v>
      </c>
      <c r="K1019" s="116">
        <f t="shared" si="158"/>
        <v>3.7483999999999895</v>
      </c>
      <c r="L1019" s="116">
        <f t="shared" si="159"/>
        <v>14.050502559999922</v>
      </c>
      <c r="M1019" s="117">
        <f t="shared" si="155"/>
        <v>6.2640374331550619E-2</v>
      </c>
    </row>
    <row r="1020" spans="1:13">
      <c r="A1020" s="112">
        <v>1017</v>
      </c>
      <c r="B1020" s="107">
        <v>43098</v>
      </c>
      <c r="C1020" s="108">
        <v>60.46</v>
      </c>
      <c r="D1020" s="115">
        <f t="shared" si="154"/>
        <v>57.728499999999997</v>
      </c>
      <c r="E1020" s="115">
        <f t="shared" si="150"/>
        <v>2.731500000000004</v>
      </c>
      <c r="F1020" s="115">
        <f t="shared" si="151"/>
        <v>2.731500000000004</v>
      </c>
      <c r="G1020" s="115">
        <f t="shared" si="152"/>
        <v>7.4610922500000223</v>
      </c>
      <c r="H1020" s="115">
        <f t="shared" si="153"/>
        <v>4.5178630499503873E-2</v>
      </c>
      <c r="I1020" s="116">
        <f t="shared" si="156"/>
        <v>56.251000000000019</v>
      </c>
      <c r="J1020" s="116">
        <f t="shared" si="157"/>
        <v>4.2089999999999819</v>
      </c>
      <c r="K1020" s="116">
        <f t="shared" si="158"/>
        <v>4.2089999999999819</v>
      </c>
      <c r="L1020" s="116">
        <f t="shared" si="159"/>
        <v>17.715680999999847</v>
      </c>
      <c r="M1020" s="117">
        <f t="shared" si="155"/>
        <v>6.9616275223287824E-2</v>
      </c>
    </row>
    <row r="1021" spans="1:13">
      <c r="A1021" s="112">
        <v>1018</v>
      </c>
      <c r="B1021" s="113">
        <v>43102</v>
      </c>
      <c r="C1021" s="114">
        <v>60.37</v>
      </c>
      <c r="D1021" s="115">
        <f t="shared" si="154"/>
        <v>57.881499999999996</v>
      </c>
      <c r="E1021" s="115">
        <f t="shared" si="150"/>
        <v>2.4885000000000019</v>
      </c>
      <c r="F1021" s="115">
        <f t="shared" si="151"/>
        <v>2.4885000000000019</v>
      </c>
      <c r="G1021" s="115">
        <f t="shared" si="152"/>
        <v>6.1926322500000097</v>
      </c>
      <c r="H1021" s="115">
        <f t="shared" si="153"/>
        <v>4.1220805035613747E-2</v>
      </c>
      <c r="I1021" s="116">
        <f t="shared" si="156"/>
        <v>56.419200000000018</v>
      </c>
      <c r="J1021" s="116">
        <f t="shared" si="157"/>
        <v>3.9507999999999797</v>
      </c>
      <c r="K1021" s="116">
        <f t="shared" si="158"/>
        <v>3.9507999999999797</v>
      </c>
      <c r="L1021" s="116">
        <f t="shared" si="159"/>
        <v>15.608820639999839</v>
      </c>
      <c r="M1021" s="117">
        <f t="shared" si="155"/>
        <v>6.5443100877919158E-2</v>
      </c>
    </row>
    <row r="1022" spans="1:13">
      <c r="A1022" s="112">
        <v>1019</v>
      </c>
      <c r="B1022" s="107">
        <v>43103</v>
      </c>
      <c r="C1022" s="108">
        <v>61.61</v>
      </c>
      <c r="D1022" s="115">
        <f t="shared" si="154"/>
        <v>57.982499999999995</v>
      </c>
      <c r="E1022" s="115">
        <f t="shared" si="150"/>
        <v>3.6275000000000048</v>
      </c>
      <c r="F1022" s="115">
        <f t="shared" si="151"/>
        <v>3.6275000000000048</v>
      </c>
      <c r="G1022" s="115">
        <f t="shared" si="152"/>
        <v>13.158756250000035</v>
      </c>
      <c r="H1022" s="115">
        <f t="shared" si="153"/>
        <v>5.8878428826489283E-2</v>
      </c>
      <c r="I1022" s="116">
        <f t="shared" si="156"/>
        <v>56.600800000000021</v>
      </c>
      <c r="J1022" s="116">
        <f t="shared" si="157"/>
        <v>5.0091999999999786</v>
      </c>
      <c r="K1022" s="116">
        <f t="shared" si="158"/>
        <v>5.0091999999999786</v>
      </c>
      <c r="L1022" s="116">
        <f t="shared" si="159"/>
        <v>25.092084639999786</v>
      </c>
      <c r="M1022" s="117">
        <f t="shared" si="155"/>
        <v>8.1304982957311783E-2</v>
      </c>
    </row>
    <row r="1023" spans="1:13">
      <c r="A1023" s="112">
        <v>1020</v>
      </c>
      <c r="B1023" s="113">
        <v>43104</v>
      </c>
      <c r="C1023" s="114">
        <v>61.98</v>
      </c>
      <c r="D1023" s="115">
        <f t="shared" si="154"/>
        <v>58.188999999999986</v>
      </c>
      <c r="E1023" s="115">
        <f t="shared" si="150"/>
        <v>3.791000000000011</v>
      </c>
      <c r="F1023" s="115">
        <f t="shared" si="151"/>
        <v>3.791000000000011</v>
      </c>
      <c r="G1023" s="115">
        <f t="shared" si="152"/>
        <v>14.371681000000084</v>
      </c>
      <c r="H1023" s="115">
        <f t="shared" si="153"/>
        <v>6.1164891900613284E-2</v>
      </c>
      <c r="I1023" s="116">
        <f t="shared" si="156"/>
        <v>56.80040000000001</v>
      </c>
      <c r="J1023" s="116">
        <f t="shared" si="157"/>
        <v>5.1795999999999864</v>
      </c>
      <c r="K1023" s="116">
        <f t="shared" si="158"/>
        <v>5.1795999999999864</v>
      </c>
      <c r="L1023" s="116">
        <f t="shared" si="159"/>
        <v>26.82825615999986</v>
      </c>
      <c r="M1023" s="117">
        <f t="shared" si="155"/>
        <v>8.3568893191351828E-2</v>
      </c>
    </row>
    <row r="1024" spans="1:13">
      <c r="A1024" s="112">
        <v>1021</v>
      </c>
      <c r="B1024" s="107">
        <v>43105</v>
      </c>
      <c r="C1024" s="108">
        <v>61.49</v>
      </c>
      <c r="D1024" s="115">
        <f t="shared" si="154"/>
        <v>58.404999999999994</v>
      </c>
      <c r="E1024" s="115">
        <f t="shared" si="150"/>
        <v>3.085000000000008</v>
      </c>
      <c r="F1024" s="115">
        <f t="shared" si="151"/>
        <v>3.085000000000008</v>
      </c>
      <c r="G1024" s="115">
        <f t="shared" si="152"/>
        <v>9.5172250000000496</v>
      </c>
      <c r="H1024" s="115">
        <f t="shared" si="153"/>
        <v>5.0170759473085184E-2</v>
      </c>
      <c r="I1024" s="116">
        <f t="shared" si="156"/>
        <v>57.00180000000001</v>
      </c>
      <c r="J1024" s="116">
        <f t="shared" si="157"/>
        <v>4.488199999999992</v>
      </c>
      <c r="K1024" s="116">
        <f t="shared" si="158"/>
        <v>4.488199999999992</v>
      </c>
      <c r="L1024" s="116">
        <f t="shared" si="159"/>
        <v>20.143939239999927</v>
      </c>
      <c r="M1024" s="117">
        <f t="shared" si="155"/>
        <v>7.2990730200032397E-2</v>
      </c>
    </row>
    <row r="1025" spans="1:13">
      <c r="A1025" s="112">
        <v>1022</v>
      </c>
      <c r="B1025" s="113">
        <v>43108</v>
      </c>
      <c r="C1025" s="114">
        <v>61.73</v>
      </c>
      <c r="D1025" s="115">
        <f t="shared" si="154"/>
        <v>58.690000000000012</v>
      </c>
      <c r="E1025" s="115">
        <f t="shared" si="150"/>
        <v>3.0399999999999849</v>
      </c>
      <c r="F1025" s="115">
        <f t="shared" si="151"/>
        <v>3.0399999999999849</v>
      </c>
      <c r="G1025" s="115">
        <f t="shared" si="152"/>
        <v>9.2415999999999077</v>
      </c>
      <c r="H1025" s="115">
        <f t="shared" si="153"/>
        <v>4.924671958529054E-2</v>
      </c>
      <c r="I1025" s="116">
        <f t="shared" si="156"/>
        <v>57.185200000000002</v>
      </c>
      <c r="J1025" s="116">
        <f t="shared" si="157"/>
        <v>4.5447999999999951</v>
      </c>
      <c r="K1025" s="116">
        <f t="shared" si="158"/>
        <v>4.5447999999999951</v>
      </c>
      <c r="L1025" s="116">
        <f t="shared" si="159"/>
        <v>20.655207039999954</v>
      </c>
      <c r="M1025" s="117">
        <f t="shared" si="155"/>
        <v>7.3623845780009647E-2</v>
      </c>
    </row>
    <row r="1026" spans="1:13">
      <c r="A1026" s="112">
        <v>1023</v>
      </c>
      <c r="B1026" s="107">
        <v>43109</v>
      </c>
      <c r="C1026" s="108">
        <v>62.92</v>
      </c>
      <c r="D1026" s="115">
        <f t="shared" si="154"/>
        <v>58.95150000000001</v>
      </c>
      <c r="E1026" s="115">
        <f t="shared" si="150"/>
        <v>3.9684999999999917</v>
      </c>
      <c r="F1026" s="115">
        <f t="shared" si="151"/>
        <v>3.9684999999999917</v>
      </c>
      <c r="G1026" s="115">
        <f t="shared" si="152"/>
        <v>15.748992249999935</v>
      </c>
      <c r="H1026" s="115">
        <f t="shared" si="153"/>
        <v>6.3072155117609524E-2</v>
      </c>
      <c r="I1026" s="116">
        <f t="shared" si="156"/>
        <v>57.380400000000002</v>
      </c>
      <c r="J1026" s="116">
        <f t="shared" si="157"/>
        <v>5.5396000000000001</v>
      </c>
      <c r="K1026" s="116">
        <f t="shared" si="158"/>
        <v>5.5396000000000001</v>
      </c>
      <c r="L1026" s="116">
        <f t="shared" si="159"/>
        <v>30.687168160000002</v>
      </c>
      <c r="M1026" s="117">
        <f t="shared" si="155"/>
        <v>8.8041958041958038E-2</v>
      </c>
    </row>
    <row r="1027" spans="1:13">
      <c r="A1027" s="112">
        <v>1024</v>
      </c>
      <c r="B1027" s="113">
        <v>43110</v>
      </c>
      <c r="C1027" s="114">
        <v>63.6</v>
      </c>
      <c r="D1027" s="115">
        <f t="shared" si="154"/>
        <v>59.240000000000009</v>
      </c>
      <c r="E1027" s="115">
        <f t="shared" si="150"/>
        <v>4.3599999999999923</v>
      </c>
      <c r="F1027" s="115">
        <f t="shared" si="151"/>
        <v>4.3599999999999923</v>
      </c>
      <c r="G1027" s="115">
        <f t="shared" si="152"/>
        <v>19.009599999999931</v>
      </c>
      <c r="H1027" s="115">
        <f t="shared" si="153"/>
        <v>6.8553459119496729E-2</v>
      </c>
      <c r="I1027" s="116">
        <f t="shared" si="156"/>
        <v>57.590600000000016</v>
      </c>
      <c r="J1027" s="116">
        <f t="shared" si="157"/>
        <v>6.0093999999999852</v>
      </c>
      <c r="K1027" s="116">
        <f t="shared" si="158"/>
        <v>6.0093999999999852</v>
      </c>
      <c r="L1027" s="116">
        <f t="shared" si="159"/>
        <v>36.112888359999822</v>
      </c>
      <c r="M1027" s="117">
        <f t="shared" si="155"/>
        <v>9.448742138364756E-2</v>
      </c>
    </row>
    <row r="1028" spans="1:13">
      <c r="A1028" s="112">
        <v>1025</v>
      </c>
      <c r="B1028" s="107">
        <v>43111</v>
      </c>
      <c r="C1028" s="108">
        <v>63.81</v>
      </c>
      <c r="D1028" s="115">
        <f t="shared" si="154"/>
        <v>59.527999999999999</v>
      </c>
      <c r="E1028" s="115">
        <f t="shared" si="150"/>
        <v>4.2820000000000036</v>
      </c>
      <c r="F1028" s="115">
        <f t="shared" si="151"/>
        <v>4.2820000000000036</v>
      </c>
      <c r="G1028" s="115">
        <f t="shared" si="152"/>
        <v>18.335524000000031</v>
      </c>
      <c r="H1028" s="115">
        <f t="shared" si="153"/>
        <v>6.710546936216899E-2</v>
      </c>
      <c r="I1028" s="116">
        <f t="shared" si="156"/>
        <v>57.784199999999998</v>
      </c>
      <c r="J1028" s="116">
        <f t="shared" si="157"/>
        <v>6.0258000000000038</v>
      </c>
      <c r="K1028" s="116">
        <f t="shared" si="158"/>
        <v>6.0258000000000038</v>
      </c>
      <c r="L1028" s="116">
        <f t="shared" si="159"/>
        <v>36.310265640000047</v>
      </c>
      <c r="M1028" s="117">
        <f t="shared" si="155"/>
        <v>9.4433474377056945E-2</v>
      </c>
    </row>
    <row r="1029" spans="1:13">
      <c r="A1029" s="112">
        <v>1026</v>
      </c>
      <c r="B1029" s="113">
        <v>43112</v>
      </c>
      <c r="C1029" s="114">
        <v>64.22</v>
      </c>
      <c r="D1029" s="115">
        <f t="shared" si="154"/>
        <v>59.862499999999997</v>
      </c>
      <c r="E1029" s="115">
        <f t="shared" si="150"/>
        <v>4.3575000000000017</v>
      </c>
      <c r="F1029" s="115">
        <f t="shared" si="151"/>
        <v>4.3575000000000017</v>
      </c>
      <c r="G1029" s="115">
        <f t="shared" si="152"/>
        <v>18.987806250000016</v>
      </c>
      <c r="H1029" s="115">
        <f t="shared" si="153"/>
        <v>6.7852693864839636E-2</v>
      </c>
      <c r="I1029" s="116">
        <f t="shared" si="156"/>
        <v>57.978199999999994</v>
      </c>
      <c r="J1029" s="116">
        <f t="shared" si="157"/>
        <v>6.2418000000000049</v>
      </c>
      <c r="K1029" s="116">
        <f t="shared" si="158"/>
        <v>6.2418000000000049</v>
      </c>
      <c r="L1029" s="116">
        <f t="shared" si="159"/>
        <v>38.960067240000065</v>
      </c>
      <c r="M1029" s="117">
        <f t="shared" si="155"/>
        <v>9.7194020554344521E-2</v>
      </c>
    </row>
    <row r="1030" spans="1:13">
      <c r="A1030" s="112">
        <v>1027</v>
      </c>
      <c r="B1030" s="107">
        <v>43116</v>
      </c>
      <c r="C1030" s="108">
        <v>63.82</v>
      </c>
      <c r="D1030" s="115">
        <f t="shared" si="154"/>
        <v>60.244000000000007</v>
      </c>
      <c r="E1030" s="115">
        <f t="shared" si="150"/>
        <v>3.5759999999999934</v>
      </c>
      <c r="F1030" s="115">
        <f t="shared" si="151"/>
        <v>3.5759999999999934</v>
      </c>
      <c r="G1030" s="115">
        <f t="shared" si="152"/>
        <v>12.787775999999953</v>
      </c>
      <c r="H1030" s="115">
        <f t="shared" si="153"/>
        <v>5.6032591664055054E-2</v>
      </c>
      <c r="I1030" s="116">
        <f t="shared" si="156"/>
        <v>58.175399999999996</v>
      </c>
      <c r="J1030" s="116">
        <f t="shared" si="157"/>
        <v>5.6446000000000041</v>
      </c>
      <c r="K1030" s="116">
        <f t="shared" si="158"/>
        <v>5.6446000000000041</v>
      </c>
      <c r="L1030" s="116">
        <f t="shared" si="159"/>
        <v>31.861509160000047</v>
      </c>
      <c r="M1030" s="117">
        <f t="shared" si="155"/>
        <v>8.8445628329677284E-2</v>
      </c>
    </row>
    <row r="1031" spans="1:13">
      <c r="A1031" s="112">
        <v>1028</v>
      </c>
      <c r="B1031" s="113">
        <v>43117</v>
      </c>
      <c r="C1031" s="114">
        <v>63.92</v>
      </c>
      <c r="D1031" s="115">
        <f t="shared" si="154"/>
        <v>60.585000000000001</v>
      </c>
      <c r="E1031" s="115">
        <f t="shared" si="150"/>
        <v>3.3350000000000009</v>
      </c>
      <c r="F1031" s="115">
        <f t="shared" si="151"/>
        <v>3.3350000000000009</v>
      </c>
      <c r="G1031" s="115">
        <f t="shared" si="152"/>
        <v>11.122225000000006</v>
      </c>
      <c r="H1031" s="115">
        <f t="shared" si="153"/>
        <v>5.217459324155195E-2</v>
      </c>
      <c r="I1031" s="116">
        <f t="shared" si="156"/>
        <v>58.365400000000001</v>
      </c>
      <c r="J1031" s="116">
        <f t="shared" si="157"/>
        <v>5.5546000000000006</v>
      </c>
      <c r="K1031" s="116">
        <f t="shared" si="158"/>
        <v>5.5546000000000006</v>
      </c>
      <c r="L1031" s="116">
        <f t="shared" si="159"/>
        <v>30.853581160000008</v>
      </c>
      <c r="M1031" s="117">
        <f t="shared" si="155"/>
        <v>8.6899249061326664E-2</v>
      </c>
    </row>
    <row r="1032" spans="1:13">
      <c r="A1032" s="112">
        <v>1029</v>
      </c>
      <c r="B1032" s="107">
        <v>43118</v>
      </c>
      <c r="C1032" s="108">
        <v>63.96</v>
      </c>
      <c r="D1032" s="115">
        <f t="shared" si="154"/>
        <v>60.916500000000006</v>
      </c>
      <c r="E1032" s="115">
        <f t="shared" si="150"/>
        <v>3.0434999999999945</v>
      </c>
      <c r="F1032" s="115">
        <f t="shared" si="151"/>
        <v>3.0434999999999945</v>
      </c>
      <c r="G1032" s="115">
        <f t="shared" si="152"/>
        <v>9.2628922499999664</v>
      </c>
      <c r="H1032" s="115">
        <f t="shared" si="153"/>
        <v>4.7584427767354512E-2</v>
      </c>
      <c r="I1032" s="116">
        <f t="shared" si="156"/>
        <v>58.552799999999998</v>
      </c>
      <c r="J1032" s="116">
        <f t="shared" si="157"/>
        <v>5.4072000000000031</v>
      </c>
      <c r="K1032" s="116">
        <f t="shared" si="158"/>
        <v>5.4072000000000031</v>
      </c>
      <c r="L1032" s="116">
        <f t="shared" si="159"/>
        <v>29.237811840000035</v>
      </c>
      <c r="M1032" s="117">
        <f t="shared" si="155"/>
        <v>8.454033771106946E-2</v>
      </c>
    </row>
    <row r="1033" spans="1:13">
      <c r="A1033" s="112">
        <v>1030</v>
      </c>
      <c r="B1033" s="113">
        <v>43119</v>
      </c>
      <c r="C1033" s="114">
        <v>63.38</v>
      </c>
      <c r="D1033" s="115">
        <f t="shared" si="154"/>
        <v>61.256000000000007</v>
      </c>
      <c r="E1033" s="115">
        <f t="shared" si="150"/>
        <v>2.1239999999999952</v>
      </c>
      <c r="F1033" s="115">
        <f t="shared" si="151"/>
        <v>2.1239999999999952</v>
      </c>
      <c r="G1033" s="115">
        <f t="shared" si="152"/>
        <v>4.5113759999999798</v>
      </c>
      <c r="H1033" s="115">
        <f t="shared" si="153"/>
        <v>3.3512148942884117E-2</v>
      </c>
      <c r="I1033" s="116">
        <f t="shared" si="156"/>
        <v>58.719399999999993</v>
      </c>
      <c r="J1033" s="116">
        <f t="shared" si="157"/>
        <v>4.6606000000000094</v>
      </c>
      <c r="K1033" s="116">
        <f t="shared" si="158"/>
        <v>4.6606000000000094</v>
      </c>
      <c r="L1033" s="116">
        <f t="shared" si="159"/>
        <v>21.721192360000089</v>
      </c>
      <c r="M1033" s="117">
        <f t="shared" si="155"/>
        <v>7.3534237929946497E-2</v>
      </c>
    </row>
    <row r="1034" spans="1:13">
      <c r="A1034" s="112">
        <v>1031</v>
      </c>
      <c r="B1034" s="107">
        <v>43122</v>
      </c>
      <c r="C1034" s="108">
        <v>63.66</v>
      </c>
      <c r="D1034" s="115">
        <f t="shared" si="154"/>
        <v>61.550500000000014</v>
      </c>
      <c r="E1034" s="115">
        <f t="shared" si="150"/>
        <v>2.1094999999999828</v>
      </c>
      <c r="F1034" s="115">
        <f t="shared" si="151"/>
        <v>2.1094999999999828</v>
      </c>
      <c r="G1034" s="115">
        <f t="shared" si="152"/>
        <v>4.449990249999928</v>
      </c>
      <c r="H1034" s="115">
        <f t="shared" si="153"/>
        <v>3.3136977693999106E-2</v>
      </c>
      <c r="I1034" s="116">
        <f t="shared" si="156"/>
        <v>58.840199999999996</v>
      </c>
      <c r="J1034" s="116">
        <f t="shared" si="157"/>
        <v>4.8198000000000008</v>
      </c>
      <c r="K1034" s="116">
        <f t="shared" si="158"/>
        <v>4.8198000000000008</v>
      </c>
      <c r="L1034" s="116">
        <f t="shared" si="159"/>
        <v>23.230472040000006</v>
      </c>
      <c r="M1034" s="117">
        <f t="shared" si="155"/>
        <v>7.5711592836946298E-2</v>
      </c>
    </row>
    <row r="1035" spans="1:13">
      <c r="A1035" s="112">
        <v>1032</v>
      </c>
      <c r="B1035" s="113">
        <v>43123</v>
      </c>
      <c r="C1035" s="114">
        <v>64.45</v>
      </c>
      <c r="D1035" s="115">
        <f t="shared" si="154"/>
        <v>61.829000000000008</v>
      </c>
      <c r="E1035" s="115">
        <f t="shared" si="150"/>
        <v>2.6209999999999951</v>
      </c>
      <c r="F1035" s="115">
        <f t="shared" si="151"/>
        <v>2.6209999999999951</v>
      </c>
      <c r="G1035" s="115">
        <f t="shared" si="152"/>
        <v>6.8696409999999748</v>
      </c>
      <c r="H1035" s="115">
        <f t="shared" si="153"/>
        <v>4.0667183863459966E-2</v>
      </c>
      <c r="I1035" s="116">
        <f t="shared" si="156"/>
        <v>58.969599999999993</v>
      </c>
      <c r="J1035" s="116">
        <f t="shared" si="157"/>
        <v>5.4804000000000102</v>
      </c>
      <c r="K1035" s="116">
        <f t="shared" si="158"/>
        <v>5.4804000000000102</v>
      </c>
      <c r="L1035" s="116">
        <f t="shared" si="159"/>
        <v>30.034784160000111</v>
      </c>
      <c r="M1035" s="117">
        <f t="shared" si="155"/>
        <v>8.5033359193173161E-2</v>
      </c>
    </row>
    <row r="1036" spans="1:13">
      <c r="A1036" s="112">
        <v>1033</v>
      </c>
      <c r="B1036" s="107">
        <v>43124</v>
      </c>
      <c r="C1036" s="108">
        <v>65.69</v>
      </c>
      <c r="D1036" s="115">
        <f t="shared" si="154"/>
        <v>62.134500000000017</v>
      </c>
      <c r="E1036" s="115">
        <f t="shared" si="150"/>
        <v>3.5554999999999808</v>
      </c>
      <c r="F1036" s="115">
        <f t="shared" si="151"/>
        <v>3.5554999999999808</v>
      </c>
      <c r="G1036" s="115">
        <f t="shared" si="152"/>
        <v>12.641580249999864</v>
      </c>
      <c r="H1036" s="115">
        <f t="shared" si="153"/>
        <v>5.4125437661744269E-2</v>
      </c>
      <c r="I1036" s="116">
        <f t="shared" si="156"/>
        <v>59.122199999999985</v>
      </c>
      <c r="J1036" s="116">
        <f t="shared" si="157"/>
        <v>6.5678000000000125</v>
      </c>
      <c r="K1036" s="116">
        <f t="shared" si="158"/>
        <v>6.5678000000000125</v>
      </c>
      <c r="L1036" s="116">
        <f t="shared" si="159"/>
        <v>43.135996840000168</v>
      </c>
      <c r="M1036" s="117">
        <f t="shared" si="155"/>
        <v>9.9981732379357785E-2</v>
      </c>
    </row>
    <row r="1037" spans="1:13">
      <c r="A1037" s="112">
        <v>1034</v>
      </c>
      <c r="B1037" s="113">
        <v>43125</v>
      </c>
      <c r="C1037" s="114">
        <v>65.62</v>
      </c>
      <c r="D1037" s="115">
        <f t="shared" si="154"/>
        <v>62.506500000000017</v>
      </c>
      <c r="E1037" s="115">
        <f t="shared" si="150"/>
        <v>3.1134999999999877</v>
      </c>
      <c r="F1037" s="115">
        <f t="shared" si="151"/>
        <v>3.1134999999999877</v>
      </c>
      <c r="G1037" s="115">
        <f t="shared" si="152"/>
        <v>9.6938822499999233</v>
      </c>
      <c r="H1037" s="115">
        <f t="shared" si="153"/>
        <v>4.7447424565681004E-2</v>
      </c>
      <c r="I1037" s="116">
        <f t="shared" si="156"/>
        <v>59.292799999999986</v>
      </c>
      <c r="J1037" s="116">
        <f t="shared" si="157"/>
        <v>6.327200000000019</v>
      </c>
      <c r="K1037" s="116">
        <f t="shared" si="158"/>
        <v>6.327200000000019</v>
      </c>
      <c r="L1037" s="116">
        <f t="shared" si="159"/>
        <v>40.033459840000241</v>
      </c>
      <c r="M1037" s="117">
        <f t="shared" si="155"/>
        <v>9.6421822615056663E-2</v>
      </c>
    </row>
    <row r="1038" spans="1:13">
      <c r="A1038" s="112">
        <v>1035</v>
      </c>
      <c r="B1038" s="107">
        <v>43126</v>
      </c>
      <c r="C1038" s="108">
        <v>66.27</v>
      </c>
      <c r="D1038" s="115">
        <f t="shared" si="154"/>
        <v>62.810000000000016</v>
      </c>
      <c r="E1038" s="115">
        <f t="shared" si="150"/>
        <v>3.4599999999999795</v>
      </c>
      <c r="F1038" s="115">
        <f t="shared" si="151"/>
        <v>3.4599999999999795</v>
      </c>
      <c r="G1038" s="115">
        <f t="shared" si="152"/>
        <v>11.971599999999858</v>
      </c>
      <c r="H1038" s="115">
        <f t="shared" si="153"/>
        <v>5.221065338765625E-2</v>
      </c>
      <c r="I1038" s="116">
        <f t="shared" si="156"/>
        <v>59.470199999999977</v>
      </c>
      <c r="J1038" s="116">
        <f t="shared" si="157"/>
        <v>6.7998000000000189</v>
      </c>
      <c r="K1038" s="116">
        <f t="shared" si="158"/>
        <v>6.7998000000000189</v>
      </c>
      <c r="L1038" s="116">
        <f t="shared" si="159"/>
        <v>46.237280040000257</v>
      </c>
      <c r="M1038" s="117">
        <f t="shared" si="155"/>
        <v>0.1026075147125399</v>
      </c>
    </row>
    <row r="1039" spans="1:13">
      <c r="A1039" s="112">
        <v>1036</v>
      </c>
      <c r="B1039" s="113">
        <v>43129</v>
      </c>
      <c r="C1039" s="114">
        <v>65.709999999999994</v>
      </c>
      <c r="D1039" s="115">
        <f t="shared" si="154"/>
        <v>63.140000000000008</v>
      </c>
      <c r="E1039" s="115">
        <f t="shared" si="150"/>
        <v>2.5699999999999861</v>
      </c>
      <c r="F1039" s="115">
        <f t="shared" si="151"/>
        <v>2.5699999999999861</v>
      </c>
      <c r="G1039" s="115">
        <f t="shared" si="152"/>
        <v>6.6048999999999287</v>
      </c>
      <c r="H1039" s="115">
        <f t="shared" si="153"/>
        <v>3.9111246385633638E-2</v>
      </c>
      <c r="I1039" s="116">
        <f t="shared" si="156"/>
        <v>59.660199999999975</v>
      </c>
      <c r="J1039" s="116">
        <f t="shared" si="157"/>
        <v>6.0498000000000189</v>
      </c>
      <c r="K1039" s="116">
        <f t="shared" si="158"/>
        <v>6.0498000000000189</v>
      </c>
      <c r="L1039" s="116">
        <f t="shared" si="159"/>
        <v>36.600080040000229</v>
      </c>
      <c r="M1039" s="117">
        <f t="shared" si="155"/>
        <v>9.2068178359458519E-2</v>
      </c>
    </row>
    <row r="1040" spans="1:13">
      <c r="A1040" s="112">
        <v>1037</v>
      </c>
      <c r="B1040" s="107">
        <v>43130</v>
      </c>
      <c r="C1040" s="108">
        <v>64.64</v>
      </c>
      <c r="D1040" s="115">
        <f t="shared" si="154"/>
        <v>63.433500000000002</v>
      </c>
      <c r="E1040" s="115">
        <f t="shared" si="150"/>
        <v>1.2064999999999984</v>
      </c>
      <c r="F1040" s="115">
        <f t="shared" si="151"/>
        <v>1.2064999999999984</v>
      </c>
      <c r="G1040" s="115">
        <f t="shared" si="152"/>
        <v>1.4556422499999959</v>
      </c>
      <c r="H1040" s="115">
        <f t="shared" si="153"/>
        <v>1.8664913366336609E-2</v>
      </c>
      <c r="I1040" s="116">
        <f t="shared" si="156"/>
        <v>59.860999999999983</v>
      </c>
      <c r="J1040" s="116">
        <f t="shared" si="157"/>
        <v>4.7790000000000177</v>
      </c>
      <c r="K1040" s="116">
        <f t="shared" si="158"/>
        <v>4.7790000000000177</v>
      </c>
      <c r="L1040" s="116">
        <f t="shared" si="159"/>
        <v>22.838841000000169</v>
      </c>
      <c r="M1040" s="117">
        <f t="shared" si="155"/>
        <v>7.3932549504950762E-2</v>
      </c>
    </row>
    <row r="1041" spans="1:13">
      <c r="A1041" s="112">
        <v>1038</v>
      </c>
      <c r="B1041" s="113">
        <v>43131</v>
      </c>
      <c r="C1041" s="114">
        <v>64.819999999999993</v>
      </c>
      <c r="D1041" s="115">
        <f t="shared" si="154"/>
        <v>63.642500000000005</v>
      </c>
      <c r="E1041" s="115">
        <f t="shared" si="150"/>
        <v>1.1774999999999878</v>
      </c>
      <c r="F1041" s="115">
        <f t="shared" si="151"/>
        <v>1.1774999999999878</v>
      </c>
      <c r="G1041" s="115">
        <f t="shared" si="152"/>
        <v>1.3865062499999712</v>
      </c>
      <c r="H1041" s="115">
        <f t="shared" si="153"/>
        <v>1.8165689601974514E-2</v>
      </c>
      <c r="I1041" s="116">
        <f t="shared" si="156"/>
        <v>60.04819999999998</v>
      </c>
      <c r="J1041" s="116">
        <f t="shared" si="157"/>
        <v>4.7718000000000131</v>
      </c>
      <c r="K1041" s="116">
        <f t="shared" si="158"/>
        <v>4.7718000000000131</v>
      </c>
      <c r="L1041" s="116">
        <f t="shared" si="159"/>
        <v>22.770075240000125</v>
      </c>
      <c r="M1041" s="117">
        <f t="shared" si="155"/>
        <v>7.3616167849429398E-2</v>
      </c>
    </row>
    <row r="1042" spans="1:13">
      <c r="A1042" s="112">
        <v>1039</v>
      </c>
      <c r="B1042" s="107">
        <v>43132</v>
      </c>
      <c r="C1042" s="108">
        <v>65.92</v>
      </c>
      <c r="D1042" s="115">
        <f t="shared" si="154"/>
        <v>63.865000000000009</v>
      </c>
      <c r="E1042" s="115">
        <f t="shared" si="150"/>
        <v>2.0549999999999926</v>
      </c>
      <c r="F1042" s="115">
        <f t="shared" si="151"/>
        <v>2.0549999999999926</v>
      </c>
      <c r="G1042" s="115">
        <f t="shared" si="152"/>
        <v>4.2230249999999696</v>
      </c>
      <c r="H1042" s="115">
        <f t="shared" si="153"/>
        <v>3.1174150485436779E-2</v>
      </c>
      <c r="I1042" s="116">
        <f t="shared" si="156"/>
        <v>60.241799999999991</v>
      </c>
      <c r="J1042" s="116">
        <f t="shared" si="157"/>
        <v>5.678200000000011</v>
      </c>
      <c r="K1042" s="116">
        <f t="shared" si="158"/>
        <v>5.678200000000011</v>
      </c>
      <c r="L1042" s="116">
        <f t="shared" si="159"/>
        <v>32.241955240000124</v>
      </c>
      <c r="M1042" s="117">
        <f t="shared" si="155"/>
        <v>8.6137742718446764E-2</v>
      </c>
    </row>
    <row r="1043" spans="1:13">
      <c r="A1043" s="112">
        <v>1040</v>
      </c>
      <c r="B1043" s="113">
        <v>43133</v>
      </c>
      <c r="C1043" s="114">
        <v>65.5</v>
      </c>
      <c r="D1043" s="115">
        <f t="shared" si="154"/>
        <v>64.080500000000001</v>
      </c>
      <c r="E1043" s="115">
        <f t="shared" si="150"/>
        <v>1.4194999999999993</v>
      </c>
      <c r="F1043" s="115">
        <f t="shared" si="151"/>
        <v>1.4194999999999993</v>
      </c>
      <c r="G1043" s="115">
        <f t="shared" si="152"/>
        <v>2.014980249999998</v>
      </c>
      <c r="H1043" s="115">
        <f t="shared" si="153"/>
        <v>2.1671755725190828E-2</v>
      </c>
      <c r="I1043" s="116">
        <f t="shared" si="156"/>
        <v>60.435999999999993</v>
      </c>
      <c r="J1043" s="116">
        <f t="shared" si="157"/>
        <v>5.0640000000000072</v>
      </c>
      <c r="K1043" s="116">
        <f t="shared" si="158"/>
        <v>5.0640000000000072</v>
      </c>
      <c r="L1043" s="116">
        <f t="shared" si="159"/>
        <v>25.644096000000072</v>
      </c>
      <c r="M1043" s="117">
        <f t="shared" si="155"/>
        <v>7.7312977099236749E-2</v>
      </c>
    </row>
    <row r="1044" spans="1:13">
      <c r="A1044" s="112">
        <v>1041</v>
      </c>
      <c r="B1044" s="107">
        <v>43136</v>
      </c>
      <c r="C1044" s="108">
        <v>64.180000000000007</v>
      </c>
      <c r="D1044" s="115">
        <f t="shared" si="154"/>
        <v>64.256500000000003</v>
      </c>
      <c r="E1044" s="115">
        <f t="shared" si="150"/>
        <v>-7.6499999999995794E-2</v>
      </c>
      <c r="F1044" s="115">
        <f t="shared" si="151"/>
        <v>7.6499999999995794E-2</v>
      </c>
      <c r="G1044" s="115">
        <f t="shared" si="152"/>
        <v>5.8522499999993562E-3</v>
      </c>
      <c r="H1044" s="115">
        <f t="shared" si="153"/>
        <v>1.1919601121844156E-3</v>
      </c>
      <c r="I1044" s="116">
        <f t="shared" si="156"/>
        <v>60.621799999999993</v>
      </c>
      <c r="J1044" s="116">
        <f t="shared" si="157"/>
        <v>3.5582000000000136</v>
      </c>
      <c r="K1044" s="116">
        <f t="shared" si="158"/>
        <v>3.5582000000000136</v>
      </c>
      <c r="L1044" s="116">
        <f t="shared" si="159"/>
        <v>12.660787240000097</v>
      </c>
      <c r="M1044" s="117">
        <f t="shared" si="155"/>
        <v>5.544094733561878E-2</v>
      </c>
    </row>
    <row r="1045" spans="1:13">
      <c r="A1045" s="112">
        <v>1042</v>
      </c>
      <c r="B1045" s="113">
        <v>43137</v>
      </c>
      <c r="C1045" s="114">
        <v>63.48</v>
      </c>
      <c r="D1045" s="115">
        <f t="shared" si="154"/>
        <v>64.391000000000005</v>
      </c>
      <c r="E1045" s="115">
        <f t="shared" si="150"/>
        <v>-0.91100000000000847</v>
      </c>
      <c r="F1045" s="115">
        <f t="shared" si="151"/>
        <v>0.91100000000000847</v>
      </c>
      <c r="G1045" s="115">
        <f t="shared" si="152"/>
        <v>0.82992100000001545</v>
      </c>
      <c r="H1045" s="115">
        <f t="shared" si="153"/>
        <v>1.4350976685570392E-2</v>
      </c>
      <c r="I1045" s="116">
        <f t="shared" si="156"/>
        <v>60.768599999999985</v>
      </c>
      <c r="J1045" s="116">
        <f t="shared" si="157"/>
        <v>2.7114000000000118</v>
      </c>
      <c r="K1045" s="116">
        <f t="shared" si="158"/>
        <v>2.7114000000000118</v>
      </c>
      <c r="L1045" s="116">
        <f t="shared" si="159"/>
        <v>7.3516899600000638</v>
      </c>
      <c r="M1045" s="117">
        <f t="shared" si="155"/>
        <v>4.2712665406427409E-2</v>
      </c>
    </row>
    <row r="1046" spans="1:13">
      <c r="A1046" s="112">
        <v>1043</v>
      </c>
      <c r="B1046" s="107">
        <v>43138</v>
      </c>
      <c r="C1046" s="108">
        <v>61.91</v>
      </c>
      <c r="D1046" s="115">
        <f t="shared" si="154"/>
        <v>64.478500000000011</v>
      </c>
      <c r="E1046" s="115">
        <f t="shared" si="150"/>
        <v>-2.5685000000000144</v>
      </c>
      <c r="F1046" s="115">
        <f t="shared" si="151"/>
        <v>2.5685000000000144</v>
      </c>
      <c r="G1046" s="115">
        <f t="shared" si="152"/>
        <v>6.5971922500000746</v>
      </c>
      <c r="H1046" s="115">
        <f t="shared" si="153"/>
        <v>4.1487643353254958E-2</v>
      </c>
      <c r="I1046" s="116">
        <f t="shared" si="156"/>
        <v>60.880599999999987</v>
      </c>
      <c r="J1046" s="116">
        <f t="shared" si="157"/>
        <v>1.0294000000000096</v>
      </c>
      <c r="K1046" s="116">
        <f t="shared" si="158"/>
        <v>1.0294000000000096</v>
      </c>
      <c r="L1046" s="116">
        <f t="shared" si="159"/>
        <v>1.05966436000002</v>
      </c>
      <c r="M1046" s="117">
        <f t="shared" si="155"/>
        <v>1.6627362300113226E-2</v>
      </c>
    </row>
    <row r="1047" spans="1:13">
      <c r="A1047" s="112">
        <v>1044</v>
      </c>
      <c r="B1047" s="113">
        <v>43139</v>
      </c>
      <c r="C1047" s="114">
        <v>61.3</v>
      </c>
      <c r="D1047" s="115">
        <f t="shared" si="154"/>
        <v>64.428000000000011</v>
      </c>
      <c r="E1047" s="115">
        <f t="shared" si="150"/>
        <v>-3.1280000000000143</v>
      </c>
      <c r="F1047" s="115">
        <f t="shared" si="151"/>
        <v>3.1280000000000143</v>
      </c>
      <c r="G1047" s="115">
        <f t="shared" si="152"/>
        <v>9.7843840000000899</v>
      </c>
      <c r="H1047" s="115">
        <f t="shared" si="153"/>
        <v>5.1027732463295505E-2</v>
      </c>
      <c r="I1047" s="116">
        <f t="shared" si="156"/>
        <v>60.939999999999984</v>
      </c>
      <c r="J1047" s="116">
        <f t="shared" si="157"/>
        <v>0.36000000000001364</v>
      </c>
      <c r="K1047" s="116">
        <f t="shared" si="158"/>
        <v>0.36000000000001364</v>
      </c>
      <c r="L1047" s="116">
        <f t="shared" si="159"/>
        <v>0.12960000000000982</v>
      </c>
      <c r="M1047" s="117">
        <f t="shared" si="155"/>
        <v>5.8727569331160469E-3</v>
      </c>
    </row>
    <row r="1048" spans="1:13">
      <c r="A1048" s="112">
        <v>1045</v>
      </c>
      <c r="B1048" s="107">
        <v>43140</v>
      </c>
      <c r="C1048" s="108">
        <v>59.2</v>
      </c>
      <c r="D1048" s="115">
        <f t="shared" si="154"/>
        <v>64.313000000000002</v>
      </c>
      <c r="E1048" s="115">
        <f t="shared" ref="E1048:E1082" si="160">C1048-D1048</f>
        <v>-5.1129999999999995</v>
      </c>
      <c r="F1048" s="115">
        <f t="shared" ref="F1048:F1082" si="161">ABS(E1048)</f>
        <v>5.1129999999999995</v>
      </c>
      <c r="G1048" s="115">
        <f t="shared" ref="G1048:G1090" si="162">E1048^2</f>
        <v>26.142768999999994</v>
      </c>
      <c r="H1048" s="115">
        <f t="shared" ref="H1048:H1090" si="163">F1048/C1048</f>
        <v>8.6368243243243228E-2</v>
      </c>
      <c r="I1048" s="116">
        <f t="shared" si="156"/>
        <v>61.003999999999991</v>
      </c>
      <c r="J1048" s="116">
        <f t="shared" si="157"/>
        <v>-1.8039999999999878</v>
      </c>
      <c r="K1048" s="116">
        <f t="shared" si="158"/>
        <v>1.8039999999999878</v>
      </c>
      <c r="L1048" s="116">
        <f t="shared" si="159"/>
        <v>3.254415999999956</v>
      </c>
      <c r="M1048" s="117">
        <f t="shared" si="155"/>
        <v>-3.0472972972972766E-2</v>
      </c>
    </row>
    <row r="1049" spans="1:13">
      <c r="A1049" s="112">
        <v>1046</v>
      </c>
      <c r="B1049" s="113">
        <v>43143</v>
      </c>
      <c r="C1049" s="114">
        <v>59.41</v>
      </c>
      <c r="D1049" s="115">
        <f t="shared" si="154"/>
        <v>64.08250000000001</v>
      </c>
      <c r="E1049" s="115">
        <f t="shared" si="160"/>
        <v>-4.6725000000000136</v>
      </c>
      <c r="F1049" s="115">
        <f t="shared" si="161"/>
        <v>4.6725000000000136</v>
      </c>
      <c r="G1049" s="115">
        <f t="shared" si="162"/>
        <v>21.832256250000128</v>
      </c>
      <c r="H1049" s="115">
        <f t="shared" si="163"/>
        <v>7.8648375694327782E-2</v>
      </c>
      <c r="I1049" s="116">
        <f t="shared" si="156"/>
        <v>61.028799999999983</v>
      </c>
      <c r="J1049" s="116">
        <f t="shared" si="157"/>
        <v>-1.618799999999986</v>
      </c>
      <c r="K1049" s="116">
        <f t="shared" si="158"/>
        <v>1.618799999999986</v>
      </c>
      <c r="L1049" s="116">
        <f t="shared" si="159"/>
        <v>2.6205134399999546</v>
      </c>
      <c r="M1049" s="117">
        <f t="shared" si="155"/>
        <v>-2.7247938057565833E-2</v>
      </c>
    </row>
    <row r="1050" spans="1:13">
      <c r="A1050" s="112">
        <v>1047</v>
      </c>
      <c r="B1050" s="107">
        <v>43144</v>
      </c>
      <c r="C1050" s="108">
        <v>59.33</v>
      </c>
      <c r="D1050" s="115">
        <f t="shared" ref="D1050:D1113" si="164">AVERAGE(C1030:C1049)</f>
        <v>63.842000000000006</v>
      </c>
      <c r="E1050" s="115">
        <f t="shared" si="160"/>
        <v>-4.5120000000000076</v>
      </c>
      <c r="F1050" s="115">
        <f t="shared" si="161"/>
        <v>4.5120000000000076</v>
      </c>
      <c r="G1050" s="115">
        <f t="shared" si="162"/>
        <v>20.358144000000067</v>
      </c>
      <c r="H1050" s="115">
        <f t="shared" si="163"/>
        <v>7.6049216248103957E-2</v>
      </c>
      <c r="I1050" s="116">
        <f t="shared" si="156"/>
        <v>61.071999999999989</v>
      </c>
      <c r="J1050" s="116">
        <f t="shared" si="157"/>
        <v>-1.7419999999999902</v>
      </c>
      <c r="K1050" s="116">
        <f t="shared" si="158"/>
        <v>1.7419999999999902</v>
      </c>
      <c r="L1050" s="116">
        <f t="shared" si="159"/>
        <v>3.0345639999999658</v>
      </c>
      <c r="M1050" s="117">
        <f t="shared" si="155"/>
        <v>-2.9361200067419355E-2</v>
      </c>
    </row>
    <row r="1051" spans="1:13">
      <c r="A1051" s="112">
        <v>1048</v>
      </c>
      <c r="B1051" s="113">
        <v>43145</v>
      </c>
      <c r="C1051" s="114">
        <v>60.7</v>
      </c>
      <c r="D1051" s="115">
        <f t="shared" si="164"/>
        <v>63.617500000000007</v>
      </c>
      <c r="E1051" s="115">
        <f t="shared" si="160"/>
        <v>-2.917500000000004</v>
      </c>
      <c r="F1051" s="115">
        <f t="shared" si="161"/>
        <v>2.917500000000004</v>
      </c>
      <c r="G1051" s="115">
        <f t="shared" si="162"/>
        <v>8.5118062500000224</v>
      </c>
      <c r="H1051" s="115">
        <f t="shared" si="163"/>
        <v>4.806425041186168E-2</v>
      </c>
      <c r="I1051" s="116">
        <f t="shared" si="156"/>
        <v>61.110599999999984</v>
      </c>
      <c r="J1051" s="116">
        <f t="shared" si="157"/>
        <v>-0.41059999999998098</v>
      </c>
      <c r="K1051" s="116">
        <f t="shared" si="158"/>
        <v>0.41059999999998098</v>
      </c>
      <c r="L1051" s="116">
        <f t="shared" si="159"/>
        <v>0.16859235999998437</v>
      </c>
      <c r="M1051" s="117">
        <f t="shared" si="155"/>
        <v>-6.7644151565071E-3</v>
      </c>
    </row>
    <row r="1052" spans="1:13">
      <c r="A1052" s="112">
        <v>1049</v>
      </c>
      <c r="B1052" s="107">
        <v>43146</v>
      </c>
      <c r="C1052" s="108">
        <v>61.48</v>
      </c>
      <c r="D1052" s="115">
        <f t="shared" si="164"/>
        <v>63.456500000000005</v>
      </c>
      <c r="E1052" s="115">
        <f t="shared" si="160"/>
        <v>-1.9765000000000086</v>
      </c>
      <c r="F1052" s="115">
        <f t="shared" si="161"/>
        <v>1.9765000000000086</v>
      </c>
      <c r="G1052" s="115">
        <f t="shared" si="162"/>
        <v>3.906552250000034</v>
      </c>
      <c r="H1052" s="115">
        <f t="shared" si="163"/>
        <v>3.2148666232921418E-2</v>
      </c>
      <c r="I1052" s="116">
        <f t="shared" si="156"/>
        <v>61.157599999999981</v>
      </c>
      <c r="J1052" s="116">
        <f t="shared" si="157"/>
        <v>0.32240000000001601</v>
      </c>
      <c r="K1052" s="116">
        <f t="shared" si="158"/>
        <v>0.32240000000001601</v>
      </c>
      <c r="L1052" s="116">
        <f t="shared" si="159"/>
        <v>0.10394176000001032</v>
      </c>
      <c r="M1052" s="117">
        <f t="shared" si="155"/>
        <v>5.2439817826938195E-3</v>
      </c>
    </row>
    <row r="1053" spans="1:13">
      <c r="A1053" s="112">
        <v>1050</v>
      </c>
      <c r="B1053" s="113">
        <v>43147</v>
      </c>
      <c r="C1053" s="114">
        <v>61.89</v>
      </c>
      <c r="D1053" s="115">
        <f t="shared" si="164"/>
        <v>63.332499999999996</v>
      </c>
      <c r="E1053" s="115">
        <f t="shared" si="160"/>
        <v>-1.4424999999999955</v>
      </c>
      <c r="F1053" s="115">
        <f t="shared" si="161"/>
        <v>1.4424999999999955</v>
      </c>
      <c r="G1053" s="115">
        <f t="shared" si="162"/>
        <v>2.0808062499999869</v>
      </c>
      <c r="H1053" s="115">
        <f t="shared" si="163"/>
        <v>2.3307481014703431E-2</v>
      </c>
      <c r="I1053" s="116">
        <f t="shared" si="156"/>
        <v>61.237599999999986</v>
      </c>
      <c r="J1053" s="116">
        <f t="shared" si="157"/>
        <v>0.6524000000000143</v>
      </c>
      <c r="K1053" s="116">
        <f t="shared" si="158"/>
        <v>0.6524000000000143</v>
      </c>
      <c r="L1053" s="116">
        <f t="shared" si="159"/>
        <v>0.42562576000001867</v>
      </c>
      <c r="M1053" s="117">
        <f t="shared" si="155"/>
        <v>1.0541282921312236E-2</v>
      </c>
    </row>
    <row r="1054" spans="1:13">
      <c r="A1054" s="112">
        <v>1051</v>
      </c>
      <c r="B1054" s="107">
        <v>43151</v>
      </c>
      <c r="C1054" s="108">
        <v>61.91</v>
      </c>
      <c r="D1054" s="115">
        <f t="shared" si="164"/>
        <v>63.257999999999996</v>
      </c>
      <c r="E1054" s="115">
        <f t="shared" si="160"/>
        <v>-1.347999999999999</v>
      </c>
      <c r="F1054" s="115">
        <f t="shared" si="161"/>
        <v>1.347999999999999</v>
      </c>
      <c r="G1054" s="115">
        <f t="shared" si="162"/>
        <v>1.8171039999999972</v>
      </c>
      <c r="H1054" s="115">
        <f t="shared" si="163"/>
        <v>2.177354223873363E-2</v>
      </c>
      <c r="I1054" s="116">
        <f t="shared" si="156"/>
        <v>61.322199999999995</v>
      </c>
      <c r="J1054" s="116">
        <f t="shared" si="157"/>
        <v>0.58780000000000143</v>
      </c>
      <c r="K1054" s="116">
        <f t="shared" si="158"/>
        <v>0.58780000000000143</v>
      </c>
      <c r="L1054" s="116">
        <f t="shared" si="159"/>
        <v>0.3455088400000017</v>
      </c>
      <c r="M1054" s="117">
        <f t="shared" si="155"/>
        <v>9.4944273946050949E-3</v>
      </c>
    </row>
    <row r="1055" spans="1:13">
      <c r="A1055" s="112">
        <v>1052</v>
      </c>
      <c r="B1055" s="113">
        <v>43152</v>
      </c>
      <c r="C1055" s="114">
        <v>61.73</v>
      </c>
      <c r="D1055" s="115">
        <f t="shared" si="164"/>
        <v>63.170500000000004</v>
      </c>
      <c r="E1055" s="115">
        <f t="shared" si="160"/>
        <v>-1.4405000000000072</v>
      </c>
      <c r="F1055" s="115">
        <f t="shared" si="161"/>
        <v>1.4405000000000072</v>
      </c>
      <c r="G1055" s="115">
        <f t="shared" si="162"/>
        <v>2.0750402500000207</v>
      </c>
      <c r="H1055" s="115">
        <f t="shared" si="163"/>
        <v>2.333549327717491E-2</v>
      </c>
      <c r="I1055" s="116">
        <f t="shared" si="156"/>
        <v>61.444599999999994</v>
      </c>
      <c r="J1055" s="116">
        <f t="shared" si="157"/>
        <v>0.28540000000000276</v>
      </c>
      <c r="K1055" s="116">
        <f t="shared" si="158"/>
        <v>0.28540000000000276</v>
      </c>
      <c r="L1055" s="116">
        <f t="shared" si="159"/>
        <v>8.1453160000001579E-2</v>
      </c>
      <c r="M1055" s="117">
        <f t="shared" si="155"/>
        <v>4.6233597926454359E-3</v>
      </c>
    </row>
    <row r="1056" spans="1:13">
      <c r="A1056" s="112">
        <v>1053</v>
      </c>
      <c r="B1056" s="107">
        <v>43153</v>
      </c>
      <c r="C1056" s="108">
        <v>62.72</v>
      </c>
      <c r="D1056" s="115">
        <f t="shared" si="164"/>
        <v>63.034500000000001</v>
      </c>
      <c r="E1056" s="115">
        <f t="shared" si="160"/>
        <v>-0.31450000000000244</v>
      </c>
      <c r="F1056" s="115">
        <f t="shared" si="161"/>
        <v>0.31450000000000244</v>
      </c>
      <c r="G1056" s="115">
        <f t="shared" si="162"/>
        <v>9.8910250000001532E-2</v>
      </c>
      <c r="H1056" s="115">
        <f t="shared" si="163"/>
        <v>5.0143494897959577E-3</v>
      </c>
      <c r="I1056" s="116">
        <f t="shared" si="156"/>
        <v>61.549199999999992</v>
      </c>
      <c r="J1056" s="116">
        <f t="shared" si="157"/>
        <v>1.1708000000000069</v>
      </c>
      <c r="K1056" s="116">
        <f t="shared" si="158"/>
        <v>1.1708000000000069</v>
      </c>
      <c r="L1056" s="116">
        <f t="shared" si="159"/>
        <v>1.3707726400000162</v>
      </c>
      <c r="M1056" s="117">
        <f t="shared" si="155"/>
        <v>1.8667091836734807E-2</v>
      </c>
    </row>
    <row r="1057" spans="1:13">
      <c r="A1057" s="112">
        <v>1054</v>
      </c>
      <c r="B1057" s="113">
        <v>43154</v>
      </c>
      <c r="C1057" s="114">
        <v>63.52</v>
      </c>
      <c r="D1057" s="115">
        <f t="shared" si="164"/>
        <v>62.88600000000001</v>
      </c>
      <c r="E1057" s="115">
        <f t="shared" si="160"/>
        <v>0.63399999999999324</v>
      </c>
      <c r="F1057" s="115">
        <f t="shared" si="161"/>
        <v>0.63399999999999324</v>
      </c>
      <c r="G1057" s="115">
        <f t="shared" si="162"/>
        <v>0.40195599999999143</v>
      </c>
      <c r="H1057" s="115">
        <f t="shared" si="163"/>
        <v>9.9811083123424616E-3</v>
      </c>
      <c r="I1057" s="116">
        <f t="shared" si="156"/>
        <v>61.660599999999988</v>
      </c>
      <c r="J1057" s="116">
        <f t="shared" si="157"/>
        <v>1.859400000000015</v>
      </c>
      <c r="K1057" s="116">
        <f t="shared" si="158"/>
        <v>1.859400000000015</v>
      </c>
      <c r="L1057" s="116">
        <f t="shared" si="159"/>
        <v>3.4573683600000558</v>
      </c>
      <c r="M1057" s="117">
        <f t="shared" si="155"/>
        <v>2.9272670025189153E-2</v>
      </c>
    </row>
    <row r="1058" spans="1:13">
      <c r="A1058" s="112">
        <v>1055</v>
      </c>
      <c r="B1058" s="107">
        <v>43157</v>
      </c>
      <c r="C1058" s="108">
        <v>63.81</v>
      </c>
      <c r="D1058" s="115">
        <f t="shared" si="164"/>
        <v>62.781000000000006</v>
      </c>
      <c r="E1058" s="115">
        <f t="shared" si="160"/>
        <v>1.0289999999999964</v>
      </c>
      <c r="F1058" s="115">
        <f t="shared" si="161"/>
        <v>1.0289999999999964</v>
      </c>
      <c r="G1058" s="115">
        <f t="shared" si="162"/>
        <v>1.0588409999999926</v>
      </c>
      <c r="H1058" s="115">
        <f t="shared" si="163"/>
        <v>1.6125999059708452E-2</v>
      </c>
      <c r="I1058" s="116">
        <f t="shared" si="156"/>
        <v>61.774199999999979</v>
      </c>
      <c r="J1058" s="116">
        <f t="shared" si="157"/>
        <v>2.0358000000000231</v>
      </c>
      <c r="K1058" s="116">
        <f t="shared" si="158"/>
        <v>2.0358000000000231</v>
      </c>
      <c r="L1058" s="116">
        <f t="shared" si="159"/>
        <v>4.1444816400000946</v>
      </c>
      <c r="M1058" s="117">
        <f t="shared" si="155"/>
        <v>3.1904090267983437E-2</v>
      </c>
    </row>
    <row r="1059" spans="1:13">
      <c r="A1059" s="112">
        <v>1056</v>
      </c>
      <c r="B1059" s="113">
        <v>43158</v>
      </c>
      <c r="C1059" s="114">
        <v>62.94</v>
      </c>
      <c r="D1059" s="115">
        <f t="shared" si="164"/>
        <v>62.657999999999994</v>
      </c>
      <c r="E1059" s="115">
        <f t="shared" si="160"/>
        <v>0.28200000000000358</v>
      </c>
      <c r="F1059" s="115">
        <f t="shared" si="161"/>
        <v>0.28200000000000358</v>
      </c>
      <c r="G1059" s="115">
        <f t="shared" si="162"/>
        <v>7.9524000000002024E-2</v>
      </c>
      <c r="H1059" s="115">
        <f t="shared" si="163"/>
        <v>4.4804575786463871E-3</v>
      </c>
      <c r="I1059" s="116">
        <f t="shared" si="156"/>
        <v>61.907999999999987</v>
      </c>
      <c r="J1059" s="116">
        <f t="shared" si="157"/>
        <v>1.0320000000000107</v>
      </c>
      <c r="K1059" s="116">
        <f t="shared" si="158"/>
        <v>1.0320000000000107</v>
      </c>
      <c r="L1059" s="116">
        <f t="shared" si="159"/>
        <v>1.065024000000022</v>
      </c>
      <c r="M1059" s="117">
        <f t="shared" si="155"/>
        <v>1.6396568160152697E-2</v>
      </c>
    </row>
    <row r="1060" spans="1:13">
      <c r="A1060" s="112">
        <v>1057</v>
      </c>
      <c r="B1060" s="107">
        <v>43159</v>
      </c>
      <c r="C1060" s="108">
        <v>61.43</v>
      </c>
      <c r="D1060" s="115">
        <f t="shared" si="164"/>
        <v>62.519500000000008</v>
      </c>
      <c r="E1060" s="115">
        <f t="shared" si="160"/>
        <v>-1.0895000000000081</v>
      </c>
      <c r="F1060" s="115">
        <f t="shared" si="161"/>
        <v>1.0895000000000081</v>
      </c>
      <c r="G1060" s="115">
        <f t="shared" si="162"/>
        <v>1.1870102500000177</v>
      </c>
      <c r="H1060" s="115">
        <f t="shared" si="163"/>
        <v>1.7735634055022109E-2</v>
      </c>
      <c r="I1060" s="116">
        <f t="shared" si="156"/>
        <v>62.034999999999989</v>
      </c>
      <c r="J1060" s="116">
        <f t="shared" si="157"/>
        <v>-0.60499999999998977</v>
      </c>
      <c r="K1060" s="116">
        <f t="shared" si="158"/>
        <v>0.60499999999998977</v>
      </c>
      <c r="L1060" s="116">
        <f t="shared" si="159"/>
        <v>0.36602499999998761</v>
      </c>
      <c r="M1060" s="117">
        <f t="shared" si="155"/>
        <v>-9.8486081719028132E-3</v>
      </c>
    </row>
    <row r="1061" spans="1:13">
      <c r="A1061" s="112">
        <v>1058</v>
      </c>
      <c r="B1061" s="113">
        <v>43160</v>
      </c>
      <c r="C1061" s="114">
        <v>60.98</v>
      </c>
      <c r="D1061" s="115">
        <f t="shared" si="164"/>
        <v>62.359000000000016</v>
      </c>
      <c r="E1061" s="115">
        <f t="shared" si="160"/>
        <v>-1.3790000000000191</v>
      </c>
      <c r="F1061" s="115">
        <f t="shared" si="161"/>
        <v>1.3790000000000191</v>
      </c>
      <c r="G1061" s="115">
        <f t="shared" si="162"/>
        <v>1.9016410000000528</v>
      </c>
      <c r="H1061" s="115">
        <f t="shared" si="163"/>
        <v>2.2613971794031143E-2</v>
      </c>
      <c r="I1061" s="116">
        <f t="shared" si="156"/>
        <v>62.123599999999989</v>
      </c>
      <c r="J1061" s="116">
        <f t="shared" si="157"/>
        <v>-1.1435999999999922</v>
      </c>
      <c r="K1061" s="116">
        <f t="shared" si="158"/>
        <v>1.1435999999999922</v>
      </c>
      <c r="L1061" s="116">
        <f t="shared" si="159"/>
        <v>1.3078209599999822</v>
      </c>
      <c r="M1061" s="117">
        <f t="shared" si="155"/>
        <v>-1.8753689734339E-2</v>
      </c>
    </row>
    <row r="1062" spans="1:13">
      <c r="A1062" s="112">
        <v>1059</v>
      </c>
      <c r="B1062" s="107">
        <v>43161</v>
      </c>
      <c r="C1062" s="108">
        <v>61.19</v>
      </c>
      <c r="D1062" s="115">
        <f t="shared" si="164"/>
        <v>62.167000000000009</v>
      </c>
      <c r="E1062" s="115">
        <f t="shared" si="160"/>
        <v>-0.97700000000001097</v>
      </c>
      <c r="F1062" s="115">
        <f t="shared" si="161"/>
        <v>0.97700000000001097</v>
      </c>
      <c r="G1062" s="115">
        <f t="shared" si="162"/>
        <v>0.95452900000002139</v>
      </c>
      <c r="H1062" s="115">
        <f t="shared" si="163"/>
        <v>1.5966661219153636E-2</v>
      </c>
      <c r="I1062" s="116">
        <f t="shared" si="156"/>
        <v>62.197399999999988</v>
      </c>
      <c r="J1062" s="116">
        <f t="shared" si="157"/>
        <v>-1.0073999999999899</v>
      </c>
      <c r="K1062" s="116">
        <f t="shared" si="158"/>
        <v>1.0073999999999899</v>
      </c>
      <c r="L1062" s="116">
        <f t="shared" si="159"/>
        <v>1.0148547599999795</v>
      </c>
      <c r="M1062" s="117">
        <f t="shared" si="155"/>
        <v>-1.6463474423925314E-2</v>
      </c>
    </row>
    <row r="1063" spans="1:13">
      <c r="A1063" s="112">
        <v>1060</v>
      </c>
      <c r="B1063" s="113">
        <v>43164</v>
      </c>
      <c r="C1063" s="114">
        <v>62.49</v>
      </c>
      <c r="D1063" s="115">
        <f t="shared" si="164"/>
        <v>61.930500000000009</v>
      </c>
      <c r="E1063" s="115">
        <f t="shared" si="160"/>
        <v>0.55949999999999278</v>
      </c>
      <c r="F1063" s="115">
        <f t="shared" si="161"/>
        <v>0.55949999999999278</v>
      </c>
      <c r="G1063" s="115">
        <f t="shared" si="162"/>
        <v>0.31304024999999192</v>
      </c>
      <c r="H1063" s="115">
        <f t="shared" si="163"/>
        <v>8.9534325492077581E-3</v>
      </c>
      <c r="I1063" s="116">
        <f t="shared" si="156"/>
        <v>62.277799999999985</v>
      </c>
      <c r="J1063" s="116">
        <f t="shared" si="157"/>
        <v>0.21220000000001704</v>
      </c>
      <c r="K1063" s="116">
        <f t="shared" si="158"/>
        <v>0.21220000000001704</v>
      </c>
      <c r="L1063" s="116">
        <f t="shared" si="159"/>
        <v>4.5028840000007231E-2</v>
      </c>
      <c r="M1063" s="117">
        <f t="shared" si="155"/>
        <v>3.3957433189313016E-3</v>
      </c>
    </row>
    <row r="1064" spans="1:13">
      <c r="A1064" s="112">
        <v>1061</v>
      </c>
      <c r="B1064" s="107">
        <v>43165</v>
      </c>
      <c r="C1064" s="108">
        <v>62.54</v>
      </c>
      <c r="D1064" s="115">
        <f t="shared" si="164"/>
        <v>61.780000000000008</v>
      </c>
      <c r="E1064" s="115">
        <f t="shared" si="160"/>
        <v>0.75999999999999091</v>
      </c>
      <c r="F1064" s="115">
        <f t="shared" si="161"/>
        <v>0.75999999999999091</v>
      </c>
      <c r="G1064" s="115">
        <f t="shared" si="162"/>
        <v>0.57759999999998612</v>
      </c>
      <c r="H1064" s="115">
        <f t="shared" si="163"/>
        <v>1.2152222577550222E-2</v>
      </c>
      <c r="I1064" s="116">
        <f t="shared" si="156"/>
        <v>62.377799999999986</v>
      </c>
      <c r="J1064" s="116">
        <f t="shared" si="157"/>
        <v>0.16220000000001278</v>
      </c>
      <c r="K1064" s="116">
        <f t="shared" si="158"/>
        <v>0.16220000000001278</v>
      </c>
      <c r="L1064" s="116">
        <f t="shared" si="159"/>
        <v>2.6308840000004146E-2</v>
      </c>
      <c r="M1064" s="117">
        <f t="shared" si="155"/>
        <v>2.5935401343142434E-3</v>
      </c>
    </row>
    <row r="1065" spans="1:13">
      <c r="A1065" s="112">
        <v>1062</v>
      </c>
      <c r="B1065" s="113">
        <v>43166</v>
      </c>
      <c r="C1065" s="114">
        <v>61.09</v>
      </c>
      <c r="D1065" s="115">
        <f t="shared" si="164"/>
        <v>61.697999999999993</v>
      </c>
      <c r="E1065" s="115">
        <f t="shared" si="160"/>
        <v>-0.60799999999998988</v>
      </c>
      <c r="F1065" s="115">
        <f t="shared" si="161"/>
        <v>0.60799999999998988</v>
      </c>
      <c r="G1065" s="115">
        <f t="shared" si="162"/>
        <v>0.36966399999998767</v>
      </c>
      <c r="H1065" s="115">
        <f t="shared" si="163"/>
        <v>9.9525290554917309E-3</v>
      </c>
      <c r="I1065" s="116">
        <f t="shared" si="156"/>
        <v>62.466799999999985</v>
      </c>
      <c r="J1065" s="116">
        <f t="shared" si="157"/>
        <v>-1.3767999999999816</v>
      </c>
      <c r="K1065" s="116">
        <f t="shared" si="158"/>
        <v>1.3767999999999816</v>
      </c>
      <c r="L1065" s="116">
        <f t="shared" si="159"/>
        <v>1.8955782399999492</v>
      </c>
      <c r="M1065" s="117">
        <f t="shared" si="155"/>
        <v>-2.2537240137501743E-2</v>
      </c>
    </row>
    <row r="1066" spans="1:13">
      <c r="A1066" s="112">
        <v>1063</v>
      </c>
      <c r="B1066" s="107">
        <v>43167</v>
      </c>
      <c r="C1066" s="108">
        <v>60.13</v>
      </c>
      <c r="D1066" s="115">
        <f t="shared" si="164"/>
        <v>61.578499999999998</v>
      </c>
      <c r="E1066" s="115">
        <f t="shared" si="160"/>
        <v>-1.4484999999999957</v>
      </c>
      <c r="F1066" s="115">
        <f t="shared" si="161"/>
        <v>1.4484999999999957</v>
      </c>
      <c r="G1066" s="115">
        <f t="shared" si="162"/>
        <v>2.0981522499999876</v>
      </c>
      <c r="H1066" s="115">
        <f t="shared" si="163"/>
        <v>2.4089472808913947E-2</v>
      </c>
      <c r="I1066" s="116">
        <f t="shared" si="156"/>
        <v>62.521799999999992</v>
      </c>
      <c r="J1066" s="116">
        <f t="shared" si="157"/>
        <v>-2.3917999999999893</v>
      </c>
      <c r="K1066" s="116">
        <f t="shared" si="158"/>
        <v>2.3917999999999893</v>
      </c>
      <c r="L1066" s="116">
        <f t="shared" si="159"/>
        <v>5.7207072399999488</v>
      </c>
      <c r="M1066" s="117">
        <f t="shared" si="155"/>
        <v>-3.9777149509396127E-2</v>
      </c>
    </row>
    <row r="1067" spans="1:13">
      <c r="A1067" s="112">
        <v>1064</v>
      </c>
      <c r="B1067" s="113">
        <v>43168</v>
      </c>
      <c r="C1067" s="114">
        <v>62.02</v>
      </c>
      <c r="D1067" s="115">
        <f t="shared" si="164"/>
        <v>61.4895</v>
      </c>
      <c r="E1067" s="115">
        <f t="shared" si="160"/>
        <v>0.53050000000000352</v>
      </c>
      <c r="F1067" s="115">
        <f t="shared" si="161"/>
        <v>0.53050000000000352</v>
      </c>
      <c r="G1067" s="115">
        <f t="shared" si="162"/>
        <v>0.28143025000000371</v>
      </c>
      <c r="H1067" s="115">
        <f t="shared" si="163"/>
        <v>8.5536923573041514E-3</v>
      </c>
      <c r="I1067" s="116">
        <f t="shared" si="156"/>
        <v>62.559399999999997</v>
      </c>
      <c r="J1067" s="116">
        <f t="shared" si="157"/>
        <v>-0.53939999999999344</v>
      </c>
      <c r="K1067" s="116">
        <f t="shared" si="158"/>
        <v>0.53939999999999344</v>
      </c>
      <c r="L1067" s="116">
        <f t="shared" si="159"/>
        <v>0.29095235999999292</v>
      </c>
      <c r="M1067" s="117">
        <f t="shared" si="155"/>
        <v>-8.6971944534020226E-3</v>
      </c>
    </row>
    <row r="1068" spans="1:13">
      <c r="A1068" s="112">
        <v>1065</v>
      </c>
      <c r="B1068" s="107">
        <v>43171</v>
      </c>
      <c r="C1068" s="108">
        <v>61.35</v>
      </c>
      <c r="D1068" s="115">
        <f t="shared" si="164"/>
        <v>61.525500000000001</v>
      </c>
      <c r="E1068" s="115">
        <f t="shared" si="160"/>
        <v>-0.17549999999999955</v>
      </c>
      <c r="F1068" s="115">
        <f t="shared" si="161"/>
        <v>0.17549999999999955</v>
      </c>
      <c r="G1068" s="115">
        <f t="shared" si="162"/>
        <v>3.0800249999999842E-2</v>
      </c>
      <c r="H1068" s="115">
        <f t="shared" si="163"/>
        <v>2.8606356968215083E-3</v>
      </c>
      <c r="I1068" s="116">
        <f t="shared" si="156"/>
        <v>62.608800000000002</v>
      </c>
      <c r="J1068" s="116">
        <f t="shared" si="157"/>
        <v>-1.2588000000000008</v>
      </c>
      <c r="K1068" s="116">
        <f t="shared" si="158"/>
        <v>1.2588000000000008</v>
      </c>
      <c r="L1068" s="116">
        <f t="shared" si="159"/>
        <v>1.5845774400000021</v>
      </c>
      <c r="M1068" s="117">
        <f t="shared" si="155"/>
        <v>-2.0518337408312971E-2</v>
      </c>
    </row>
    <row r="1069" spans="1:13">
      <c r="A1069" s="112">
        <v>1066</v>
      </c>
      <c r="B1069" s="113">
        <v>43172</v>
      </c>
      <c r="C1069" s="114">
        <v>60.69</v>
      </c>
      <c r="D1069" s="115">
        <f t="shared" si="164"/>
        <v>61.632999999999996</v>
      </c>
      <c r="E1069" s="115">
        <f t="shared" si="160"/>
        <v>-0.94299999999999784</v>
      </c>
      <c r="F1069" s="115">
        <f t="shared" si="161"/>
        <v>0.94299999999999784</v>
      </c>
      <c r="G1069" s="115">
        <f t="shared" si="162"/>
        <v>0.88924899999999596</v>
      </c>
      <c r="H1069" s="115">
        <f t="shared" si="163"/>
        <v>1.5537979897841454E-2</v>
      </c>
      <c r="I1069" s="116">
        <f t="shared" si="156"/>
        <v>62.642399999999995</v>
      </c>
      <c r="J1069" s="116">
        <f t="shared" si="157"/>
        <v>-1.9523999999999972</v>
      </c>
      <c r="K1069" s="116">
        <f t="shared" si="158"/>
        <v>1.9523999999999972</v>
      </c>
      <c r="L1069" s="116">
        <f t="shared" si="159"/>
        <v>3.8118657599999892</v>
      </c>
      <c r="M1069" s="117">
        <f t="shared" si="155"/>
        <v>-3.2170044488383544E-2</v>
      </c>
    </row>
    <row r="1070" spans="1:13">
      <c r="A1070" s="112">
        <v>1067</v>
      </c>
      <c r="B1070" s="107">
        <v>43173</v>
      </c>
      <c r="C1070" s="108">
        <v>60.89</v>
      </c>
      <c r="D1070" s="115">
        <f t="shared" si="164"/>
        <v>61.696999999999989</v>
      </c>
      <c r="E1070" s="115">
        <f t="shared" si="160"/>
        <v>-0.80699999999998795</v>
      </c>
      <c r="F1070" s="115">
        <f t="shared" si="161"/>
        <v>0.80699999999998795</v>
      </c>
      <c r="G1070" s="115">
        <f t="shared" si="162"/>
        <v>0.65124899999998054</v>
      </c>
      <c r="H1070" s="115">
        <f t="shared" si="163"/>
        <v>1.3253407784529282E-2</v>
      </c>
      <c r="I1070" s="116">
        <f t="shared" si="156"/>
        <v>62.659399999999998</v>
      </c>
      <c r="J1070" s="116">
        <f t="shared" si="157"/>
        <v>-1.7693999999999974</v>
      </c>
      <c r="K1070" s="116">
        <f t="shared" si="158"/>
        <v>1.7693999999999974</v>
      </c>
      <c r="L1070" s="116">
        <f t="shared" si="159"/>
        <v>3.1307763599999907</v>
      </c>
      <c r="M1070" s="117">
        <f t="shared" si="155"/>
        <v>-2.9058958778124443E-2</v>
      </c>
    </row>
    <row r="1071" spans="1:13">
      <c r="A1071" s="112">
        <v>1068</v>
      </c>
      <c r="B1071" s="113">
        <v>43174</v>
      </c>
      <c r="C1071" s="114">
        <v>61.16</v>
      </c>
      <c r="D1071" s="115">
        <f t="shared" si="164"/>
        <v>61.774999999999999</v>
      </c>
      <c r="E1071" s="115">
        <f t="shared" si="160"/>
        <v>-0.61500000000000199</v>
      </c>
      <c r="F1071" s="115">
        <f t="shared" si="161"/>
        <v>0.61500000000000199</v>
      </c>
      <c r="G1071" s="115">
        <f t="shared" si="162"/>
        <v>0.37822500000000242</v>
      </c>
      <c r="H1071" s="115">
        <f t="shared" si="163"/>
        <v>1.0055591890124298E-2</v>
      </c>
      <c r="I1071" s="116">
        <f t="shared" si="156"/>
        <v>62.667999999999992</v>
      </c>
      <c r="J1071" s="116">
        <f t="shared" si="157"/>
        <v>-1.5079999999999956</v>
      </c>
      <c r="K1071" s="116">
        <f t="shared" si="158"/>
        <v>1.5079999999999956</v>
      </c>
      <c r="L1071" s="116">
        <f t="shared" si="159"/>
        <v>2.2740639999999868</v>
      </c>
      <c r="M1071" s="117">
        <f t="shared" si="155"/>
        <v>-2.4656638325703004E-2</v>
      </c>
    </row>
    <row r="1072" spans="1:13">
      <c r="A1072" s="112">
        <v>1069</v>
      </c>
      <c r="B1072" s="107">
        <v>43175</v>
      </c>
      <c r="C1072" s="108">
        <v>62.29</v>
      </c>
      <c r="D1072" s="115">
        <f t="shared" si="164"/>
        <v>61.798000000000002</v>
      </c>
      <c r="E1072" s="115">
        <f t="shared" si="160"/>
        <v>0.49199999999999733</v>
      </c>
      <c r="F1072" s="115">
        <f t="shared" si="161"/>
        <v>0.49199999999999733</v>
      </c>
      <c r="G1072" s="115">
        <f>E1072^2</f>
        <v>0.24206399999999736</v>
      </c>
      <c r="H1072" s="115">
        <f>F1072/C1072</f>
        <v>7.8985390913468827E-3</v>
      </c>
      <c r="I1072" s="116">
        <f t="shared" si="156"/>
        <v>62.683799999999998</v>
      </c>
      <c r="J1072" s="116">
        <f t="shared" si="157"/>
        <v>-0.39379999999999882</v>
      </c>
      <c r="K1072" s="116">
        <f t="shared" si="158"/>
        <v>0.39379999999999882</v>
      </c>
      <c r="L1072" s="116">
        <f t="shared" si="159"/>
        <v>0.15507843999999907</v>
      </c>
      <c r="M1072" s="117">
        <f t="shared" si="155"/>
        <v>-6.3220420613260371E-3</v>
      </c>
    </row>
    <row r="1073" spans="1:13">
      <c r="A1073" s="112">
        <v>1070</v>
      </c>
      <c r="B1073" s="113">
        <v>43178</v>
      </c>
      <c r="C1073" s="114">
        <v>62.01</v>
      </c>
      <c r="D1073" s="115">
        <f t="shared" si="164"/>
        <v>61.838499999999996</v>
      </c>
      <c r="E1073" s="115">
        <f t="shared" si="160"/>
        <v>0.17150000000000176</v>
      </c>
      <c r="F1073" s="115">
        <f t="shared" si="161"/>
        <v>0.17150000000000176</v>
      </c>
      <c r="G1073" s="115">
        <f>E1073^2</f>
        <v>2.9412250000000605E-2</v>
      </c>
      <c r="H1073" s="115">
        <f>F1073/C1073</f>
        <v>2.7656829543622283E-3</v>
      </c>
      <c r="I1073" s="116">
        <f t="shared" si="156"/>
        <v>62.697399999999995</v>
      </c>
      <c r="J1073" s="116">
        <f t="shared" si="157"/>
        <v>-0.68739999999999668</v>
      </c>
      <c r="K1073" s="116">
        <f t="shared" si="158"/>
        <v>0.68739999999999668</v>
      </c>
      <c r="L1073" s="116">
        <f t="shared" si="159"/>
        <v>0.47251875999999543</v>
      </c>
      <c r="M1073" s="117">
        <f t="shared" si="155"/>
        <v>-1.1085308821157824E-2</v>
      </c>
    </row>
    <row r="1074" spans="1:13">
      <c r="A1074" s="112">
        <v>1071</v>
      </c>
      <c r="B1074" s="107">
        <v>43179</v>
      </c>
      <c r="C1074" s="108">
        <v>63.37</v>
      </c>
      <c r="D1074" s="115">
        <f t="shared" si="164"/>
        <v>61.844500000000004</v>
      </c>
      <c r="E1074" s="115">
        <f t="shared" si="160"/>
        <v>1.5254999999999939</v>
      </c>
      <c r="F1074" s="115">
        <f t="shared" si="161"/>
        <v>1.5254999999999939</v>
      </c>
      <c r="G1074" s="115">
        <f>E1074^2</f>
        <v>2.3271502499999812</v>
      </c>
      <c r="H1074" s="115">
        <f>F1074/C1074</f>
        <v>2.407290516017033E-2</v>
      </c>
      <c r="I1074" s="116">
        <f t="shared" si="156"/>
        <v>62.698</v>
      </c>
      <c r="J1074" s="116">
        <f t="shared" si="157"/>
        <v>0.67199999999999704</v>
      </c>
      <c r="K1074" s="116">
        <f t="shared" si="158"/>
        <v>0.67199999999999704</v>
      </c>
      <c r="L1074" s="116">
        <f t="shared" si="159"/>
        <v>0.45158399999999604</v>
      </c>
      <c r="M1074" s="117">
        <f t="shared" si="155"/>
        <v>1.0604386933880338E-2</v>
      </c>
    </row>
    <row r="1075" spans="1:13">
      <c r="A1075" s="112">
        <v>1072</v>
      </c>
      <c r="B1075" s="113">
        <v>43180</v>
      </c>
      <c r="C1075" s="114">
        <v>65.099999999999994</v>
      </c>
      <c r="D1075" s="115">
        <f t="shared" si="164"/>
        <v>61.917499999999997</v>
      </c>
      <c r="E1075" s="115">
        <f t="shared" si="160"/>
        <v>3.1824999999999974</v>
      </c>
      <c r="F1075" s="115">
        <f t="shared" si="161"/>
        <v>3.1824999999999974</v>
      </c>
      <c r="G1075" s="115">
        <f t="shared" ref="G1075:G1082" si="165">E1075^2</f>
        <v>10.128306249999984</v>
      </c>
      <c r="H1075" s="115">
        <f t="shared" ref="H1075:H1082" si="166">F1075/C1075</f>
        <v>4.8886328725038369E-2</v>
      </c>
      <c r="I1075" s="116">
        <f t="shared" si="156"/>
        <v>62.735600000000005</v>
      </c>
      <c r="J1075" s="116">
        <f t="shared" si="157"/>
        <v>2.3643999999999892</v>
      </c>
      <c r="K1075" s="116">
        <f t="shared" si="158"/>
        <v>2.3643999999999892</v>
      </c>
      <c r="L1075" s="116">
        <f t="shared" si="159"/>
        <v>5.5903873599999487</v>
      </c>
      <c r="M1075" s="117">
        <f t="shared" si="155"/>
        <v>3.6319508448540545E-2</v>
      </c>
    </row>
    <row r="1076" spans="1:13">
      <c r="A1076" s="112">
        <v>1073</v>
      </c>
      <c r="B1076" s="107">
        <v>43181</v>
      </c>
      <c r="C1076" s="108">
        <v>64.25</v>
      </c>
      <c r="D1076" s="115">
        <f t="shared" si="164"/>
        <v>62.085999999999991</v>
      </c>
      <c r="E1076" s="115">
        <f t="shared" si="160"/>
        <v>2.1640000000000086</v>
      </c>
      <c r="F1076" s="115">
        <f t="shared" si="161"/>
        <v>2.1640000000000086</v>
      </c>
      <c r="G1076" s="115">
        <f t="shared" si="165"/>
        <v>4.6828960000000368</v>
      </c>
      <c r="H1076" s="115">
        <f t="shared" si="166"/>
        <v>3.3680933852140209E-2</v>
      </c>
      <c r="I1076" s="116">
        <f t="shared" si="156"/>
        <v>62.803000000000004</v>
      </c>
      <c r="J1076" s="116">
        <f t="shared" si="157"/>
        <v>1.4469999999999956</v>
      </c>
      <c r="K1076" s="116">
        <f t="shared" si="158"/>
        <v>1.4469999999999956</v>
      </c>
      <c r="L1076" s="116">
        <f t="shared" si="159"/>
        <v>2.0938089999999874</v>
      </c>
      <c r="M1076" s="117">
        <f t="shared" si="155"/>
        <v>2.2521400778210049E-2</v>
      </c>
    </row>
    <row r="1077" spans="1:13">
      <c r="A1077" s="112">
        <v>1074</v>
      </c>
      <c r="B1077" s="113">
        <v>43182</v>
      </c>
      <c r="C1077" s="114">
        <v>65.8</v>
      </c>
      <c r="D1077" s="115">
        <f t="shared" si="164"/>
        <v>62.162499999999987</v>
      </c>
      <c r="E1077" s="115">
        <f t="shared" si="160"/>
        <v>3.6375000000000099</v>
      </c>
      <c r="F1077" s="115">
        <f t="shared" si="161"/>
        <v>3.6375000000000099</v>
      </c>
      <c r="G1077" s="115">
        <f t="shared" si="165"/>
        <v>13.231406250000072</v>
      </c>
      <c r="H1077" s="115">
        <f t="shared" si="166"/>
        <v>5.5281155015197724E-2</v>
      </c>
      <c r="I1077" s="116">
        <f t="shared" si="156"/>
        <v>62.829599999999999</v>
      </c>
      <c r="J1077" s="116">
        <f t="shared" si="157"/>
        <v>2.9703999999999979</v>
      </c>
      <c r="K1077" s="116">
        <f t="shared" si="158"/>
        <v>2.9703999999999979</v>
      </c>
      <c r="L1077" s="116">
        <f t="shared" si="159"/>
        <v>8.8232761599999883</v>
      </c>
      <c r="M1077" s="117">
        <f t="shared" si="155"/>
        <v>4.5142857142857117E-2</v>
      </c>
    </row>
    <row r="1078" spans="1:13">
      <c r="A1078" s="112">
        <v>1075</v>
      </c>
      <c r="B1078" s="107">
        <v>43185</v>
      </c>
      <c r="C1078" s="108">
        <v>65.489999999999995</v>
      </c>
      <c r="D1078" s="115">
        <f t="shared" si="164"/>
        <v>62.276499999999984</v>
      </c>
      <c r="E1078" s="115">
        <f t="shared" si="160"/>
        <v>3.2135000000000105</v>
      </c>
      <c r="F1078" s="115">
        <f t="shared" si="161"/>
        <v>3.2135000000000105</v>
      </c>
      <c r="G1078" s="115">
        <f t="shared" si="165"/>
        <v>10.326582250000067</v>
      </c>
      <c r="H1078" s="115">
        <f t="shared" si="166"/>
        <v>4.9068560085509402E-2</v>
      </c>
      <c r="I1078" s="116">
        <f t="shared" si="156"/>
        <v>62.873600000000003</v>
      </c>
      <c r="J1078" s="116">
        <f t="shared" si="157"/>
        <v>2.6163999999999916</v>
      </c>
      <c r="K1078" s="116">
        <f t="shared" si="158"/>
        <v>2.6163999999999916</v>
      </c>
      <c r="L1078" s="116">
        <f t="shared" si="159"/>
        <v>6.8455489599999559</v>
      </c>
      <c r="M1078" s="117">
        <f t="shared" si="155"/>
        <v>3.99511375782561E-2</v>
      </c>
    </row>
    <row r="1079" spans="1:13">
      <c r="A1079" s="112">
        <v>1076</v>
      </c>
      <c r="B1079" s="113">
        <v>43186</v>
      </c>
      <c r="C1079" s="114">
        <v>65.209999999999994</v>
      </c>
      <c r="D1079" s="115">
        <f t="shared" si="164"/>
        <v>62.360499999999988</v>
      </c>
      <c r="E1079" s="115">
        <f t="shared" si="160"/>
        <v>2.8495000000000061</v>
      </c>
      <c r="F1079" s="115">
        <f t="shared" si="161"/>
        <v>2.8495000000000061</v>
      </c>
      <c r="G1079" s="115">
        <f t="shared" si="165"/>
        <v>8.1196502500000349</v>
      </c>
      <c r="H1079" s="115">
        <f t="shared" si="166"/>
        <v>4.3697285692378567E-2</v>
      </c>
      <c r="I1079" s="116">
        <f t="shared" si="156"/>
        <v>62.907200000000003</v>
      </c>
      <c r="J1079" s="116">
        <f t="shared" si="157"/>
        <v>2.3027999999999906</v>
      </c>
      <c r="K1079" s="116">
        <f t="shared" si="158"/>
        <v>2.3027999999999906</v>
      </c>
      <c r="L1079" s="116">
        <f t="shared" si="159"/>
        <v>5.3028878399999568</v>
      </c>
      <c r="M1079" s="117">
        <f t="shared" ref="M1079:M1083" si="167">J1079/C1079</f>
        <v>3.5313602208250125E-2</v>
      </c>
    </row>
    <row r="1080" spans="1:13">
      <c r="A1080" s="112">
        <v>1077</v>
      </c>
      <c r="B1080" s="107">
        <v>43187</v>
      </c>
      <c r="C1080" s="108">
        <v>64.3</v>
      </c>
      <c r="D1080" s="115">
        <f t="shared" si="164"/>
        <v>62.474000000000004</v>
      </c>
      <c r="E1080" s="115">
        <f t="shared" si="160"/>
        <v>1.8259999999999934</v>
      </c>
      <c r="F1080" s="115">
        <f t="shared" si="161"/>
        <v>1.8259999999999934</v>
      </c>
      <c r="G1080" s="115">
        <f t="shared" si="165"/>
        <v>3.334275999999976</v>
      </c>
      <c r="H1080" s="115">
        <f t="shared" si="166"/>
        <v>2.8398133748055887E-2</v>
      </c>
      <c r="I1080" s="116">
        <f t="shared" ref="I1080:I1082" si="168">AVERAGE(C1030:C1079)</f>
        <v>62.927</v>
      </c>
      <c r="J1080" s="116">
        <f t="shared" ref="J1080:J1082" si="169">C1080-I1080</f>
        <v>1.3729999999999976</v>
      </c>
      <c r="K1080" s="116">
        <f t="shared" ref="K1080:K1082" si="170">ABS(J1080)</f>
        <v>1.3729999999999976</v>
      </c>
      <c r="L1080" s="116">
        <f t="shared" ref="L1080:L1083" si="171">J1080^2</f>
        <v>1.8851289999999934</v>
      </c>
      <c r="M1080" s="117">
        <f t="shared" si="167"/>
        <v>2.1353032659408983E-2</v>
      </c>
    </row>
    <row r="1081" spans="1:13">
      <c r="A1081" s="112">
        <v>1078</v>
      </c>
      <c r="B1081" s="113">
        <v>43188</v>
      </c>
      <c r="C1081" s="114">
        <v>64.87</v>
      </c>
      <c r="D1081" s="115">
        <f t="shared" si="164"/>
        <v>62.617499999999993</v>
      </c>
      <c r="E1081" s="115">
        <f t="shared" si="160"/>
        <v>2.2525000000000119</v>
      </c>
      <c r="F1081" s="115">
        <f t="shared" si="161"/>
        <v>2.2525000000000119</v>
      </c>
      <c r="G1081" s="115">
        <f t="shared" si="165"/>
        <v>5.0737562500000539</v>
      </c>
      <c r="H1081" s="115">
        <f t="shared" si="166"/>
        <v>3.4723292739324986E-2</v>
      </c>
      <c r="I1081" s="116">
        <f t="shared" si="168"/>
        <v>62.936600000000006</v>
      </c>
      <c r="J1081" s="116">
        <f t="shared" si="169"/>
        <v>1.9333999999999989</v>
      </c>
      <c r="K1081" s="116">
        <f t="shared" si="170"/>
        <v>1.9333999999999989</v>
      </c>
      <c r="L1081" s="116">
        <f t="shared" si="171"/>
        <v>3.7380355599999957</v>
      </c>
      <c r="M1081" s="117">
        <f t="shared" si="167"/>
        <v>2.9804223832279927E-2</v>
      </c>
    </row>
    <row r="1082" spans="1:13" ht="13.5" thickBot="1">
      <c r="A1082" s="118">
        <v>1079</v>
      </c>
      <c r="B1082" s="119">
        <v>43192</v>
      </c>
      <c r="C1082" s="120">
        <v>63.05</v>
      </c>
      <c r="D1082" s="121">
        <f t="shared" si="164"/>
        <v>62.811999999999991</v>
      </c>
      <c r="E1082" s="121">
        <f t="shared" si="160"/>
        <v>0.23800000000000665</v>
      </c>
      <c r="F1082" s="121">
        <f t="shared" si="161"/>
        <v>0.23800000000000665</v>
      </c>
      <c r="G1082" s="121">
        <f t="shared" si="165"/>
        <v>5.6644000000003164E-2</v>
      </c>
      <c r="H1082" s="121">
        <f t="shared" si="166"/>
        <v>3.7747819191119216E-3</v>
      </c>
      <c r="I1082" s="116">
        <f t="shared" si="168"/>
        <v>62.955600000000011</v>
      </c>
      <c r="J1082" s="116">
        <f t="shared" si="169"/>
        <v>9.4399999999986051E-2</v>
      </c>
      <c r="K1082" s="116">
        <f t="shared" si="170"/>
        <v>9.4399999999986051E-2</v>
      </c>
      <c r="L1082" s="116">
        <f t="shared" si="171"/>
        <v>8.9113599999973668E-3</v>
      </c>
      <c r="M1082" s="117">
        <f t="shared" si="167"/>
        <v>1.4972244250592555E-3</v>
      </c>
    </row>
    <row r="1083" spans="1:13">
      <c r="E1083" s="122">
        <f>AVERAGE(E24:E1082)</f>
        <v>-0.31481964117091532</v>
      </c>
      <c r="F1083" s="123">
        <f>AVERAGE(F24:F1082)</f>
        <v>2.5343626062322917</v>
      </c>
      <c r="G1083" s="123">
        <f>AVERAGE(G24:G1082)</f>
        <v>10.282056135977342</v>
      </c>
      <c r="H1083" s="124">
        <f>AVERAGE(H24:H1082)</f>
        <v>4.7857807820816466E-2</v>
      </c>
      <c r="J1083" s="122">
        <f>AVERAGE(J54:J1082)</f>
        <v>-0.926067832847425</v>
      </c>
      <c r="K1083" s="123">
        <f t="shared" ref="K1083:M1083" si="172">AVERAGE(K54:K1082)</f>
        <v>4.1745895043731744</v>
      </c>
      <c r="L1083" s="123">
        <f t="shared" si="172"/>
        <v>31.47148816423713</v>
      </c>
      <c r="M1083" s="124">
        <f t="shared" si="172"/>
        <v>-1.9493427449793908E-2</v>
      </c>
    </row>
    <row r="1084" spans="1:13">
      <c r="E1084" s="125" t="s">
        <v>80</v>
      </c>
      <c r="F1084" s="126" t="s">
        <v>81</v>
      </c>
      <c r="G1084" s="126" t="s">
        <v>82</v>
      </c>
      <c r="H1084" s="127" t="s">
        <v>83</v>
      </c>
      <c r="J1084" s="125" t="s">
        <v>80</v>
      </c>
      <c r="K1084" s="126" t="s">
        <v>81</v>
      </c>
      <c r="L1084" s="128" t="s">
        <v>82</v>
      </c>
      <c r="M1084" s="127" t="s">
        <v>83</v>
      </c>
    </row>
    <row r="1086" spans="1:13">
      <c r="A1086" s="102"/>
    </row>
    <row r="1105" spans="1:1">
      <c r="A1105" s="102"/>
    </row>
    <row r="1109" spans="1:1">
      <c r="A1109" s="129"/>
    </row>
  </sheetData>
  <mergeCells count="1">
    <mergeCell ref="B1:M2"/>
  </mergeCells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Black_Scholes</vt:lpstr>
      <vt:lpstr>Binomial_model</vt:lpstr>
      <vt:lpstr>MSFT Black_Scholes &amp; Binomial</vt:lpstr>
      <vt:lpstr>MSFT Binomial Tree(single)</vt:lpstr>
      <vt:lpstr>MSFT Binomial Tree(multiple)</vt:lpstr>
      <vt:lpstr>WTI CRUDE OIL SPOT PRICE  </vt:lpstr>
      <vt:lpstr>Forecast WTI CRUDE OIL SPOT</vt:lpstr>
      <vt:lpstr>20 &amp;50 -days 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Fisayo Michael Animashaun</dc:creator>
  <cp:lastModifiedBy>Fisayo Animashaun</cp:lastModifiedBy>
  <dcterms:created xsi:type="dcterms:W3CDTF">2018-04-08T09:54:49Z</dcterms:created>
  <dcterms:modified xsi:type="dcterms:W3CDTF">2018-04-10T23:32:47Z</dcterms:modified>
</cp:coreProperties>
</file>